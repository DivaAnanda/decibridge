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6 ETD Dashboard Hikeru\Dashboard Data\Validation data\"/>
    </mc:Choice>
  </mc:AlternateContent>
  <xr:revisionPtr revIDLastSave="0" documentId="13_ncr:1_{588F7CDE-3B22-4D43-86C6-A83DAB1233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0_README" sheetId="1" r:id="rId1"/>
    <sheet name="01_INPUTS" sheetId="2" r:id="rId2"/>
    <sheet name="02_DETERMINISTIC" sheetId="3" r:id="rId3"/>
    <sheet name="03_BIA" sheetId="4" r:id="rId4"/>
    <sheet name="04_PSA_INPUTS" sheetId="5" r:id="rId5"/>
    <sheet name="05_PSA_1000" sheetId="6" r:id="rId6"/>
    <sheet name="06_CE_PLANE_CEAC" sheetId="7" r:id="rId7"/>
    <sheet name="07_PSA_SUMMARY" sheetId="8" r:id="rId8"/>
    <sheet name="08_ARB_EXTENSION" sheetId="9" r:id="rId9"/>
    <sheet name="09_DATA_MAP_Q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0" l="1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B14" i="8"/>
  <c r="B13" i="8"/>
  <c r="B12" i="8"/>
  <c r="G13" i="7"/>
  <c r="H1001" i="6"/>
  <c r="G1001" i="6"/>
  <c r="F1001" i="6"/>
  <c r="E1001" i="6"/>
  <c r="D1001" i="6"/>
  <c r="C1001" i="6"/>
  <c r="B1001" i="6"/>
  <c r="H1000" i="6"/>
  <c r="G1000" i="6"/>
  <c r="F1000" i="6"/>
  <c r="E1000" i="6"/>
  <c r="D1000" i="6"/>
  <c r="C1000" i="6"/>
  <c r="B1000" i="6"/>
  <c r="H999" i="6"/>
  <c r="G999" i="6"/>
  <c r="F999" i="6"/>
  <c r="E999" i="6"/>
  <c r="D999" i="6"/>
  <c r="C999" i="6"/>
  <c r="B999" i="6"/>
  <c r="H998" i="6"/>
  <c r="G998" i="6"/>
  <c r="F998" i="6"/>
  <c r="E998" i="6"/>
  <c r="D998" i="6"/>
  <c r="C998" i="6"/>
  <c r="B998" i="6"/>
  <c r="H997" i="6"/>
  <c r="G997" i="6"/>
  <c r="F997" i="6"/>
  <c r="E997" i="6"/>
  <c r="D997" i="6"/>
  <c r="C997" i="6"/>
  <c r="B997" i="6"/>
  <c r="H996" i="6"/>
  <c r="G996" i="6"/>
  <c r="F996" i="6"/>
  <c r="E996" i="6"/>
  <c r="D996" i="6"/>
  <c r="C996" i="6"/>
  <c r="B996" i="6"/>
  <c r="H995" i="6"/>
  <c r="G995" i="6"/>
  <c r="F995" i="6"/>
  <c r="E995" i="6"/>
  <c r="D995" i="6"/>
  <c r="C995" i="6"/>
  <c r="B995" i="6"/>
  <c r="H994" i="6"/>
  <c r="G994" i="6"/>
  <c r="F994" i="6"/>
  <c r="E994" i="6"/>
  <c r="D994" i="6"/>
  <c r="C994" i="6"/>
  <c r="B994" i="6"/>
  <c r="H993" i="6"/>
  <c r="G993" i="6"/>
  <c r="F993" i="6"/>
  <c r="E993" i="6"/>
  <c r="D993" i="6"/>
  <c r="C993" i="6"/>
  <c r="B993" i="6"/>
  <c r="H992" i="6"/>
  <c r="G992" i="6"/>
  <c r="F992" i="6"/>
  <c r="E992" i="6"/>
  <c r="D992" i="6"/>
  <c r="C992" i="6"/>
  <c r="B992" i="6"/>
  <c r="H991" i="6"/>
  <c r="G991" i="6"/>
  <c r="F991" i="6"/>
  <c r="E991" i="6"/>
  <c r="D991" i="6"/>
  <c r="C991" i="6"/>
  <c r="B991" i="6"/>
  <c r="H990" i="6"/>
  <c r="G990" i="6"/>
  <c r="F990" i="6"/>
  <c r="E990" i="6"/>
  <c r="D990" i="6"/>
  <c r="C990" i="6"/>
  <c r="B990" i="6"/>
  <c r="H989" i="6"/>
  <c r="G989" i="6"/>
  <c r="F989" i="6"/>
  <c r="E989" i="6"/>
  <c r="D989" i="6"/>
  <c r="C989" i="6"/>
  <c r="B989" i="6"/>
  <c r="H988" i="6"/>
  <c r="G988" i="6"/>
  <c r="F988" i="6"/>
  <c r="E988" i="6"/>
  <c r="D988" i="6"/>
  <c r="C988" i="6"/>
  <c r="B988" i="6"/>
  <c r="H987" i="6"/>
  <c r="G987" i="6"/>
  <c r="F987" i="6"/>
  <c r="E987" i="6"/>
  <c r="D987" i="6"/>
  <c r="C987" i="6"/>
  <c r="B987" i="6"/>
  <c r="L986" i="6"/>
  <c r="H986" i="6"/>
  <c r="G986" i="6"/>
  <c r="F986" i="6"/>
  <c r="E986" i="6"/>
  <c r="D986" i="6"/>
  <c r="C986" i="6"/>
  <c r="B986" i="6"/>
  <c r="H985" i="6"/>
  <c r="L985" i="6" s="1"/>
  <c r="G985" i="6"/>
  <c r="F985" i="6"/>
  <c r="E985" i="6"/>
  <c r="D985" i="6"/>
  <c r="C985" i="6"/>
  <c r="B985" i="6"/>
  <c r="H984" i="6"/>
  <c r="G984" i="6"/>
  <c r="F984" i="6"/>
  <c r="E984" i="6"/>
  <c r="D984" i="6"/>
  <c r="C984" i="6"/>
  <c r="B984" i="6"/>
  <c r="H983" i="6"/>
  <c r="G983" i="6"/>
  <c r="F983" i="6"/>
  <c r="E983" i="6"/>
  <c r="D983" i="6"/>
  <c r="C983" i="6"/>
  <c r="B983" i="6"/>
  <c r="H982" i="6"/>
  <c r="G982" i="6"/>
  <c r="F982" i="6"/>
  <c r="E982" i="6"/>
  <c r="D982" i="6"/>
  <c r="C982" i="6"/>
  <c r="B982" i="6"/>
  <c r="H981" i="6"/>
  <c r="G981" i="6"/>
  <c r="F981" i="6"/>
  <c r="E981" i="6"/>
  <c r="D981" i="6"/>
  <c r="C981" i="6"/>
  <c r="B981" i="6"/>
  <c r="H980" i="6"/>
  <c r="G980" i="6"/>
  <c r="F980" i="6"/>
  <c r="E980" i="6"/>
  <c r="D980" i="6"/>
  <c r="C980" i="6"/>
  <c r="B980" i="6"/>
  <c r="H979" i="6"/>
  <c r="G979" i="6"/>
  <c r="F979" i="6"/>
  <c r="E979" i="6"/>
  <c r="D979" i="6"/>
  <c r="C979" i="6"/>
  <c r="B979" i="6"/>
  <c r="H978" i="6"/>
  <c r="G978" i="6"/>
  <c r="F978" i="6"/>
  <c r="E978" i="6"/>
  <c r="D978" i="6"/>
  <c r="C978" i="6"/>
  <c r="B978" i="6"/>
  <c r="H977" i="6"/>
  <c r="G977" i="6"/>
  <c r="F977" i="6"/>
  <c r="E977" i="6"/>
  <c r="D977" i="6"/>
  <c r="C977" i="6"/>
  <c r="B977" i="6"/>
  <c r="H976" i="6"/>
  <c r="L976" i="6" s="1"/>
  <c r="G976" i="6"/>
  <c r="F976" i="6"/>
  <c r="E976" i="6"/>
  <c r="D976" i="6"/>
  <c r="C976" i="6"/>
  <c r="B976" i="6"/>
  <c r="H975" i="6"/>
  <c r="G975" i="6"/>
  <c r="F975" i="6"/>
  <c r="E975" i="6"/>
  <c r="D975" i="6"/>
  <c r="C975" i="6"/>
  <c r="B975" i="6"/>
  <c r="H974" i="6"/>
  <c r="G974" i="6"/>
  <c r="F974" i="6"/>
  <c r="E974" i="6"/>
  <c r="D974" i="6"/>
  <c r="C974" i="6"/>
  <c r="B974" i="6"/>
  <c r="H973" i="6"/>
  <c r="G973" i="6"/>
  <c r="F973" i="6"/>
  <c r="E973" i="6"/>
  <c r="D973" i="6"/>
  <c r="C973" i="6"/>
  <c r="B973" i="6"/>
  <c r="H972" i="6"/>
  <c r="G972" i="6"/>
  <c r="F972" i="6"/>
  <c r="E972" i="6"/>
  <c r="D972" i="6"/>
  <c r="C972" i="6"/>
  <c r="B972" i="6"/>
  <c r="H971" i="6"/>
  <c r="G971" i="6"/>
  <c r="F971" i="6"/>
  <c r="E971" i="6"/>
  <c r="D971" i="6"/>
  <c r="I971" i="6" s="1"/>
  <c r="C971" i="6"/>
  <c r="B971" i="6"/>
  <c r="H970" i="6"/>
  <c r="G970" i="6"/>
  <c r="F970" i="6"/>
  <c r="E970" i="6"/>
  <c r="D970" i="6"/>
  <c r="C970" i="6"/>
  <c r="B970" i="6"/>
  <c r="H969" i="6"/>
  <c r="G969" i="6"/>
  <c r="F969" i="6"/>
  <c r="E969" i="6"/>
  <c r="D969" i="6"/>
  <c r="C969" i="6"/>
  <c r="B969" i="6"/>
  <c r="H968" i="6"/>
  <c r="G968" i="6"/>
  <c r="F968" i="6"/>
  <c r="E968" i="6"/>
  <c r="D968" i="6"/>
  <c r="C968" i="6"/>
  <c r="B968" i="6"/>
  <c r="L968" i="6" s="1"/>
  <c r="H967" i="6"/>
  <c r="L967" i="6" s="1"/>
  <c r="G967" i="6"/>
  <c r="F967" i="6"/>
  <c r="E967" i="6"/>
  <c r="D967" i="6"/>
  <c r="C967" i="6"/>
  <c r="B967" i="6"/>
  <c r="I967" i="6" s="1"/>
  <c r="H966" i="6"/>
  <c r="G966" i="6"/>
  <c r="F966" i="6"/>
  <c r="E966" i="6"/>
  <c r="D966" i="6"/>
  <c r="C966" i="6"/>
  <c r="B966" i="6"/>
  <c r="H965" i="6"/>
  <c r="G965" i="6"/>
  <c r="F965" i="6"/>
  <c r="E965" i="6"/>
  <c r="D965" i="6"/>
  <c r="C965" i="6"/>
  <c r="B965" i="6"/>
  <c r="H964" i="6"/>
  <c r="G964" i="6"/>
  <c r="F964" i="6"/>
  <c r="E964" i="6"/>
  <c r="D964" i="6"/>
  <c r="C964" i="6"/>
  <c r="B964" i="6"/>
  <c r="H963" i="6"/>
  <c r="G963" i="6"/>
  <c r="F963" i="6"/>
  <c r="E963" i="6"/>
  <c r="D963" i="6"/>
  <c r="C963" i="6"/>
  <c r="B963" i="6"/>
  <c r="H962" i="6"/>
  <c r="G962" i="6"/>
  <c r="F962" i="6"/>
  <c r="E962" i="6"/>
  <c r="D962" i="6"/>
  <c r="I962" i="6" s="1"/>
  <c r="C962" i="6"/>
  <c r="B962" i="6"/>
  <c r="H961" i="6"/>
  <c r="G961" i="6"/>
  <c r="F961" i="6"/>
  <c r="E961" i="6"/>
  <c r="D961" i="6"/>
  <c r="C961" i="6"/>
  <c r="M961" i="6" s="1"/>
  <c r="B961" i="6"/>
  <c r="H960" i="6"/>
  <c r="G960" i="6"/>
  <c r="L960" i="6" s="1"/>
  <c r="F960" i="6"/>
  <c r="E960" i="6"/>
  <c r="D960" i="6"/>
  <c r="C960" i="6"/>
  <c r="B960" i="6"/>
  <c r="H959" i="6"/>
  <c r="G959" i="6"/>
  <c r="F959" i="6"/>
  <c r="E959" i="6"/>
  <c r="D959" i="6"/>
  <c r="C959" i="6"/>
  <c r="B959" i="6"/>
  <c r="H958" i="6"/>
  <c r="G958" i="6"/>
  <c r="F958" i="6"/>
  <c r="E958" i="6"/>
  <c r="D958" i="6"/>
  <c r="C958" i="6"/>
  <c r="B958" i="6"/>
  <c r="H957" i="6"/>
  <c r="L957" i="6" s="1"/>
  <c r="G957" i="6"/>
  <c r="F957" i="6"/>
  <c r="E957" i="6"/>
  <c r="D957" i="6"/>
  <c r="C957" i="6"/>
  <c r="B957" i="6"/>
  <c r="H956" i="6"/>
  <c r="L956" i="6" s="1"/>
  <c r="G956" i="6"/>
  <c r="F956" i="6"/>
  <c r="E956" i="6"/>
  <c r="D956" i="6"/>
  <c r="C956" i="6"/>
  <c r="B956" i="6"/>
  <c r="H955" i="6"/>
  <c r="G955" i="6"/>
  <c r="F955" i="6"/>
  <c r="E955" i="6"/>
  <c r="D955" i="6"/>
  <c r="C955" i="6"/>
  <c r="B955" i="6"/>
  <c r="H954" i="6"/>
  <c r="G954" i="6"/>
  <c r="L954" i="6" s="1"/>
  <c r="F954" i="6"/>
  <c r="E954" i="6"/>
  <c r="D954" i="6"/>
  <c r="I954" i="6" s="1"/>
  <c r="C954" i="6"/>
  <c r="B954" i="6"/>
  <c r="H953" i="6"/>
  <c r="G953" i="6"/>
  <c r="F953" i="6"/>
  <c r="E953" i="6"/>
  <c r="D953" i="6"/>
  <c r="C953" i="6"/>
  <c r="B953" i="6"/>
  <c r="H952" i="6"/>
  <c r="G952" i="6"/>
  <c r="F952" i="6"/>
  <c r="E952" i="6"/>
  <c r="D952" i="6"/>
  <c r="C952" i="6"/>
  <c r="B952" i="6"/>
  <c r="L952" i="6" s="1"/>
  <c r="H951" i="6"/>
  <c r="G951" i="6"/>
  <c r="F951" i="6"/>
  <c r="E951" i="6"/>
  <c r="D951" i="6"/>
  <c r="C951" i="6"/>
  <c r="B951" i="6"/>
  <c r="H950" i="6"/>
  <c r="G950" i="6"/>
  <c r="F950" i="6"/>
  <c r="E950" i="6"/>
  <c r="D950" i="6"/>
  <c r="C950" i="6"/>
  <c r="B950" i="6"/>
  <c r="H949" i="6"/>
  <c r="G949" i="6"/>
  <c r="F949" i="6"/>
  <c r="E949" i="6"/>
  <c r="D949" i="6"/>
  <c r="C949" i="6"/>
  <c r="B949" i="6"/>
  <c r="I949" i="6" s="1"/>
  <c r="H948" i="6"/>
  <c r="G948" i="6"/>
  <c r="F948" i="6"/>
  <c r="E948" i="6"/>
  <c r="D948" i="6"/>
  <c r="C948" i="6"/>
  <c r="B948" i="6"/>
  <c r="L948" i="6" s="1"/>
  <c r="H947" i="6"/>
  <c r="G947" i="6"/>
  <c r="F947" i="6"/>
  <c r="E947" i="6"/>
  <c r="D947" i="6"/>
  <c r="C947" i="6"/>
  <c r="B947" i="6"/>
  <c r="H946" i="6"/>
  <c r="L946" i="6" s="1"/>
  <c r="G946" i="6"/>
  <c r="F946" i="6"/>
  <c r="E946" i="6"/>
  <c r="D946" i="6"/>
  <c r="C946" i="6"/>
  <c r="B946" i="6"/>
  <c r="H945" i="6"/>
  <c r="G945" i="6"/>
  <c r="F945" i="6"/>
  <c r="E945" i="6"/>
  <c r="D945" i="6"/>
  <c r="C945" i="6"/>
  <c r="B945" i="6"/>
  <c r="H944" i="6"/>
  <c r="G944" i="6"/>
  <c r="F944" i="6"/>
  <c r="E944" i="6"/>
  <c r="D944" i="6"/>
  <c r="C944" i="6"/>
  <c r="B944" i="6"/>
  <c r="H943" i="6"/>
  <c r="G943" i="6"/>
  <c r="M943" i="6" s="1"/>
  <c r="F943" i="6"/>
  <c r="E943" i="6"/>
  <c r="D943" i="6"/>
  <c r="C943" i="6"/>
  <c r="B943" i="6"/>
  <c r="H942" i="6"/>
  <c r="G942" i="6"/>
  <c r="L942" i="6" s="1"/>
  <c r="F942" i="6"/>
  <c r="E942" i="6"/>
  <c r="D942" i="6"/>
  <c r="C942" i="6"/>
  <c r="B942" i="6"/>
  <c r="H941" i="6"/>
  <c r="G941" i="6"/>
  <c r="F941" i="6"/>
  <c r="E941" i="6"/>
  <c r="D941" i="6"/>
  <c r="C941" i="6"/>
  <c r="B941" i="6"/>
  <c r="H940" i="6"/>
  <c r="G940" i="6"/>
  <c r="L940" i="6" s="1"/>
  <c r="F940" i="6"/>
  <c r="E940" i="6"/>
  <c r="D940" i="6"/>
  <c r="C940" i="6"/>
  <c r="B940" i="6"/>
  <c r="H939" i="6"/>
  <c r="G939" i="6"/>
  <c r="F939" i="6"/>
  <c r="E939" i="6"/>
  <c r="D939" i="6"/>
  <c r="C939" i="6"/>
  <c r="B939" i="6"/>
  <c r="H938" i="6"/>
  <c r="G938" i="6"/>
  <c r="F938" i="6"/>
  <c r="E938" i="6"/>
  <c r="D938" i="6"/>
  <c r="C938" i="6"/>
  <c r="B938" i="6"/>
  <c r="H937" i="6"/>
  <c r="G937" i="6"/>
  <c r="M937" i="6" s="1"/>
  <c r="F937" i="6"/>
  <c r="E937" i="6"/>
  <c r="D937" i="6"/>
  <c r="C937" i="6"/>
  <c r="B937" i="6"/>
  <c r="H936" i="6"/>
  <c r="G936" i="6"/>
  <c r="F936" i="6"/>
  <c r="E936" i="6"/>
  <c r="D936" i="6"/>
  <c r="C936" i="6"/>
  <c r="B936" i="6"/>
  <c r="L936" i="6" s="1"/>
  <c r="H935" i="6"/>
  <c r="L935" i="6" s="1"/>
  <c r="G935" i="6"/>
  <c r="F935" i="6"/>
  <c r="E935" i="6"/>
  <c r="J935" i="6" s="1"/>
  <c r="D935" i="6"/>
  <c r="C935" i="6"/>
  <c r="B935" i="6"/>
  <c r="H934" i="6"/>
  <c r="G934" i="6"/>
  <c r="F934" i="6"/>
  <c r="E934" i="6"/>
  <c r="D934" i="6"/>
  <c r="I934" i="6" s="1"/>
  <c r="C934" i="6"/>
  <c r="B934" i="6"/>
  <c r="H933" i="6"/>
  <c r="G933" i="6"/>
  <c r="F933" i="6"/>
  <c r="E933" i="6"/>
  <c r="D933" i="6"/>
  <c r="C933" i="6"/>
  <c r="B933" i="6"/>
  <c r="H932" i="6"/>
  <c r="G932" i="6"/>
  <c r="F932" i="6"/>
  <c r="E932" i="6"/>
  <c r="D932" i="6"/>
  <c r="C932" i="6"/>
  <c r="B932" i="6"/>
  <c r="H931" i="6"/>
  <c r="G931" i="6"/>
  <c r="F931" i="6"/>
  <c r="E931" i="6"/>
  <c r="J931" i="6" s="1"/>
  <c r="D931" i="6"/>
  <c r="C931" i="6"/>
  <c r="B931" i="6"/>
  <c r="H930" i="6"/>
  <c r="G930" i="6"/>
  <c r="F930" i="6"/>
  <c r="E930" i="6"/>
  <c r="D930" i="6"/>
  <c r="C930" i="6"/>
  <c r="B930" i="6"/>
  <c r="H929" i="6"/>
  <c r="G929" i="6"/>
  <c r="M929" i="6" s="1"/>
  <c r="F929" i="6"/>
  <c r="E929" i="6"/>
  <c r="D929" i="6"/>
  <c r="C929" i="6"/>
  <c r="B929" i="6"/>
  <c r="H928" i="6"/>
  <c r="G928" i="6"/>
  <c r="F928" i="6"/>
  <c r="E928" i="6"/>
  <c r="D928" i="6"/>
  <c r="C928" i="6"/>
  <c r="B928" i="6"/>
  <c r="H927" i="6"/>
  <c r="G927" i="6"/>
  <c r="M927" i="6" s="1"/>
  <c r="F927" i="6"/>
  <c r="E927" i="6"/>
  <c r="D927" i="6"/>
  <c r="C927" i="6"/>
  <c r="B927" i="6"/>
  <c r="H926" i="6"/>
  <c r="G926" i="6"/>
  <c r="F926" i="6"/>
  <c r="E926" i="6"/>
  <c r="D926" i="6"/>
  <c r="I926" i="6" s="1"/>
  <c r="C926" i="6"/>
  <c r="B926" i="6"/>
  <c r="H925" i="6"/>
  <c r="G925" i="6"/>
  <c r="F925" i="6"/>
  <c r="E925" i="6"/>
  <c r="D925" i="6"/>
  <c r="C925" i="6"/>
  <c r="M925" i="6" s="1"/>
  <c r="B925" i="6"/>
  <c r="L925" i="6" s="1"/>
  <c r="H924" i="6"/>
  <c r="G924" i="6"/>
  <c r="F924" i="6"/>
  <c r="E924" i="6"/>
  <c r="D924" i="6"/>
  <c r="C924" i="6"/>
  <c r="B924" i="6"/>
  <c r="L924" i="6" s="1"/>
  <c r="H923" i="6"/>
  <c r="G923" i="6"/>
  <c r="F923" i="6"/>
  <c r="E923" i="6"/>
  <c r="D923" i="6"/>
  <c r="C923" i="6"/>
  <c r="B923" i="6"/>
  <c r="M922" i="6"/>
  <c r="H922" i="6"/>
  <c r="G922" i="6"/>
  <c r="F922" i="6"/>
  <c r="E922" i="6"/>
  <c r="D922" i="6"/>
  <c r="C922" i="6"/>
  <c r="B922" i="6"/>
  <c r="L922" i="6" s="1"/>
  <c r="H921" i="6"/>
  <c r="G921" i="6"/>
  <c r="F921" i="6"/>
  <c r="E921" i="6"/>
  <c r="D921" i="6"/>
  <c r="C921" i="6"/>
  <c r="B921" i="6"/>
  <c r="H920" i="6"/>
  <c r="G920" i="6"/>
  <c r="F920" i="6"/>
  <c r="E920" i="6"/>
  <c r="D920" i="6"/>
  <c r="C920" i="6"/>
  <c r="B920" i="6"/>
  <c r="I920" i="6" s="1"/>
  <c r="H919" i="6"/>
  <c r="G919" i="6"/>
  <c r="F919" i="6"/>
  <c r="E919" i="6"/>
  <c r="D919" i="6"/>
  <c r="C919" i="6"/>
  <c r="B919" i="6"/>
  <c r="H918" i="6"/>
  <c r="G918" i="6"/>
  <c r="M918" i="6" s="1"/>
  <c r="F918" i="6"/>
  <c r="E918" i="6"/>
  <c r="D918" i="6"/>
  <c r="C918" i="6"/>
  <c r="B918" i="6"/>
  <c r="H917" i="6"/>
  <c r="G917" i="6"/>
  <c r="F917" i="6"/>
  <c r="E917" i="6"/>
  <c r="D917" i="6"/>
  <c r="C917" i="6"/>
  <c r="B917" i="6"/>
  <c r="H916" i="6"/>
  <c r="G916" i="6"/>
  <c r="F916" i="6"/>
  <c r="E916" i="6"/>
  <c r="D916" i="6"/>
  <c r="C916" i="6"/>
  <c r="B916" i="6"/>
  <c r="H915" i="6"/>
  <c r="G915" i="6"/>
  <c r="F915" i="6"/>
  <c r="E915" i="6"/>
  <c r="D915" i="6"/>
  <c r="C915" i="6"/>
  <c r="B915" i="6"/>
  <c r="H914" i="6"/>
  <c r="G914" i="6"/>
  <c r="F914" i="6"/>
  <c r="E914" i="6"/>
  <c r="D914" i="6"/>
  <c r="C914" i="6"/>
  <c r="M914" i="6" s="1"/>
  <c r="B914" i="6"/>
  <c r="L914" i="6" s="1"/>
  <c r="H913" i="6"/>
  <c r="G913" i="6"/>
  <c r="F913" i="6"/>
  <c r="E913" i="6"/>
  <c r="D913" i="6"/>
  <c r="C913" i="6"/>
  <c r="B913" i="6"/>
  <c r="L913" i="6" s="1"/>
  <c r="H912" i="6"/>
  <c r="G912" i="6"/>
  <c r="F912" i="6"/>
  <c r="E912" i="6"/>
  <c r="D912" i="6"/>
  <c r="C912" i="6"/>
  <c r="B912" i="6"/>
  <c r="L912" i="6" s="1"/>
  <c r="H911" i="6"/>
  <c r="G911" i="6"/>
  <c r="F911" i="6"/>
  <c r="E911" i="6"/>
  <c r="D911" i="6"/>
  <c r="C911" i="6"/>
  <c r="B911" i="6"/>
  <c r="H910" i="6"/>
  <c r="G910" i="6"/>
  <c r="F910" i="6"/>
  <c r="E910" i="6"/>
  <c r="D910" i="6"/>
  <c r="C910" i="6"/>
  <c r="B910" i="6"/>
  <c r="H909" i="6"/>
  <c r="G909" i="6"/>
  <c r="F909" i="6"/>
  <c r="E909" i="6"/>
  <c r="D909" i="6"/>
  <c r="C909" i="6"/>
  <c r="B909" i="6"/>
  <c r="H908" i="6"/>
  <c r="G908" i="6"/>
  <c r="F908" i="6"/>
  <c r="E908" i="6"/>
  <c r="D908" i="6"/>
  <c r="C908" i="6"/>
  <c r="B908" i="6"/>
  <c r="H907" i="6"/>
  <c r="G907" i="6"/>
  <c r="F907" i="6"/>
  <c r="E907" i="6"/>
  <c r="D907" i="6"/>
  <c r="C907" i="6"/>
  <c r="B907" i="6"/>
  <c r="H906" i="6"/>
  <c r="G906" i="6"/>
  <c r="F906" i="6"/>
  <c r="E906" i="6"/>
  <c r="D906" i="6"/>
  <c r="C906" i="6"/>
  <c r="B906" i="6"/>
  <c r="H905" i="6"/>
  <c r="G905" i="6"/>
  <c r="F905" i="6"/>
  <c r="E905" i="6"/>
  <c r="D905" i="6"/>
  <c r="C905" i="6"/>
  <c r="B905" i="6"/>
  <c r="H904" i="6"/>
  <c r="G904" i="6"/>
  <c r="F904" i="6"/>
  <c r="E904" i="6"/>
  <c r="D904" i="6"/>
  <c r="C904" i="6"/>
  <c r="B904" i="6"/>
  <c r="H903" i="6"/>
  <c r="G903" i="6"/>
  <c r="F903" i="6"/>
  <c r="E903" i="6"/>
  <c r="D903" i="6"/>
  <c r="C903" i="6"/>
  <c r="B903" i="6"/>
  <c r="H902" i="6"/>
  <c r="G902" i="6"/>
  <c r="F902" i="6"/>
  <c r="E902" i="6"/>
  <c r="D902" i="6"/>
  <c r="C902" i="6"/>
  <c r="B902" i="6"/>
  <c r="H901" i="6"/>
  <c r="G901" i="6"/>
  <c r="M901" i="6" s="1"/>
  <c r="F901" i="6"/>
  <c r="E901" i="6"/>
  <c r="D901" i="6"/>
  <c r="C901" i="6"/>
  <c r="B901" i="6"/>
  <c r="H900" i="6"/>
  <c r="G900" i="6"/>
  <c r="F900" i="6"/>
  <c r="I900" i="6" s="1"/>
  <c r="E900" i="6"/>
  <c r="D900" i="6"/>
  <c r="C900" i="6"/>
  <c r="B900" i="6"/>
  <c r="H899" i="6"/>
  <c r="G899" i="6"/>
  <c r="F899" i="6"/>
  <c r="E899" i="6"/>
  <c r="J899" i="6" s="1"/>
  <c r="D899" i="6"/>
  <c r="I899" i="6" s="1"/>
  <c r="C899" i="6"/>
  <c r="B899" i="6"/>
  <c r="H898" i="6"/>
  <c r="G898" i="6"/>
  <c r="F898" i="6"/>
  <c r="E898" i="6"/>
  <c r="D898" i="6"/>
  <c r="C898" i="6"/>
  <c r="B898" i="6"/>
  <c r="H897" i="6"/>
  <c r="G897" i="6"/>
  <c r="F897" i="6"/>
  <c r="E897" i="6"/>
  <c r="D897" i="6"/>
  <c r="C897" i="6"/>
  <c r="B897" i="6"/>
  <c r="H896" i="6"/>
  <c r="G896" i="6"/>
  <c r="F896" i="6"/>
  <c r="E896" i="6"/>
  <c r="D896" i="6"/>
  <c r="C896" i="6"/>
  <c r="B896" i="6"/>
  <c r="H895" i="6"/>
  <c r="L895" i="6" s="1"/>
  <c r="G895" i="6"/>
  <c r="F895" i="6"/>
  <c r="E895" i="6"/>
  <c r="D895" i="6"/>
  <c r="C895" i="6"/>
  <c r="B895" i="6"/>
  <c r="H894" i="6"/>
  <c r="L894" i="6" s="1"/>
  <c r="G894" i="6"/>
  <c r="F894" i="6"/>
  <c r="E894" i="6"/>
  <c r="D894" i="6"/>
  <c r="C894" i="6"/>
  <c r="B894" i="6"/>
  <c r="H893" i="6"/>
  <c r="L893" i="6" s="1"/>
  <c r="G893" i="6"/>
  <c r="F893" i="6"/>
  <c r="E893" i="6"/>
  <c r="D893" i="6"/>
  <c r="C893" i="6"/>
  <c r="B893" i="6"/>
  <c r="H892" i="6"/>
  <c r="L892" i="6" s="1"/>
  <c r="G892" i="6"/>
  <c r="F892" i="6"/>
  <c r="E892" i="6"/>
  <c r="D892" i="6"/>
  <c r="C892" i="6"/>
  <c r="B892" i="6"/>
  <c r="H891" i="6"/>
  <c r="G891" i="6"/>
  <c r="F891" i="6"/>
  <c r="E891" i="6"/>
  <c r="D891" i="6"/>
  <c r="C891" i="6"/>
  <c r="B891" i="6"/>
  <c r="H890" i="6"/>
  <c r="G890" i="6"/>
  <c r="F890" i="6"/>
  <c r="E890" i="6"/>
  <c r="D890" i="6"/>
  <c r="C890" i="6"/>
  <c r="B890" i="6"/>
  <c r="H889" i="6"/>
  <c r="G889" i="6"/>
  <c r="F889" i="6"/>
  <c r="E889" i="6"/>
  <c r="D889" i="6"/>
  <c r="C889" i="6"/>
  <c r="B889" i="6"/>
  <c r="H888" i="6"/>
  <c r="G888" i="6"/>
  <c r="F888" i="6"/>
  <c r="E888" i="6"/>
  <c r="D888" i="6"/>
  <c r="C888" i="6"/>
  <c r="B888" i="6"/>
  <c r="H887" i="6"/>
  <c r="G887" i="6"/>
  <c r="F887" i="6"/>
  <c r="E887" i="6"/>
  <c r="D887" i="6"/>
  <c r="C887" i="6"/>
  <c r="B887" i="6"/>
  <c r="H886" i="6"/>
  <c r="L886" i="6" s="1"/>
  <c r="G886" i="6"/>
  <c r="F886" i="6"/>
  <c r="E886" i="6"/>
  <c r="D886" i="6"/>
  <c r="C886" i="6"/>
  <c r="M886" i="6" s="1"/>
  <c r="B886" i="6"/>
  <c r="H885" i="6"/>
  <c r="G885" i="6"/>
  <c r="F885" i="6"/>
  <c r="E885" i="6"/>
  <c r="D885" i="6"/>
  <c r="C885" i="6"/>
  <c r="M885" i="6" s="1"/>
  <c r="B885" i="6"/>
  <c r="H884" i="6"/>
  <c r="G884" i="6"/>
  <c r="F884" i="6"/>
  <c r="E884" i="6"/>
  <c r="D884" i="6"/>
  <c r="C884" i="6"/>
  <c r="B884" i="6"/>
  <c r="H883" i="6"/>
  <c r="G883" i="6"/>
  <c r="F883" i="6"/>
  <c r="E883" i="6"/>
  <c r="D883" i="6"/>
  <c r="C883" i="6"/>
  <c r="B883" i="6"/>
  <c r="H882" i="6"/>
  <c r="G882" i="6"/>
  <c r="M882" i="6" s="1"/>
  <c r="F882" i="6"/>
  <c r="E882" i="6"/>
  <c r="D882" i="6"/>
  <c r="C882" i="6"/>
  <c r="B882" i="6"/>
  <c r="H881" i="6"/>
  <c r="G881" i="6"/>
  <c r="F881" i="6"/>
  <c r="E881" i="6"/>
  <c r="D881" i="6"/>
  <c r="C881" i="6"/>
  <c r="B881" i="6"/>
  <c r="H880" i="6"/>
  <c r="G880" i="6"/>
  <c r="F880" i="6"/>
  <c r="E880" i="6"/>
  <c r="D880" i="6"/>
  <c r="C880" i="6"/>
  <c r="B880" i="6"/>
  <c r="H879" i="6"/>
  <c r="G879" i="6"/>
  <c r="F879" i="6"/>
  <c r="E879" i="6"/>
  <c r="J879" i="6" s="1"/>
  <c r="D879" i="6"/>
  <c r="C879" i="6"/>
  <c r="B879" i="6"/>
  <c r="H878" i="6"/>
  <c r="G878" i="6"/>
  <c r="F878" i="6"/>
  <c r="E878" i="6"/>
  <c r="D878" i="6"/>
  <c r="C878" i="6"/>
  <c r="B878" i="6"/>
  <c r="H877" i="6"/>
  <c r="G877" i="6"/>
  <c r="F877" i="6"/>
  <c r="E877" i="6"/>
  <c r="D877" i="6"/>
  <c r="C877" i="6"/>
  <c r="B877" i="6"/>
  <c r="H876" i="6"/>
  <c r="G876" i="6"/>
  <c r="F876" i="6"/>
  <c r="E876" i="6"/>
  <c r="D876" i="6"/>
  <c r="C876" i="6"/>
  <c r="B876" i="6"/>
  <c r="H875" i="6"/>
  <c r="G875" i="6"/>
  <c r="F875" i="6"/>
  <c r="E875" i="6"/>
  <c r="D875" i="6"/>
  <c r="C875" i="6"/>
  <c r="B875" i="6"/>
  <c r="H874" i="6"/>
  <c r="G874" i="6"/>
  <c r="F874" i="6"/>
  <c r="E874" i="6"/>
  <c r="D874" i="6"/>
  <c r="C874" i="6"/>
  <c r="B874" i="6"/>
  <c r="H873" i="6"/>
  <c r="G873" i="6"/>
  <c r="F873" i="6"/>
  <c r="E873" i="6"/>
  <c r="D873" i="6"/>
  <c r="C873" i="6"/>
  <c r="B873" i="6"/>
  <c r="H872" i="6"/>
  <c r="G872" i="6"/>
  <c r="F872" i="6"/>
  <c r="E872" i="6"/>
  <c r="D872" i="6"/>
  <c r="C872" i="6"/>
  <c r="B872" i="6"/>
  <c r="H871" i="6"/>
  <c r="G871" i="6"/>
  <c r="F871" i="6"/>
  <c r="E871" i="6"/>
  <c r="D871" i="6"/>
  <c r="C871" i="6"/>
  <c r="B871" i="6"/>
  <c r="H870" i="6"/>
  <c r="G870" i="6"/>
  <c r="F870" i="6"/>
  <c r="E870" i="6"/>
  <c r="D870" i="6"/>
  <c r="C870" i="6"/>
  <c r="B870" i="6"/>
  <c r="H869" i="6"/>
  <c r="G869" i="6"/>
  <c r="F869" i="6"/>
  <c r="E869" i="6"/>
  <c r="D869" i="6"/>
  <c r="C869" i="6"/>
  <c r="B869" i="6"/>
  <c r="H868" i="6"/>
  <c r="G868" i="6"/>
  <c r="F868" i="6"/>
  <c r="E868" i="6"/>
  <c r="D868" i="6"/>
  <c r="C868" i="6"/>
  <c r="B868" i="6"/>
  <c r="H867" i="6"/>
  <c r="M867" i="6" s="1"/>
  <c r="G867" i="6"/>
  <c r="F867" i="6"/>
  <c r="E867" i="6"/>
  <c r="D867" i="6"/>
  <c r="C867" i="6"/>
  <c r="B867" i="6"/>
  <c r="H866" i="6"/>
  <c r="G866" i="6"/>
  <c r="F866" i="6"/>
  <c r="E866" i="6"/>
  <c r="D866" i="6"/>
  <c r="C866" i="6"/>
  <c r="B866" i="6"/>
  <c r="H865" i="6"/>
  <c r="G865" i="6"/>
  <c r="F865" i="6"/>
  <c r="E865" i="6"/>
  <c r="D865" i="6"/>
  <c r="C865" i="6"/>
  <c r="B865" i="6"/>
  <c r="H864" i="6"/>
  <c r="G864" i="6"/>
  <c r="F864" i="6"/>
  <c r="E864" i="6"/>
  <c r="D864" i="6"/>
  <c r="C864" i="6"/>
  <c r="B864" i="6"/>
  <c r="H863" i="6"/>
  <c r="G863" i="6"/>
  <c r="F863" i="6"/>
  <c r="E863" i="6"/>
  <c r="J863" i="6" s="1"/>
  <c r="D863" i="6"/>
  <c r="C863" i="6"/>
  <c r="B863" i="6"/>
  <c r="H862" i="6"/>
  <c r="G862" i="6"/>
  <c r="F862" i="6"/>
  <c r="E862" i="6"/>
  <c r="D862" i="6"/>
  <c r="C862" i="6"/>
  <c r="M862" i="6" s="1"/>
  <c r="B862" i="6"/>
  <c r="H861" i="6"/>
  <c r="G861" i="6"/>
  <c r="F861" i="6"/>
  <c r="E861" i="6"/>
  <c r="D861" i="6"/>
  <c r="C861" i="6"/>
  <c r="B861" i="6"/>
  <c r="L861" i="6" s="1"/>
  <c r="H860" i="6"/>
  <c r="G860" i="6"/>
  <c r="F860" i="6"/>
  <c r="E860" i="6"/>
  <c r="D860" i="6"/>
  <c r="C860" i="6"/>
  <c r="B860" i="6"/>
  <c r="M859" i="6"/>
  <c r="H859" i="6"/>
  <c r="G859" i="6"/>
  <c r="F859" i="6"/>
  <c r="E859" i="6"/>
  <c r="D859" i="6"/>
  <c r="C859" i="6"/>
  <c r="B859" i="6"/>
  <c r="H858" i="6"/>
  <c r="G858" i="6"/>
  <c r="F858" i="6"/>
  <c r="E858" i="6"/>
  <c r="D858" i="6"/>
  <c r="C858" i="6"/>
  <c r="B858" i="6"/>
  <c r="H857" i="6"/>
  <c r="G857" i="6"/>
  <c r="F857" i="6"/>
  <c r="E857" i="6"/>
  <c r="D857" i="6"/>
  <c r="C857" i="6"/>
  <c r="B857" i="6"/>
  <c r="H856" i="6"/>
  <c r="G856" i="6"/>
  <c r="F856" i="6"/>
  <c r="E856" i="6"/>
  <c r="D856" i="6"/>
  <c r="C856" i="6"/>
  <c r="B856" i="6"/>
  <c r="H855" i="6"/>
  <c r="G855" i="6"/>
  <c r="F855" i="6"/>
  <c r="E855" i="6"/>
  <c r="D855" i="6"/>
  <c r="C855" i="6"/>
  <c r="B855" i="6"/>
  <c r="H854" i="6"/>
  <c r="G854" i="6"/>
  <c r="F854" i="6"/>
  <c r="E854" i="6"/>
  <c r="D854" i="6"/>
  <c r="C854" i="6"/>
  <c r="M854" i="6" s="1"/>
  <c r="B854" i="6"/>
  <c r="H853" i="6"/>
  <c r="G853" i="6"/>
  <c r="F853" i="6"/>
  <c r="E853" i="6"/>
  <c r="J853" i="6" s="1"/>
  <c r="D853" i="6"/>
  <c r="C853" i="6"/>
  <c r="B853" i="6"/>
  <c r="H852" i="6"/>
  <c r="G852" i="6"/>
  <c r="F852" i="6"/>
  <c r="E852" i="6"/>
  <c r="D852" i="6"/>
  <c r="C852" i="6"/>
  <c r="B852" i="6"/>
  <c r="H851" i="6"/>
  <c r="G851" i="6"/>
  <c r="F851" i="6"/>
  <c r="E851" i="6"/>
  <c r="D851" i="6"/>
  <c r="C851" i="6"/>
  <c r="B851" i="6"/>
  <c r="H850" i="6"/>
  <c r="G850" i="6"/>
  <c r="F850" i="6"/>
  <c r="E850" i="6"/>
  <c r="D850" i="6"/>
  <c r="C850" i="6"/>
  <c r="B850" i="6"/>
  <c r="H849" i="6"/>
  <c r="G849" i="6"/>
  <c r="F849" i="6"/>
  <c r="E849" i="6"/>
  <c r="D849" i="6"/>
  <c r="C849" i="6"/>
  <c r="B849" i="6"/>
  <c r="H848" i="6"/>
  <c r="G848" i="6"/>
  <c r="F848" i="6"/>
  <c r="E848" i="6"/>
  <c r="D848" i="6"/>
  <c r="C848" i="6"/>
  <c r="B848" i="6"/>
  <c r="H847" i="6"/>
  <c r="G847" i="6"/>
  <c r="F847" i="6"/>
  <c r="E847" i="6"/>
  <c r="D847" i="6"/>
  <c r="C847" i="6"/>
  <c r="B847" i="6"/>
  <c r="H846" i="6"/>
  <c r="G846" i="6"/>
  <c r="F846" i="6"/>
  <c r="E846" i="6"/>
  <c r="D846" i="6"/>
  <c r="C846" i="6"/>
  <c r="B846" i="6"/>
  <c r="H845" i="6"/>
  <c r="G845" i="6"/>
  <c r="F845" i="6"/>
  <c r="E845" i="6"/>
  <c r="D845" i="6"/>
  <c r="C845" i="6"/>
  <c r="B845" i="6"/>
  <c r="H844" i="6"/>
  <c r="G844" i="6"/>
  <c r="F844" i="6"/>
  <c r="E844" i="6"/>
  <c r="D844" i="6"/>
  <c r="C844" i="6"/>
  <c r="B844" i="6"/>
  <c r="H843" i="6"/>
  <c r="G843" i="6"/>
  <c r="F843" i="6"/>
  <c r="E843" i="6"/>
  <c r="D843" i="6"/>
  <c r="C843" i="6"/>
  <c r="B843" i="6"/>
  <c r="H842" i="6"/>
  <c r="G842" i="6"/>
  <c r="F842" i="6"/>
  <c r="E842" i="6"/>
  <c r="D842" i="6"/>
  <c r="C842" i="6"/>
  <c r="B842" i="6"/>
  <c r="H841" i="6"/>
  <c r="G841" i="6"/>
  <c r="F841" i="6"/>
  <c r="E841" i="6"/>
  <c r="D841" i="6"/>
  <c r="C841" i="6"/>
  <c r="B841" i="6"/>
  <c r="H840" i="6"/>
  <c r="G840" i="6"/>
  <c r="F840" i="6"/>
  <c r="E840" i="6"/>
  <c r="D840" i="6"/>
  <c r="C840" i="6"/>
  <c r="B840" i="6"/>
  <c r="H839" i="6"/>
  <c r="G839" i="6"/>
  <c r="F839" i="6"/>
  <c r="E839" i="6"/>
  <c r="J839" i="6" s="1"/>
  <c r="D839" i="6"/>
  <c r="C839" i="6"/>
  <c r="B839" i="6"/>
  <c r="H838" i="6"/>
  <c r="G838" i="6"/>
  <c r="F838" i="6"/>
  <c r="E838" i="6"/>
  <c r="D838" i="6"/>
  <c r="C838" i="6"/>
  <c r="B838" i="6"/>
  <c r="H837" i="6"/>
  <c r="G837" i="6"/>
  <c r="F837" i="6"/>
  <c r="E837" i="6"/>
  <c r="D837" i="6"/>
  <c r="C837" i="6"/>
  <c r="M837" i="6" s="1"/>
  <c r="B837" i="6"/>
  <c r="H836" i="6"/>
  <c r="G836" i="6"/>
  <c r="F836" i="6"/>
  <c r="E836" i="6"/>
  <c r="D836" i="6"/>
  <c r="C836" i="6"/>
  <c r="B836" i="6"/>
  <c r="H835" i="6"/>
  <c r="G835" i="6"/>
  <c r="F835" i="6"/>
  <c r="E835" i="6"/>
  <c r="D835" i="6"/>
  <c r="C835" i="6"/>
  <c r="B835" i="6"/>
  <c r="H834" i="6"/>
  <c r="G834" i="6"/>
  <c r="F834" i="6"/>
  <c r="E834" i="6"/>
  <c r="D834" i="6"/>
  <c r="C834" i="6"/>
  <c r="B834" i="6"/>
  <c r="H833" i="6"/>
  <c r="G833" i="6"/>
  <c r="M833" i="6" s="1"/>
  <c r="F833" i="6"/>
  <c r="E833" i="6"/>
  <c r="D833" i="6"/>
  <c r="C833" i="6"/>
  <c r="B833" i="6"/>
  <c r="H832" i="6"/>
  <c r="G832" i="6"/>
  <c r="F832" i="6"/>
  <c r="E832" i="6"/>
  <c r="D832" i="6"/>
  <c r="C832" i="6"/>
  <c r="B832" i="6"/>
  <c r="H831" i="6"/>
  <c r="G831" i="6"/>
  <c r="F831" i="6"/>
  <c r="E831" i="6"/>
  <c r="D831" i="6"/>
  <c r="C831" i="6"/>
  <c r="B831" i="6"/>
  <c r="H830" i="6"/>
  <c r="G830" i="6"/>
  <c r="F830" i="6"/>
  <c r="E830" i="6"/>
  <c r="D830" i="6"/>
  <c r="C830" i="6"/>
  <c r="B830" i="6"/>
  <c r="H829" i="6"/>
  <c r="G829" i="6"/>
  <c r="F829" i="6"/>
  <c r="E829" i="6"/>
  <c r="D829" i="6"/>
  <c r="C829" i="6"/>
  <c r="B829" i="6"/>
  <c r="H828" i="6"/>
  <c r="G828" i="6"/>
  <c r="F828" i="6"/>
  <c r="E828" i="6"/>
  <c r="D828" i="6"/>
  <c r="C828" i="6"/>
  <c r="B828" i="6"/>
  <c r="H827" i="6"/>
  <c r="G827" i="6"/>
  <c r="F827" i="6"/>
  <c r="E827" i="6"/>
  <c r="D827" i="6"/>
  <c r="C827" i="6"/>
  <c r="B827" i="6"/>
  <c r="H826" i="6"/>
  <c r="G826" i="6"/>
  <c r="F826" i="6"/>
  <c r="E826" i="6"/>
  <c r="D826" i="6"/>
  <c r="C826" i="6"/>
  <c r="B826" i="6"/>
  <c r="H825" i="6"/>
  <c r="G825" i="6"/>
  <c r="F825" i="6"/>
  <c r="E825" i="6"/>
  <c r="D825" i="6"/>
  <c r="C825" i="6"/>
  <c r="B825" i="6"/>
  <c r="H824" i="6"/>
  <c r="G824" i="6"/>
  <c r="F824" i="6"/>
  <c r="E824" i="6"/>
  <c r="D824" i="6"/>
  <c r="C824" i="6"/>
  <c r="B824" i="6"/>
  <c r="H823" i="6"/>
  <c r="G823" i="6"/>
  <c r="F823" i="6"/>
  <c r="E823" i="6"/>
  <c r="J823" i="6" s="1"/>
  <c r="D823" i="6"/>
  <c r="C823" i="6"/>
  <c r="B823" i="6"/>
  <c r="H822" i="6"/>
  <c r="G822" i="6"/>
  <c r="F822" i="6"/>
  <c r="E822" i="6"/>
  <c r="D822" i="6"/>
  <c r="C822" i="6"/>
  <c r="B822" i="6"/>
  <c r="H821" i="6"/>
  <c r="G821" i="6"/>
  <c r="F821" i="6"/>
  <c r="E821" i="6"/>
  <c r="D821" i="6"/>
  <c r="C821" i="6"/>
  <c r="J821" i="6" s="1"/>
  <c r="B821" i="6"/>
  <c r="H820" i="6"/>
  <c r="G820" i="6"/>
  <c r="F820" i="6"/>
  <c r="E820" i="6"/>
  <c r="D820" i="6"/>
  <c r="C820" i="6"/>
  <c r="B820" i="6"/>
  <c r="L820" i="6" s="1"/>
  <c r="H819" i="6"/>
  <c r="G819" i="6"/>
  <c r="F819" i="6"/>
  <c r="E819" i="6"/>
  <c r="D819" i="6"/>
  <c r="C819" i="6"/>
  <c r="B819" i="6"/>
  <c r="H818" i="6"/>
  <c r="G818" i="6"/>
  <c r="F818" i="6"/>
  <c r="E818" i="6"/>
  <c r="D818" i="6"/>
  <c r="C818" i="6"/>
  <c r="B818" i="6"/>
  <c r="H817" i="6"/>
  <c r="G817" i="6"/>
  <c r="F817" i="6"/>
  <c r="E817" i="6"/>
  <c r="D817" i="6"/>
  <c r="C817" i="6"/>
  <c r="B817" i="6"/>
  <c r="H816" i="6"/>
  <c r="G816" i="6"/>
  <c r="F816" i="6"/>
  <c r="E816" i="6"/>
  <c r="D816" i="6"/>
  <c r="C816" i="6"/>
  <c r="B816" i="6"/>
  <c r="H815" i="6"/>
  <c r="G815" i="6"/>
  <c r="M815" i="6" s="1"/>
  <c r="F815" i="6"/>
  <c r="E815" i="6"/>
  <c r="D815" i="6"/>
  <c r="C815" i="6"/>
  <c r="B815" i="6"/>
  <c r="H814" i="6"/>
  <c r="G814" i="6"/>
  <c r="F814" i="6"/>
  <c r="E814" i="6"/>
  <c r="D814" i="6"/>
  <c r="C814" i="6"/>
  <c r="B814" i="6"/>
  <c r="H813" i="6"/>
  <c r="G813" i="6"/>
  <c r="F813" i="6"/>
  <c r="E813" i="6"/>
  <c r="D813" i="6"/>
  <c r="C813" i="6"/>
  <c r="B813" i="6"/>
  <c r="H812" i="6"/>
  <c r="G812" i="6"/>
  <c r="F812" i="6"/>
  <c r="E812" i="6"/>
  <c r="D812" i="6"/>
  <c r="C812" i="6"/>
  <c r="B812" i="6"/>
  <c r="H811" i="6"/>
  <c r="G811" i="6"/>
  <c r="F811" i="6"/>
  <c r="E811" i="6"/>
  <c r="D811" i="6"/>
  <c r="C811" i="6"/>
  <c r="B811" i="6"/>
  <c r="H810" i="6"/>
  <c r="G810" i="6"/>
  <c r="F810" i="6"/>
  <c r="E810" i="6"/>
  <c r="D810" i="6"/>
  <c r="C810" i="6"/>
  <c r="B810" i="6"/>
  <c r="H809" i="6"/>
  <c r="G809" i="6"/>
  <c r="F809" i="6"/>
  <c r="E809" i="6"/>
  <c r="D809" i="6"/>
  <c r="C809" i="6"/>
  <c r="J809" i="6" s="1"/>
  <c r="B809" i="6"/>
  <c r="H808" i="6"/>
  <c r="G808" i="6"/>
  <c r="F808" i="6"/>
  <c r="E808" i="6"/>
  <c r="D808" i="6"/>
  <c r="C808" i="6"/>
  <c r="B808" i="6"/>
  <c r="H807" i="6"/>
  <c r="G807" i="6"/>
  <c r="F807" i="6"/>
  <c r="E807" i="6"/>
  <c r="D807" i="6"/>
  <c r="C807" i="6"/>
  <c r="B807" i="6"/>
  <c r="H806" i="6"/>
  <c r="G806" i="6"/>
  <c r="F806" i="6"/>
  <c r="E806" i="6"/>
  <c r="D806" i="6"/>
  <c r="C806" i="6"/>
  <c r="B806" i="6"/>
  <c r="H805" i="6"/>
  <c r="G805" i="6"/>
  <c r="F805" i="6"/>
  <c r="E805" i="6"/>
  <c r="D805" i="6"/>
  <c r="C805" i="6"/>
  <c r="B805" i="6"/>
  <c r="H804" i="6"/>
  <c r="G804" i="6"/>
  <c r="F804" i="6"/>
  <c r="E804" i="6"/>
  <c r="D804" i="6"/>
  <c r="C804" i="6"/>
  <c r="B804" i="6"/>
  <c r="H803" i="6"/>
  <c r="G803" i="6"/>
  <c r="F803" i="6"/>
  <c r="E803" i="6"/>
  <c r="D803" i="6"/>
  <c r="C803" i="6"/>
  <c r="B803" i="6"/>
  <c r="H802" i="6"/>
  <c r="G802" i="6"/>
  <c r="F802" i="6"/>
  <c r="E802" i="6"/>
  <c r="D802" i="6"/>
  <c r="C802" i="6"/>
  <c r="B802" i="6"/>
  <c r="H801" i="6"/>
  <c r="G801" i="6"/>
  <c r="F801" i="6"/>
  <c r="E801" i="6"/>
  <c r="D801" i="6"/>
  <c r="C801" i="6"/>
  <c r="B801" i="6"/>
  <c r="H800" i="6"/>
  <c r="G800" i="6"/>
  <c r="F800" i="6"/>
  <c r="E800" i="6"/>
  <c r="D800" i="6"/>
  <c r="C800" i="6"/>
  <c r="B800" i="6"/>
  <c r="H799" i="6"/>
  <c r="G799" i="6"/>
  <c r="F799" i="6"/>
  <c r="E799" i="6"/>
  <c r="D799" i="6"/>
  <c r="C799" i="6"/>
  <c r="B799" i="6"/>
  <c r="H798" i="6"/>
  <c r="G798" i="6"/>
  <c r="F798" i="6"/>
  <c r="E798" i="6"/>
  <c r="D798" i="6"/>
  <c r="C798" i="6"/>
  <c r="B798" i="6"/>
  <c r="H797" i="6"/>
  <c r="G797" i="6"/>
  <c r="L797" i="6" s="1"/>
  <c r="F797" i="6"/>
  <c r="E797" i="6"/>
  <c r="D797" i="6"/>
  <c r="C797" i="6"/>
  <c r="M797" i="6" s="1"/>
  <c r="B797" i="6"/>
  <c r="H796" i="6"/>
  <c r="G796" i="6"/>
  <c r="L796" i="6" s="1"/>
  <c r="F796" i="6"/>
  <c r="E796" i="6"/>
  <c r="D796" i="6"/>
  <c r="C796" i="6"/>
  <c r="B796" i="6"/>
  <c r="H795" i="6"/>
  <c r="G795" i="6"/>
  <c r="F795" i="6"/>
  <c r="E795" i="6"/>
  <c r="D795" i="6"/>
  <c r="C795" i="6"/>
  <c r="B795" i="6"/>
  <c r="H794" i="6"/>
  <c r="G794" i="6"/>
  <c r="F794" i="6"/>
  <c r="E794" i="6"/>
  <c r="D794" i="6"/>
  <c r="C794" i="6"/>
  <c r="B794" i="6"/>
  <c r="H793" i="6"/>
  <c r="G793" i="6"/>
  <c r="F793" i="6"/>
  <c r="E793" i="6"/>
  <c r="D793" i="6"/>
  <c r="C793" i="6"/>
  <c r="B793" i="6"/>
  <c r="J792" i="6"/>
  <c r="H792" i="6"/>
  <c r="G792" i="6"/>
  <c r="F792" i="6"/>
  <c r="E792" i="6"/>
  <c r="D792" i="6"/>
  <c r="C792" i="6"/>
  <c r="B792" i="6"/>
  <c r="H791" i="6"/>
  <c r="G791" i="6"/>
  <c r="F791" i="6"/>
  <c r="E791" i="6"/>
  <c r="D791" i="6"/>
  <c r="C791" i="6"/>
  <c r="B791" i="6"/>
  <c r="H790" i="6"/>
  <c r="G790" i="6"/>
  <c r="F790" i="6"/>
  <c r="E790" i="6"/>
  <c r="D790" i="6"/>
  <c r="C790" i="6"/>
  <c r="B790" i="6"/>
  <c r="H789" i="6"/>
  <c r="G789" i="6"/>
  <c r="F789" i="6"/>
  <c r="J789" i="6" s="1"/>
  <c r="E789" i="6"/>
  <c r="D789" i="6"/>
  <c r="C789" i="6"/>
  <c r="B789" i="6"/>
  <c r="H788" i="6"/>
  <c r="G788" i="6"/>
  <c r="F788" i="6"/>
  <c r="J788" i="6" s="1"/>
  <c r="E788" i="6"/>
  <c r="D788" i="6"/>
  <c r="C788" i="6"/>
  <c r="B788" i="6"/>
  <c r="H787" i="6"/>
  <c r="G787" i="6"/>
  <c r="F787" i="6"/>
  <c r="E787" i="6"/>
  <c r="D787" i="6"/>
  <c r="C787" i="6"/>
  <c r="B787" i="6"/>
  <c r="H786" i="6"/>
  <c r="G786" i="6"/>
  <c r="F786" i="6"/>
  <c r="E786" i="6"/>
  <c r="D786" i="6"/>
  <c r="C786" i="6"/>
  <c r="B786" i="6"/>
  <c r="H785" i="6"/>
  <c r="G785" i="6"/>
  <c r="F785" i="6"/>
  <c r="E785" i="6"/>
  <c r="D785" i="6"/>
  <c r="C785" i="6"/>
  <c r="B785" i="6"/>
  <c r="H784" i="6"/>
  <c r="G784" i="6"/>
  <c r="F784" i="6"/>
  <c r="E784" i="6"/>
  <c r="D784" i="6"/>
  <c r="C784" i="6"/>
  <c r="B784" i="6"/>
  <c r="H783" i="6"/>
  <c r="G783" i="6"/>
  <c r="F783" i="6"/>
  <c r="E783" i="6"/>
  <c r="D783" i="6"/>
  <c r="C783" i="6"/>
  <c r="B783" i="6"/>
  <c r="H782" i="6"/>
  <c r="G782" i="6"/>
  <c r="F782" i="6"/>
  <c r="E782" i="6"/>
  <c r="D782" i="6"/>
  <c r="C782" i="6"/>
  <c r="B782" i="6"/>
  <c r="H781" i="6"/>
  <c r="G781" i="6"/>
  <c r="F781" i="6"/>
  <c r="E781" i="6"/>
  <c r="D781" i="6"/>
  <c r="C781" i="6"/>
  <c r="B781" i="6"/>
  <c r="H780" i="6"/>
  <c r="G780" i="6"/>
  <c r="F780" i="6"/>
  <c r="E780" i="6"/>
  <c r="D780" i="6"/>
  <c r="C780" i="6"/>
  <c r="B780" i="6"/>
  <c r="H779" i="6"/>
  <c r="G779" i="6"/>
  <c r="F779" i="6"/>
  <c r="E779" i="6"/>
  <c r="D779" i="6"/>
  <c r="C779" i="6"/>
  <c r="B779" i="6"/>
  <c r="H778" i="6"/>
  <c r="G778" i="6"/>
  <c r="F778" i="6"/>
  <c r="E778" i="6"/>
  <c r="D778" i="6"/>
  <c r="C778" i="6"/>
  <c r="B778" i="6"/>
  <c r="H777" i="6"/>
  <c r="G777" i="6"/>
  <c r="F777" i="6"/>
  <c r="E777" i="6"/>
  <c r="D777" i="6"/>
  <c r="C777" i="6"/>
  <c r="B777" i="6"/>
  <c r="H776" i="6"/>
  <c r="G776" i="6"/>
  <c r="F776" i="6"/>
  <c r="E776" i="6"/>
  <c r="D776" i="6"/>
  <c r="C776" i="6"/>
  <c r="J776" i="6" s="1"/>
  <c r="B776" i="6"/>
  <c r="H775" i="6"/>
  <c r="G775" i="6"/>
  <c r="F775" i="6"/>
  <c r="E775" i="6"/>
  <c r="D775" i="6"/>
  <c r="C775" i="6"/>
  <c r="J775" i="6" s="1"/>
  <c r="B775" i="6"/>
  <c r="H774" i="6"/>
  <c r="G774" i="6"/>
  <c r="F774" i="6"/>
  <c r="E774" i="6"/>
  <c r="D774" i="6"/>
  <c r="C774" i="6"/>
  <c r="B774" i="6"/>
  <c r="H773" i="6"/>
  <c r="G773" i="6"/>
  <c r="F773" i="6"/>
  <c r="E773" i="6"/>
  <c r="D773" i="6"/>
  <c r="C773" i="6"/>
  <c r="B773" i="6"/>
  <c r="H772" i="6"/>
  <c r="G772" i="6"/>
  <c r="F772" i="6"/>
  <c r="E772" i="6"/>
  <c r="D772" i="6"/>
  <c r="C772" i="6"/>
  <c r="B772" i="6"/>
  <c r="H771" i="6"/>
  <c r="G771" i="6"/>
  <c r="F771" i="6"/>
  <c r="E771" i="6"/>
  <c r="J771" i="6" s="1"/>
  <c r="D771" i="6"/>
  <c r="C771" i="6"/>
  <c r="B771" i="6"/>
  <c r="H770" i="6"/>
  <c r="G770" i="6"/>
  <c r="F770" i="6"/>
  <c r="E770" i="6"/>
  <c r="D770" i="6"/>
  <c r="C770" i="6"/>
  <c r="B770" i="6"/>
  <c r="H769" i="6"/>
  <c r="G769" i="6"/>
  <c r="F769" i="6"/>
  <c r="E769" i="6"/>
  <c r="D769" i="6"/>
  <c r="C769" i="6"/>
  <c r="M769" i="6" s="1"/>
  <c r="B769" i="6"/>
  <c r="H768" i="6"/>
  <c r="G768" i="6"/>
  <c r="F768" i="6"/>
  <c r="E768" i="6"/>
  <c r="D768" i="6"/>
  <c r="C768" i="6"/>
  <c r="B768" i="6"/>
  <c r="H767" i="6"/>
  <c r="G767" i="6"/>
  <c r="F767" i="6"/>
  <c r="E767" i="6"/>
  <c r="D767" i="6"/>
  <c r="C767" i="6"/>
  <c r="B767" i="6"/>
  <c r="H766" i="6"/>
  <c r="G766" i="6"/>
  <c r="F766" i="6"/>
  <c r="E766" i="6"/>
  <c r="D766" i="6"/>
  <c r="C766" i="6"/>
  <c r="B766" i="6"/>
  <c r="L765" i="6"/>
  <c r="N765" i="6" s="1"/>
  <c r="H765" i="6"/>
  <c r="G765" i="6"/>
  <c r="F765" i="6"/>
  <c r="E765" i="6"/>
  <c r="D765" i="6"/>
  <c r="C765" i="6"/>
  <c r="M765" i="6" s="1"/>
  <c r="B765" i="6"/>
  <c r="H764" i="6"/>
  <c r="G764" i="6"/>
  <c r="F764" i="6"/>
  <c r="E764" i="6"/>
  <c r="D764" i="6"/>
  <c r="C764" i="6"/>
  <c r="J764" i="6" s="1"/>
  <c r="B764" i="6"/>
  <c r="H763" i="6"/>
  <c r="G763" i="6"/>
  <c r="F763" i="6"/>
  <c r="E763" i="6"/>
  <c r="D763" i="6"/>
  <c r="C763" i="6"/>
  <c r="B763" i="6"/>
  <c r="H762" i="6"/>
  <c r="G762" i="6"/>
  <c r="F762" i="6"/>
  <c r="E762" i="6"/>
  <c r="D762" i="6"/>
  <c r="C762" i="6"/>
  <c r="B762" i="6"/>
  <c r="H761" i="6"/>
  <c r="G761" i="6"/>
  <c r="F761" i="6"/>
  <c r="E761" i="6"/>
  <c r="D761" i="6"/>
  <c r="C761" i="6"/>
  <c r="B761" i="6"/>
  <c r="H760" i="6"/>
  <c r="G760" i="6"/>
  <c r="F760" i="6"/>
  <c r="E760" i="6"/>
  <c r="D760" i="6"/>
  <c r="C760" i="6"/>
  <c r="B760" i="6"/>
  <c r="H759" i="6"/>
  <c r="G759" i="6"/>
  <c r="F759" i="6"/>
  <c r="E759" i="6"/>
  <c r="D759" i="6"/>
  <c r="I759" i="6" s="1"/>
  <c r="C759" i="6"/>
  <c r="B759" i="6"/>
  <c r="H758" i="6"/>
  <c r="G758" i="6"/>
  <c r="F758" i="6"/>
  <c r="E758" i="6"/>
  <c r="D758" i="6"/>
  <c r="C758" i="6"/>
  <c r="M758" i="6" s="1"/>
  <c r="B758" i="6"/>
  <c r="H757" i="6"/>
  <c r="G757" i="6"/>
  <c r="F757" i="6"/>
  <c r="E757" i="6"/>
  <c r="D757" i="6"/>
  <c r="C757" i="6"/>
  <c r="B757" i="6"/>
  <c r="H756" i="6"/>
  <c r="G756" i="6"/>
  <c r="F756" i="6"/>
  <c r="E756" i="6"/>
  <c r="D756" i="6"/>
  <c r="C756" i="6"/>
  <c r="B756" i="6"/>
  <c r="H755" i="6"/>
  <c r="G755" i="6"/>
  <c r="F755" i="6"/>
  <c r="E755" i="6"/>
  <c r="D755" i="6"/>
  <c r="C755" i="6"/>
  <c r="B755" i="6"/>
  <c r="H754" i="6"/>
  <c r="G754" i="6"/>
  <c r="F754" i="6"/>
  <c r="E754" i="6"/>
  <c r="D754" i="6"/>
  <c r="C754" i="6"/>
  <c r="B754" i="6"/>
  <c r="H753" i="6"/>
  <c r="G753" i="6"/>
  <c r="F753" i="6"/>
  <c r="E753" i="6"/>
  <c r="J753" i="6" s="1"/>
  <c r="D753" i="6"/>
  <c r="C753" i="6"/>
  <c r="B753" i="6"/>
  <c r="H752" i="6"/>
  <c r="G752" i="6"/>
  <c r="F752" i="6"/>
  <c r="E752" i="6"/>
  <c r="D752" i="6"/>
  <c r="C752" i="6"/>
  <c r="B752" i="6"/>
  <c r="H751" i="6"/>
  <c r="G751" i="6"/>
  <c r="F751" i="6"/>
  <c r="E751" i="6"/>
  <c r="D751" i="6"/>
  <c r="C751" i="6"/>
  <c r="M751" i="6" s="1"/>
  <c r="B751" i="6"/>
  <c r="H750" i="6"/>
  <c r="G750" i="6"/>
  <c r="F750" i="6"/>
  <c r="E750" i="6"/>
  <c r="D750" i="6"/>
  <c r="C750" i="6"/>
  <c r="M750" i="6" s="1"/>
  <c r="B750" i="6"/>
  <c r="L750" i="6" s="1"/>
  <c r="N750" i="6" s="1"/>
  <c r="H749" i="6"/>
  <c r="G749" i="6"/>
  <c r="F749" i="6"/>
  <c r="E749" i="6"/>
  <c r="D749" i="6"/>
  <c r="C749" i="6"/>
  <c r="B749" i="6"/>
  <c r="H748" i="6"/>
  <c r="G748" i="6"/>
  <c r="F748" i="6"/>
  <c r="E748" i="6"/>
  <c r="D748" i="6"/>
  <c r="C748" i="6"/>
  <c r="J748" i="6" s="1"/>
  <c r="B748" i="6"/>
  <c r="H747" i="6"/>
  <c r="G747" i="6"/>
  <c r="F747" i="6"/>
  <c r="E747" i="6"/>
  <c r="D747" i="6"/>
  <c r="C747" i="6"/>
  <c r="B747" i="6"/>
  <c r="H746" i="6"/>
  <c r="G746" i="6"/>
  <c r="F746" i="6"/>
  <c r="E746" i="6"/>
  <c r="D746" i="6"/>
  <c r="C746" i="6"/>
  <c r="B746" i="6"/>
  <c r="J745" i="6"/>
  <c r="H745" i="6"/>
  <c r="G745" i="6"/>
  <c r="F745" i="6"/>
  <c r="E745" i="6"/>
  <c r="D745" i="6"/>
  <c r="C745" i="6"/>
  <c r="B745" i="6"/>
  <c r="H744" i="6"/>
  <c r="G744" i="6"/>
  <c r="F744" i="6"/>
  <c r="E744" i="6"/>
  <c r="D744" i="6"/>
  <c r="C744" i="6"/>
  <c r="J744" i="6" s="1"/>
  <c r="B744" i="6"/>
  <c r="J743" i="6"/>
  <c r="H743" i="6"/>
  <c r="G743" i="6"/>
  <c r="F743" i="6"/>
  <c r="E743" i="6"/>
  <c r="D743" i="6"/>
  <c r="C743" i="6"/>
  <c r="B743" i="6"/>
  <c r="H742" i="6"/>
  <c r="G742" i="6"/>
  <c r="F742" i="6"/>
  <c r="E742" i="6"/>
  <c r="D742" i="6"/>
  <c r="C742" i="6"/>
  <c r="B742" i="6"/>
  <c r="H741" i="6"/>
  <c r="G741" i="6"/>
  <c r="F741" i="6"/>
  <c r="E741" i="6"/>
  <c r="D741" i="6"/>
  <c r="C741" i="6"/>
  <c r="B741" i="6"/>
  <c r="H740" i="6"/>
  <c r="G740" i="6"/>
  <c r="F740" i="6"/>
  <c r="E740" i="6"/>
  <c r="D740" i="6"/>
  <c r="C740" i="6"/>
  <c r="B740" i="6"/>
  <c r="H739" i="6"/>
  <c r="G739" i="6"/>
  <c r="F739" i="6"/>
  <c r="E739" i="6"/>
  <c r="D739" i="6"/>
  <c r="I739" i="6" s="1"/>
  <c r="C739" i="6"/>
  <c r="B739" i="6"/>
  <c r="H738" i="6"/>
  <c r="G738" i="6"/>
  <c r="F738" i="6"/>
  <c r="E738" i="6"/>
  <c r="D738" i="6"/>
  <c r="C738" i="6"/>
  <c r="B738" i="6"/>
  <c r="H737" i="6"/>
  <c r="G737" i="6"/>
  <c r="F737" i="6"/>
  <c r="E737" i="6"/>
  <c r="D737" i="6"/>
  <c r="C737" i="6"/>
  <c r="M737" i="6" s="1"/>
  <c r="B737" i="6"/>
  <c r="L737" i="6" s="1"/>
  <c r="H736" i="6"/>
  <c r="G736" i="6"/>
  <c r="F736" i="6"/>
  <c r="E736" i="6"/>
  <c r="D736" i="6"/>
  <c r="C736" i="6"/>
  <c r="B736" i="6"/>
  <c r="H735" i="6"/>
  <c r="G735" i="6"/>
  <c r="F735" i="6"/>
  <c r="E735" i="6"/>
  <c r="D735" i="6"/>
  <c r="C735" i="6"/>
  <c r="B735" i="6"/>
  <c r="H734" i="6"/>
  <c r="G734" i="6"/>
  <c r="F734" i="6"/>
  <c r="E734" i="6"/>
  <c r="D734" i="6"/>
  <c r="C734" i="6"/>
  <c r="B734" i="6"/>
  <c r="H733" i="6"/>
  <c r="G733" i="6"/>
  <c r="M733" i="6" s="1"/>
  <c r="F733" i="6"/>
  <c r="E733" i="6"/>
  <c r="D733" i="6"/>
  <c r="C733" i="6"/>
  <c r="B733" i="6"/>
  <c r="H732" i="6"/>
  <c r="G732" i="6"/>
  <c r="F732" i="6"/>
  <c r="J732" i="6" s="1"/>
  <c r="E732" i="6"/>
  <c r="D732" i="6"/>
  <c r="C732" i="6"/>
  <c r="B732" i="6"/>
  <c r="H731" i="6"/>
  <c r="G731" i="6"/>
  <c r="F731" i="6"/>
  <c r="E731" i="6"/>
  <c r="D731" i="6"/>
  <c r="C731" i="6"/>
  <c r="B731" i="6"/>
  <c r="H730" i="6"/>
  <c r="G730" i="6"/>
  <c r="F730" i="6"/>
  <c r="E730" i="6"/>
  <c r="D730" i="6"/>
  <c r="C730" i="6"/>
  <c r="B730" i="6"/>
  <c r="H729" i="6"/>
  <c r="G729" i="6"/>
  <c r="F729" i="6"/>
  <c r="E729" i="6"/>
  <c r="D729" i="6"/>
  <c r="I729" i="6" s="1"/>
  <c r="C729" i="6"/>
  <c r="B729" i="6"/>
  <c r="H728" i="6"/>
  <c r="G728" i="6"/>
  <c r="F728" i="6"/>
  <c r="E728" i="6"/>
  <c r="D728" i="6"/>
  <c r="C728" i="6"/>
  <c r="B728" i="6"/>
  <c r="H727" i="6"/>
  <c r="G727" i="6"/>
  <c r="F727" i="6"/>
  <c r="E727" i="6"/>
  <c r="D727" i="6"/>
  <c r="C727" i="6"/>
  <c r="B727" i="6"/>
  <c r="L726" i="6"/>
  <c r="H726" i="6"/>
  <c r="G726" i="6"/>
  <c r="F726" i="6"/>
  <c r="E726" i="6"/>
  <c r="D726" i="6"/>
  <c r="C726" i="6"/>
  <c r="B726" i="6"/>
  <c r="H725" i="6"/>
  <c r="G725" i="6"/>
  <c r="F725" i="6"/>
  <c r="E725" i="6"/>
  <c r="D725" i="6"/>
  <c r="C725" i="6"/>
  <c r="B725" i="6"/>
  <c r="H724" i="6"/>
  <c r="G724" i="6"/>
  <c r="F724" i="6"/>
  <c r="E724" i="6"/>
  <c r="D724" i="6"/>
  <c r="C724" i="6"/>
  <c r="B724" i="6"/>
  <c r="H723" i="6"/>
  <c r="G723" i="6"/>
  <c r="F723" i="6"/>
  <c r="E723" i="6"/>
  <c r="D723" i="6"/>
  <c r="C723" i="6"/>
  <c r="B723" i="6"/>
  <c r="H722" i="6"/>
  <c r="G722" i="6"/>
  <c r="F722" i="6"/>
  <c r="E722" i="6"/>
  <c r="D722" i="6"/>
  <c r="C722" i="6"/>
  <c r="B722" i="6"/>
  <c r="H721" i="6"/>
  <c r="G721" i="6"/>
  <c r="F721" i="6"/>
  <c r="E721" i="6"/>
  <c r="J721" i="6" s="1"/>
  <c r="D721" i="6"/>
  <c r="C721" i="6"/>
  <c r="B721" i="6"/>
  <c r="H720" i="6"/>
  <c r="G720" i="6"/>
  <c r="F720" i="6"/>
  <c r="E720" i="6"/>
  <c r="D720" i="6"/>
  <c r="C720" i="6"/>
  <c r="B720" i="6"/>
  <c r="L720" i="6" s="1"/>
  <c r="H719" i="6"/>
  <c r="G719" i="6"/>
  <c r="F719" i="6"/>
  <c r="E719" i="6"/>
  <c r="D719" i="6"/>
  <c r="C719" i="6"/>
  <c r="B719" i="6"/>
  <c r="H718" i="6"/>
  <c r="G718" i="6"/>
  <c r="F718" i="6"/>
  <c r="E718" i="6"/>
  <c r="D718" i="6"/>
  <c r="C718" i="6"/>
  <c r="B718" i="6"/>
  <c r="H717" i="6"/>
  <c r="G717" i="6"/>
  <c r="F717" i="6"/>
  <c r="E717" i="6"/>
  <c r="D717" i="6"/>
  <c r="C717" i="6"/>
  <c r="B717" i="6"/>
  <c r="H716" i="6"/>
  <c r="G716" i="6"/>
  <c r="F716" i="6"/>
  <c r="E716" i="6"/>
  <c r="D716" i="6"/>
  <c r="C716" i="6"/>
  <c r="B716" i="6"/>
  <c r="H715" i="6"/>
  <c r="G715" i="6"/>
  <c r="F715" i="6"/>
  <c r="E715" i="6"/>
  <c r="D715" i="6"/>
  <c r="C715" i="6"/>
  <c r="B715" i="6"/>
  <c r="H714" i="6"/>
  <c r="G714" i="6"/>
  <c r="F714" i="6"/>
  <c r="E714" i="6"/>
  <c r="D714" i="6"/>
  <c r="C714" i="6"/>
  <c r="B714" i="6"/>
  <c r="H713" i="6"/>
  <c r="G713" i="6"/>
  <c r="F713" i="6"/>
  <c r="E713" i="6"/>
  <c r="J713" i="6" s="1"/>
  <c r="D713" i="6"/>
  <c r="I713" i="6" s="1"/>
  <c r="C713" i="6"/>
  <c r="B713" i="6"/>
  <c r="H712" i="6"/>
  <c r="G712" i="6"/>
  <c r="M712" i="6" s="1"/>
  <c r="F712" i="6"/>
  <c r="E712" i="6"/>
  <c r="D712" i="6"/>
  <c r="C712" i="6"/>
  <c r="B712" i="6"/>
  <c r="H711" i="6"/>
  <c r="G711" i="6"/>
  <c r="F711" i="6"/>
  <c r="E711" i="6"/>
  <c r="D711" i="6"/>
  <c r="C711" i="6"/>
  <c r="B711" i="6"/>
  <c r="H710" i="6"/>
  <c r="G710" i="6"/>
  <c r="F710" i="6"/>
  <c r="E710" i="6"/>
  <c r="D710" i="6"/>
  <c r="I710" i="6" s="1"/>
  <c r="C710" i="6"/>
  <c r="B710" i="6"/>
  <c r="H709" i="6"/>
  <c r="G709" i="6"/>
  <c r="F709" i="6"/>
  <c r="E709" i="6"/>
  <c r="D709" i="6"/>
  <c r="C709" i="6"/>
  <c r="J709" i="6" s="1"/>
  <c r="B709" i="6"/>
  <c r="H708" i="6"/>
  <c r="G708" i="6"/>
  <c r="F708" i="6"/>
  <c r="E708" i="6"/>
  <c r="D708" i="6"/>
  <c r="C708" i="6"/>
  <c r="B708" i="6"/>
  <c r="H707" i="6"/>
  <c r="G707" i="6"/>
  <c r="F707" i="6"/>
  <c r="E707" i="6"/>
  <c r="D707" i="6"/>
  <c r="C707" i="6"/>
  <c r="B707" i="6"/>
  <c r="H706" i="6"/>
  <c r="G706" i="6"/>
  <c r="F706" i="6"/>
  <c r="E706" i="6"/>
  <c r="D706" i="6"/>
  <c r="C706" i="6"/>
  <c r="B706" i="6"/>
  <c r="H705" i="6"/>
  <c r="G705" i="6"/>
  <c r="F705" i="6"/>
  <c r="E705" i="6"/>
  <c r="D705" i="6"/>
  <c r="C705" i="6"/>
  <c r="B705" i="6"/>
  <c r="H704" i="6"/>
  <c r="G704" i="6"/>
  <c r="F704" i="6"/>
  <c r="E704" i="6"/>
  <c r="D704" i="6"/>
  <c r="C704" i="6"/>
  <c r="B704" i="6"/>
  <c r="H703" i="6"/>
  <c r="G703" i="6"/>
  <c r="F703" i="6"/>
  <c r="E703" i="6"/>
  <c r="D703" i="6"/>
  <c r="C703" i="6"/>
  <c r="B703" i="6"/>
  <c r="H702" i="6"/>
  <c r="G702" i="6"/>
  <c r="F702" i="6"/>
  <c r="E702" i="6"/>
  <c r="D702" i="6"/>
  <c r="C702" i="6"/>
  <c r="B702" i="6"/>
  <c r="H701" i="6"/>
  <c r="G701" i="6"/>
  <c r="F701" i="6"/>
  <c r="E701" i="6"/>
  <c r="D701" i="6"/>
  <c r="C701" i="6"/>
  <c r="B701" i="6"/>
  <c r="H700" i="6"/>
  <c r="G700" i="6"/>
  <c r="F700" i="6"/>
  <c r="E700" i="6"/>
  <c r="D700" i="6"/>
  <c r="C700" i="6"/>
  <c r="M700" i="6" s="1"/>
  <c r="B700" i="6"/>
  <c r="L700" i="6" s="1"/>
  <c r="H699" i="6"/>
  <c r="G699" i="6"/>
  <c r="F699" i="6"/>
  <c r="E699" i="6"/>
  <c r="D699" i="6"/>
  <c r="C699" i="6"/>
  <c r="B699" i="6"/>
  <c r="H698" i="6"/>
  <c r="G698" i="6"/>
  <c r="F698" i="6"/>
  <c r="E698" i="6"/>
  <c r="D698" i="6"/>
  <c r="C698" i="6"/>
  <c r="B698" i="6"/>
  <c r="H697" i="6"/>
  <c r="G697" i="6"/>
  <c r="M697" i="6" s="1"/>
  <c r="F697" i="6"/>
  <c r="E697" i="6"/>
  <c r="D697" i="6"/>
  <c r="C697" i="6"/>
  <c r="B697" i="6"/>
  <c r="H696" i="6"/>
  <c r="G696" i="6"/>
  <c r="M696" i="6" s="1"/>
  <c r="F696" i="6"/>
  <c r="E696" i="6"/>
  <c r="D696" i="6"/>
  <c r="C696" i="6"/>
  <c r="B696" i="6"/>
  <c r="H695" i="6"/>
  <c r="G695" i="6"/>
  <c r="F695" i="6"/>
  <c r="E695" i="6"/>
  <c r="D695" i="6"/>
  <c r="C695" i="6"/>
  <c r="B695" i="6"/>
  <c r="H694" i="6"/>
  <c r="G694" i="6"/>
  <c r="F694" i="6"/>
  <c r="E694" i="6"/>
  <c r="D694" i="6"/>
  <c r="C694" i="6"/>
  <c r="B694" i="6"/>
  <c r="H693" i="6"/>
  <c r="G693" i="6"/>
  <c r="F693" i="6"/>
  <c r="E693" i="6"/>
  <c r="D693" i="6"/>
  <c r="C693" i="6"/>
  <c r="B693" i="6"/>
  <c r="H692" i="6"/>
  <c r="G692" i="6"/>
  <c r="M692" i="6" s="1"/>
  <c r="F692" i="6"/>
  <c r="E692" i="6"/>
  <c r="D692" i="6"/>
  <c r="C692" i="6"/>
  <c r="B692" i="6"/>
  <c r="H691" i="6"/>
  <c r="G691" i="6"/>
  <c r="F691" i="6"/>
  <c r="E691" i="6"/>
  <c r="D691" i="6"/>
  <c r="C691" i="6"/>
  <c r="M691" i="6" s="1"/>
  <c r="B691" i="6"/>
  <c r="H690" i="6"/>
  <c r="G690" i="6"/>
  <c r="F690" i="6"/>
  <c r="E690" i="6"/>
  <c r="D690" i="6"/>
  <c r="C690" i="6"/>
  <c r="B690" i="6"/>
  <c r="H689" i="6"/>
  <c r="G689" i="6"/>
  <c r="F689" i="6"/>
  <c r="E689" i="6"/>
  <c r="D689" i="6"/>
  <c r="C689" i="6"/>
  <c r="M689" i="6" s="1"/>
  <c r="B689" i="6"/>
  <c r="M688" i="6"/>
  <c r="H688" i="6"/>
  <c r="G688" i="6"/>
  <c r="F688" i="6"/>
  <c r="E688" i="6"/>
  <c r="D688" i="6"/>
  <c r="C688" i="6"/>
  <c r="B688" i="6"/>
  <c r="L688" i="6" s="1"/>
  <c r="H687" i="6"/>
  <c r="G687" i="6"/>
  <c r="F687" i="6"/>
  <c r="E687" i="6"/>
  <c r="D687" i="6"/>
  <c r="C687" i="6"/>
  <c r="B687" i="6"/>
  <c r="H686" i="6"/>
  <c r="G686" i="6"/>
  <c r="F686" i="6"/>
  <c r="E686" i="6"/>
  <c r="D686" i="6"/>
  <c r="C686" i="6"/>
  <c r="B686" i="6"/>
  <c r="H685" i="6"/>
  <c r="G685" i="6"/>
  <c r="M685" i="6" s="1"/>
  <c r="F685" i="6"/>
  <c r="E685" i="6"/>
  <c r="D685" i="6"/>
  <c r="C685" i="6"/>
  <c r="B685" i="6"/>
  <c r="H684" i="6"/>
  <c r="G684" i="6"/>
  <c r="F684" i="6"/>
  <c r="E684" i="6"/>
  <c r="D684" i="6"/>
  <c r="C684" i="6"/>
  <c r="B684" i="6"/>
  <c r="H683" i="6"/>
  <c r="G683" i="6"/>
  <c r="F683" i="6"/>
  <c r="E683" i="6"/>
  <c r="D683" i="6"/>
  <c r="C683" i="6"/>
  <c r="B683" i="6"/>
  <c r="H682" i="6"/>
  <c r="G682" i="6"/>
  <c r="F682" i="6"/>
  <c r="E682" i="6"/>
  <c r="J682" i="6" s="1"/>
  <c r="D682" i="6"/>
  <c r="C682" i="6"/>
  <c r="B682" i="6"/>
  <c r="H681" i="6"/>
  <c r="G681" i="6"/>
  <c r="F681" i="6"/>
  <c r="E681" i="6"/>
  <c r="D681" i="6"/>
  <c r="C681" i="6"/>
  <c r="B681" i="6"/>
  <c r="H680" i="6"/>
  <c r="G680" i="6"/>
  <c r="F680" i="6"/>
  <c r="E680" i="6"/>
  <c r="D680" i="6"/>
  <c r="C680" i="6"/>
  <c r="B680" i="6"/>
  <c r="H679" i="6"/>
  <c r="G679" i="6"/>
  <c r="F679" i="6"/>
  <c r="E679" i="6"/>
  <c r="D679" i="6"/>
  <c r="C679" i="6"/>
  <c r="B679" i="6"/>
  <c r="H678" i="6"/>
  <c r="G678" i="6"/>
  <c r="F678" i="6"/>
  <c r="I678" i="6" s="1"/>
  <c r="E678" i="6"/>
  <c r="D678" i="6"/>
  <c r="C678" i="6"/>
  <c r="B678" i="6"/>
  <c r="H677" i="6"/>
  <c r="G677" i="6"/>
  <c r="F677" i="6"/>
  <c r="E677" i="6"/>
  <c r="D677" i="6"/>
  <c r="C677" i="6"/>
  <c r="B677" i="6"/>
  <c r="H676" i="6"/>
  <c r="G676" i="6"/>
  <c r="F676" i="6"/>
  <c r="E676" i="6"/>
  <c r="J676" i="6" s="1"/>
  <c r="D676" i="6"/>
  <c r="I676" i="6" s="1"/>
  <c r="K676" i="6" s="1"/>
  <c r="B680" i="7" s="1"/>
  <c r="C676" i="6"/>
  <c r="B676" i="6"/>
  <c r="H675" i="6"/>
  <c r="G675" i="6"/>
  <c r="F675" i="6"/>
  <c r="E675" i="6"/>
  <c r="D675" i="6"/>
  <c r="C675" i="6"/>
  <c r="B675" i="6"/>
  <c r="H674" i="6"/>
  <c r="G674" i="6"/>
  <c r="M674" i="6" s="1"/>
  <c r="F674" i="6"/>
  <c r="E674" i="6"/>
  <c r="D674" i="6"/>
  <c r="C674" i="6"/>
  <c r="B674" i="6"/>
  <c r="H673" i="6"/>
  <c r="G673" i="6"/>
  <c r="F673" i="6"/>
  <c r="E673" i="6"/>
  <c r="D673" i="6"/>
  <c r="C673" i="6"/>
  <c r="B673" i="6"/>
  <c r="L672" i="6"/>
  <c r="H672" i="6"/>
  <c r="G672" i="6"/>
  <c r="F672" i="6"/>
  <c r="E672" i="6"/>
  <c r="D672" i="6"/>
  <c r="C672" i="6"/>
  <c r="B672" i="6"/>
  <c r="I671" i="6"/>
  <c r="H671" i="6"/>
  <c r="G671" i="6"/>
  <c r="F671" i="6"/>
  <c r="E671" i="6"/>
  <c r="D671" i="6"/>
  <c r="C671" i="6"/>
  <c r="B671" i="6"/>
  <c r="H670" i="6"/>
  <c r="G670" i="6"/>
  <c r="F670" i="6"/>
  <c r="E670" i="6"/>
  <c r="D670" i="6"/>
  <c r="C670" i="6"/>
  <c r="B670" i="6"/>
  <c r="H669" i="6"/>
  <c r="G669" i="6"/>
  <c r="L669" i="6" s="1"/>
  <c r="F669" i="6"/>
  <c r="E669" i="6"/>
  <c r="D669" i="6"/>
  <c r="C669" i="6"/>
  <c r="B669" i="6"/>
  <c r="H668" i="6"/>
  <c r="G668" i="6"/>
  <c r="F668" i="6"/>
  <c r="E668" i="6"/>
  <c r="D668" i="6"/>
  <c r="C668" i="6"/>
  <c r="B668" i="6"/>
  <c r="H667" i="6"/>
  <c r="G667" i="6"/>
  <c r="F667" i="6"/>
  <c r="E667" i="6"/>
  <c r="D667" i="6"/>
  <c r="C667" i="6"/>
  <c r="B667" i="6"/>
  <c r="H666" i="6"/>
  <c r="G666" i="6"/>
  <c r="M666" i="6" s="1"/>
  <c r="F666" i="6"/>
  <c r="E666" i="6"/>
  <c r="J666" i="6" s="1"/>
  <c r="D666" i="6"/>
  <c r="C666" i="6"/>
  <c r="B666" i="6"/>
  <c r="H665" i="6"/>
  <c r="G665" i="6"/>
  <c r="F665" i="6"/>
  <c r="E665" i="6"/>
  <c r="D665" i="6"/>
  <c r="C665" i="6"/>
  <c r="B665" i="6"/>
  <c r="H664" i="6"/>
  <c r="G664" i="6"/>
  <c r="L664" i="6" s="1"/>
  <c r="F664" i="6"/>
  <c r="E664" i="6"/>
  <c r="D664" i="6"/>
  <c r="C664" i="6"/>
  <c r="B664" i="6"/>
  <c r="H663" i="6"/>
  <c r="G663" i="6"/>
  <c r="F663" i="6"/>
  <c r="E663" i="6"/>
  <c r="D663" i="6"/>
  <c r="C663" i="6"/>
  <c r="B663" i="6"/>
  <c r="I663" i="6" s="1"/>
  <c r="H662" i="6"/>
  <c r="G662" i="6"/>
  <c r="F662" i="6"/>
  <c r="E662" i="6"/>
  <c r="D662" i="6"/>
  <c r="C662" i="6"/>
  <c r="B662" i="6"/>
  <c r="H661" i="6"/>
  <c r="G661" i="6"/>
  <c r="F661" i="6"/>
  <c r="E661" i="6"/>
  <c r="D661" i="6"/>
  <c r="C661" i="6"/>
  <c r="B661" i="6"/>
  <c r="H660" i="6"/>
  <c r="G660" i="6"/>
  <c r="F660" i="6"/>
  <c r="E660" i="6"/>
  <c r="D660" i="6"/>
  <c r="C660" i="6"/>
  <c r="B660" i="6"/>
  <c r="H659" i="6"/>
  <c r="G659" i="6"/>
  <c r="F659" i="6"/>
  <c r="E659" i="6"/>
  <c r="D659" i="6"/>
  <c r="C659" i="6"/>
  <c r="B659" i="6"/>
  <c r="H658" i="6"/>
  <c r="G658" i="6"/>
  <c r="F658" i="6"/>
  <c r="E658" i="6"/>
  <c r="D658" i="6"/>
  <c r="C658" i="6"/>
  <c r="B658" i="6"/>
  <c r="H657" i="6"/>
  <c r="G657" i="6"/>
  <c r="L657" i="6" s="1"/>
  <c r="F657" i="6"/>
  <c r="E657" i="6"/>
  <c r="D657" i="6"/>
  <c r="C657" i="6"/>
  <c r="B657" i="6"/>
  <c r="H656" i="6"/>
  <c r="G656" i="6"/>
  <c r="F656" i="6"/>
  <c r="E656" i="6"/>
  <c r="D656" i="6"/>
  <c r="C656" i="6"/>
  <c r="B656" i="6"/>
  <c r="H655" i="6"/>
  <c r="G655" i="6"/>
  <c r="F655" i="6"/>
  <c r="E655" i="6"/>
  <c r="D655" i="6"/>
  <c r="C655" i="6"/>
  <c r="B655" i="6"/>
  <c r="H654" i="6"/>
  <c r="G654" i="6"/>
  <c r="F654" i="6"/>
  <c r="E654" i="6"/>
  <c r="J654" i="6" s="1"/>
  <c r="D654" i="6"/>
  <c r="I654" i="6" s="1"/>
  <c r="K654" i="6" s="1"/>
  <c r="B658" i="7" s="1"/>
  <c r="C654" i="6"/>
  <c r="B654" i="6"/>
  <c r="H653" i="6"/>
  <c r="G653" i="6"/>
  <c r="F653" i="6"/>
  <c r="E653" i="6"/>
  <c r="D653" i="6"/>
  <c r="I653" i="6" s="1"/>
  <c r="C653" i="6"/>
  <c r="B653" i="6"/>
  <c r="H652" i="6"/>
  <c r="G652" i="6"/>
  <c r="F652" i="6"/>
  <c r="E652" i="6"/>
  <c r="D652" i="6"/>
  <c r="C652" i="6"/>
  <c r="B652" i="6"/>
  <c r="H651" i="6"/>
  <c r="G651" i="6"/>
  <c r="F651" i="6"/>
  <c r="E651" i="6"/>
  <c r="D651" i="6"/>
  <c r="C651" i="6"/>
  <c r="B651" i="6"/>
  <c r="H650" i="6"/>
  <c r="G650" i="6"/>
  <c r="F650" i="6"/>
  <c r="E650" i="6"/>
  <c r="J650" i="6" s="1"/>
  <c r="D650" i="6"/>
  <c r="C650" i="6"/>
  <c r="B650" i="6"/>
  <c r="H649" i="6"/>
  <c r="G649" i="6"/>
  <c r="F649" i="6"/>
  <c r="E649" i="6"/>
  <c r="D649" i="6"/>
  <c r="C649" i="6"/>
  <c r="B649" i="6"/>
  <c r="H648" i="6"/>
  <c r="G648" i="6"/>
  <c r="L648" i="6" s="1"/>
  <c r="F648" i="6"/>
  <c r="E648" i="6"/>
  <c r="D648" i="6"/>
  <c r="C648" i="6"/>
  <c r="B648" i="6"/>
  <c r="H647" i="6"/>
  <c r="G647" i="6"/>
  <c r="F647" i="6"/>
  <c r="E647" i="6"/>
  <c r="D647" i="6"/>
  <c r="C647" i="6"/>
  <c r="B647" i="6"/>
  <c r="H646" i="6"/>
  <c r="G646" i="6"/>
  <c r="F646" i="6"/>
  <c r="E646" i="6"/>
  <c r="D646" i="6"/>
  <c r="C646" i="6"/>
  <c r="B646" i="6"/>
  <c r="H645" i="6"/>
  <c r="G645" i="6"/>
  <c r="F645" i="6"/>
  <c r="E645" i="6"/>
  <c r="J645" i="6" s="1"/>
  <c r="D645" i="6"/>
  <c r="C645" i="6"/>
  <c r="B645" i="6"/>
  <c r="H644" i="6"/>
  <c r="G644" i="6"/>
  <c r="F644" i="6"/>
  <c r="E644" i="6"/>
  <c r="D644" i="6"/>
  <c r="C644" i="6"/>
  <c r="B644" i="6"/>
  <c r="H643" i="6"/>
  <c r="G643" i="6"/>
  <c r="F643" i="6"/>
  <c r="E643" i="6"/>
  <c r="D643" i="6"/>
  <c r="C643" i="6"/>
  <c r="B643" i="6"/>
  <c r="I643" i="6" s="1"/>
  <c r="H642" i="6"/>
  <c r="G642" i="6"/>
  <c r="F642" i="6"/>
  <c r="I642" i="6" s="1"/>
  <c r="E642" i="6"/>
  <c r="D642" i="6"/>
  <c r="C642" i="6"/>
  <c r="B642" i="6"/>
  <c r="H641" i="6"/>
  <c r="G641" i="6"/>
  <c r="F641" i="6"/>
  <c r="E641" i="6"/>
  <c r="D641" i="6"/>
  <c r="C641" i="6"/>
  <c r="B641" i="6"/>
  <c r="H640" i="6"/>
  <c r="G640" i="6"/>
  <c r="F640" i="6"/>
  <c r="E640" i="6"/>
  <c r="D640" i="6"/>
  <c r="C640" i="6"/>
  <c r="B640" i="6"/>
  <c r="H639" i="6"/>
  <c r="G639" i="6"/>
  <c r="F639" i="6"/>
  <c r="E639" i="6"/>
  <c r="D639" i="6"/>
  <c r="C639" i="6"/>
  <c r="B639" i="6"/>
  <c r="H638" i="6"/>
  <c r="G638" i="6"/>
  <c r="F638" i="6"/>
  <c r="E638" i="6"/>
  <c r="J638" i="6" s="1"/>
  <c r="D638" i="6"/>
  <c r="C638" i="6"/>
  <c r="B638" i="6"/>
  <c r="H637" i="6"/>
  <c r="G637" i="6"/>
  <c r="F637" i="6"/>
  <c r="E637" i="6"/>
  <c r="J637" i="6" s="1"/>
  <c r="D637" i="6"/>
  <c r="I637" i="6" s="1"/>
  <c r="K637" i="6" s="1"/>
  <c r="B641" i="7" s="1"/>
  <c r="C637" i="6"/>
  <c r="B637" i="6"/>
  <c r="H636" i="6"/>
  <c r="G636" i="6"/>
  <c r="F636" i="6"/>
  <c r="E636" i="6"/>
  <c r="D636" i="6"/>
  <c r="C636" i="6"/>
  <c r="B636" i="6"/>
  <c r="H635" i="6"/>
  <c r="G635" i="6"/>
  <c r="F635" i="6"/>
  <c r="E635" i="6"/>
  <c r="D635" i="6"/>
  <c r="C635" i="6"/>
  <c r="B635" i="6"/>
  <c r="I635" i="6" s="1"/>
  <c r="H634" i="6"/>
  <c r="G634" i="6"/>
  <c r="F634" i="6"/>
  <c r="E634" i="6"/>
  <c r="D634" i="6"/>
  <c r="C634" i="6"/>
  <c r="B634" i="6"/>
  <c r="M633" i="6"/>
  <c r="H633" i="6"/>
  <c r="G633" i="6"/>
  <c r="F633" i="6"/>
  <c r="E633" i="6"/>
  <c r="D633" i="6"/>
  <c r="C633" i="6"/>
  <c r="B633" i="6"/>
  <c r="H632" i="6"/>
  <c r="G632" i="6"/>
  <c r="F632" i="6"/>
  <c r="E632" i="6"/>
  <c r="D632" i="6"/>
  <c r="C632" i="6"/>
  <c r="B632" i="6"/>
  <c r="H631" i="6"/>
  <c r="G631" i="6"/>
  <c r="F631" i="6"/>
  <c r="E631" i="6"/>
  <c r="D631" i="6"/>
  <c r="C631" i="6"/>
  <c r="B631" i="6"/>
  <c r="H630" i="6"/>
  <c r="G630" i="6"/>
  <c r="F630" i="6"/>
  <c r="I630" i="6" s="1"/>
  <c r="E630" i="6"/>
  <c r="D630" i="6"/>
  <c r="C630" i="6"/>
  <c r="B630" i="6"/>
  <c r="H629" i="6"/>
  <c r="G629" i="6"/>
  <c r="F629" i="6"/>
  <c r="E629" i="6"/>
  <c r="J629" i="6" s="1"/>
  <c r="D629" i="6"/>
  <c r="C629" i="6"/>
  <c r="B629" i="6"/>
  <c r="H628" i="6"/>
  <c r="G628" i="6"/>
  <c r="F628" i="6"/>
  <c r="E628" i="6"/>
  <c r="D628" i="6"/>
  <c r="C628" i="6"/>
  <c r="B628" i="6"/>
  <c r="H627" i="6"/>
  <c r="G627" i="6"/>
  <c r="F627" i="6"/>
  <c r="E627" i="6"/>
  <c r="D627" i="6"/>
  <c r="C627" i="6"/>
  <c r="B627" i="6"/>
  <c r="H626" i="6"/>
  <c r="G626" i="6"/>
  <c r="F626" i="6"/>
  <c r="E626" i="6"/>
  <c r="D626" i="6"/>
  <c r="C626" i="6"/>
  <c r="B626" i="6"/>
  <c r="H625" i="6"/>
  <c r="G625" i="6"/>
  <c r="F625" i="6"/>
  <c r="E625" i="6"/>
  <c r="D625" i="6"/>
  <c r="C625" i="6"/>
  <c r="B625" i="6"/>
  <c r="H624" i="6"/>
  <c r="G624" i="6"/>
  <c r="F624" i="6"/>
  <c r="E624" i="6"/>
  <c r="D624" i="6"/>
  <c r="C624" i="6"/>
  <c r="B624" i="6"/>
  <c r="H623" i="6"/>
  <c r="M623" i="6" s="1"/>
  <c r="G623" i="6"/>
  <c r="F623" i="6"/>
  <c r="E623" i="6"/>
  <c r="D623" i="6"/>
  <c r="C623" i="6"/>
  <c r="B623" i="6"/>
  <c r="H622" i="6"/>
  <c r="G622" i="6"/>
  <c r="F622" i="6"/>
  <c r="E622" i="6"/>
  <c r="D622" i="6"/>
  <c r="I622" i="6" s="1"/>
  <c r="C622" i="6"/>
  <c r="B622" i="6"/>
  <c r="H621" i="6"/>
  <c r="G621" i="6"/>
  <c r="L621" i="6" s="1"/>
  <c r="F621" i="6"/>
  <c r="E621" i="6"/>
  <c r="D621" i="6"/>
  <c r="C621" i="6"/>
  <c r="B621" i="6"/>
  <c r="H620" i="6"/>
  <c r="G620" i="6"/>
  <c r="F620" i="6"/>
  <c r="E620" i="6"/>
  <c r="J620" i="6" s="1"/>
  <c r="D620" i="6"/>
  <c r="C620" i="6"/>
  <c r="B620" i="6"/>
  <c r="L620" i="6" s="1"/>
  <c r="H619" i="6"/>
  <c r="G619" i="6"/>
  <c r="F619" i="6"/>
  <c r="E619" i="6"/>
  <c r="D619" i="6"/>
  <c r="I619" i="6" s="1"/>
  <c r="C619" i="6"/>
  <c r="B619" i="6"/>
  <c r="H618" i="6"/>
  <c r="G618" i="6"/>
  <c r="F618" i="6"/>
  <c r="E618" i="6"/>
  <c r="D618" i="6"/>
  <c r="I618" i="6" s="1"/>
  <c r="C618" i="6"/>
  <c r="B618" i="6"/>
  <c r="H617" i="6"/>
  <c r="G617" i="6"/>
  <c r="F617" i="6"/>
  <c r="E617" i="6"/>
  <c r="D617" i="6"/>
  <c r="C617" i="6"/>
  <c r="B617" i="6"/>
  <c r="H616" i="6"/>
  <c r="G616" i="6"/>
  <c r="F616" i="6"/>
  <c r="E616" i="6"/>
  <c r="D616" i="6"/>
  <c r="C616" i="6"/>
  <c r="B616" i="6"/>
  <c r="I616" i="6" s="1"/>
  <c r="H615" i="6"/>
  <c r="G615" i="6"/>
  <c r="F615" i="6"/>
  <c r="E615" i="6"/>
  <c r="D615" i="6"/>
  <c r="C615" i="6"/>
  <c r="B615" i="6"/>
  <c r="H614" i="6"/>
  <c r="G614" i="6"/>
  <c r="F614" i="6"/>
  <c r="E614" i="6"/>
  <c r="D614" i="6"/>
  <c r="C614" i="6"/>
  <c r="B614" i="6"/>
  <c r="H613" i="6"/>
  <c r="G613" i="6"/>
  <c r="F613" i="6"/>
  <c r="E613" i="6"/>
  <c r="D613" i="6"/>
  <c r="C613" i="6"/>
  <c r="B613" i="6"/>
  <c r="H612" i="6"/>
  <c r="G612" i="6"/>
  <c r="F612" i="6"/>
  <c r="E612" i="6"/>
  <c r="D612" i="6"/>
  <c r="C612" i="6"/>
  <c r="M612" i="6" s="1"/>
  <c r="B612" i="6"/>
  <c r="H611" i="6"/>
  <c r="G611" i="6"/>
  <c r="F611" i="6"/>
  <c r="E611" i="6"/>
  <c r="D611" i="6"/>
  <c r="C611" i="6"/>
  <c r="B611" i="6"/>
  <c r="I611" i="6" s="1"/>
  <c r="H610" i="6"/>
  <c r="G610" i="6"/>
  <c r="L610" i="6" s="1"/>
  <c r="F610" i="6"/>
  <c r="E610" i="6"/>
  <c r="D610" i="6"/>
  <c r="C610" i="6"/>
  <c r="B610" i="6"/>
  <c r="H609" i="6"/>
  <c r="G609" i="6"/>
  <c r="F609" i="6"/>
  <c r="E609" i="6"/>
  <c r="D609" i="6"/>
  <c r="C609" i="6"/>
  <c r="B609" i="6"/>
  <c r="H608" i="6"/>
  <c r="G608" i="6"/>
  <c r="L608" i="6" s="1"/>
  <c r="F608" i="6"/>
  <c r="E608" i="6"/>
  <c r="D608" i="6"/>
  <c r="C608" i="6"/>
  <c r="B608" i="6"/>
  <c r="H607" i="6"/>
  <c r="G607" i="6"/>
  <c r="F607" i="6"/>
  <c r="E607" i="6"/>
  <c r="D607" i="6"/>
  <c r="C607" i="6"/>
  <c r="B607" i="6"/>
  <c r="H606" i="6"/>
  <c r="G606" i="6"/>
  <c r="F606" i="6"/>
  <c r="E606" i="6"/>
  <c r="D606" i="6"/>
  <c r="C606" i="6"/>
  <c r="B606" i="6"/>
  <c r="H605" i="6"/>
  <c r="G605" i="6"/>
  <c r="F605" i="6"/>
  <c r="E605" i="6"/>
  <c r="D605" i="6"/>
  <c r="C605" i="6"/>
  <c r="B605" i="6"/>
  <c r="L604" i="6"/>
  <c r="H604" i="6"/>
  <c r="G604" i="6"/>
  <c r="F604" i="6"/>
  <c r="E604" i="6"/>
  <c r="D604" i="6"/>
  <c r="I604" i="6" s="1"/>
  <c r="C604" i="6"/>
  <c r="M604" i="6" s="1"/>
  <c r="B604" i="6"/>
  <c r="H603" i="6"/>
  <c r="G603" i="6"/>
  <c r="F603" i="6"/>
  <c r="E603" i="6"/>
  <c r="D603" i="6"/>
  <c r="C603" i="6"/>
  <c r="M603" i="6" s="1"/>
  <c r="B603" i="6"/>
  <c r="L603" i="6" s="1"/>
  <c r="H602" i="6"/>
  <c r="G602" i="6"/>
  <c r="F602" i="6"/>
  <c r="E602" i="6"/>
  <c r="D602" i="6"/>
  <c r="C602" i="6"/>
  <c r="B602" i="6"/>
  <c r="H601" i="6"/>
  <c r="G601" i="6"/>
  <c r="F601" i="6"/>
  <c r="E601" i="6"/>
  <c r="D601" i="6"/>
  <c r="C601" i="6"/>
  <c r="B601" i="6"/>
  <c r="H600" i="6"/>
  <c r="G600" i="6"/>
  <c r="F600" i="6"/>
  <c r="E600" i="6"/>
  <c r="D600" i="6"/>
  <c r="C600" i="6"/>
  <c r="B600" i="6"/>
  <c r="H599" i="6"/>
  <c r="G599" i="6"/>
  <c r="F599" i="6"/>
  <c r="E599" i="6"/>
  <c r="D599" i="6"/>
  <c r="C599" i="6"/>
  <c r="B599" i="6"/>
  <c r="H598" i="6"/>
  <c r="G598" i="6"/>
  <c r="F598" i="6"/>
  <c r="E598" i="6"/>
  <c r="D598" i="6"/>
  <c r="C598" i="6"/>
  <c r="B598" i="6"/>
  <c r="H597" i="6"/>
  <c r="G597" i="6"/>
  <c r="F597" i="6"/>
  <c r="E597" i="6"/>
  <c r="D597" i="6"/>
  <c r="C597" i="6"/>
  <c r="B597" i="6"/>
  <c r="H596" i="6"/>
  <c r="G596" i="6"/>
  <c r="F596" i="6"/>
  <c r="E596" i="6"/>
  <c r="D596" i="6"/>
  <c r="C596" i="6"/>
  <c r="B596" i="6"/>
  <c r="H595" i="6"/>
  <c r="G595" i="6"/>
  <c r="F595" i="6"/>
  <c r="E595" i="6"/>
  <c r="D595" i="6"/>
  <c r="C595" i="6"/>
  <c r="B595" i="6"/>
  <c r="H594" i="6"/>
  <c r="G594" i="6"/>
  <c r="F594" i="6"/>
  <c r="E594" i="6"/>
  <c r="D594" i="6"/>
  <c r="C594" i="6"/>
  <c r="B594" i="6"/>
  <c r="H593" i="6"/>
  <c r="G593" i="6"/>
  <c r="F593" i="6"/>
  <c r="E593" i="6"/>
  <c r="J593" i="6" s="1"/>
  <c r="D593" i="6"/>
  <c r="C593" i="6"/>
  <c r="B593" i="6"/>
  <c r="H592" i="6"/>
  <c r="G592" i="6"/>
  <c r="F592" i="6"/>
  <c r="E592" i="6"/>
  <c r="D592" i="6"/>
  <c r="C592" i="6"/>
  <c r="B592" i="6"/>
  <c r="H591" i="6"/>
  <c r="G591" i="6"/>
  <c r="F591" i="6"/>
  <c r="E591" i="6"/>
  <c r="J591" i="6" s="1"/>
  <c r="D591" i="6"/>
  <c r="C591" i="6"/>
  <c r="B591" i="6"/>
  <c r="H590" i="6"/>
  <c r="G590" i="6"/>
  <c r="M590" i="6" s="1"/>
  <c r="F590" i="6"/>
  <c r="E590" i="6"/>
  <c r="D590" i="6"/>
  <c r="C590" i="6"/>
  <c r="B590" i="6"/>
  <c r="H589" i="6"/>
  <c r="G589" i="6"/>
  <c r="F589" i="6"/>
  <c r="E589" i="6"/>
  <c r="J589" i="6" s="1"/>
  <c r="D589" i="6"/>
  <c r="C589" i="6"/>
  <c r="B589" i="6"/>
  <c r="H588" i="6"/>
  <c r="G588" i="6"/>
  <c r="F588" i="6"/>
  <c r="E588" i="6"/>
  <c r="D588" i="6"/>
  <c r="C588" i="6"/>
  <c r="B588" i="6"/>
  <c r="H587" i="6"/>
  <c r="G587" i="6"/>
  <c r="F587" i="6"/>
  <c r="E587" i="6"/>
  <c r="D587" i="6"/>
  <c r="C587" i="6"/>
  <c r="B587" i="6"/>
  <c r="H586" i="6"/>
  <c r="G586" i="6"/>
  <c r="F586" i="6"/>
  <c r="E586" i="6"/>
  <c r="D586" i="6"/>
  <c r="C586" i="6"/>
  <c r="B586" i="6"/>
  <c r="H585" i="6"/>
  <c r="G585" i="6"/>
  <c r="F585" i="6"/>
  <c r="E585" i="6"/>
  <c r="D585" i="6"/>
  <c r="C585" i="6"/>
  <c r="B585" i="6"/>
  <c r="I584" i="6"/>
  <c r="H584" i="6"/>
  <c r="G584" i="6"/>
  <c r="F584" i="6"/>
  <c r="E584" i="6"/>
  <c r="D584" i="6"/>
  <c r="C584" i="6"/>
  <c r="B584" i="6"/>
  <c r="I583" i="6"/>
  <c r="H583" i="6"/>
  <c r="G583" i="6"/>
  <c r="F583" i="6"/>
  <c r="E583" i="6"/>
  <c r="D583" i="6"/>
  <c r="C583" i="6"/>
  <c r="B583" i="6"/>
  <c r="I582" i="6"/>
  <c r="H582" i="6"/>
  <c r="G582" i="6"/>
  <c r="F582" i="6"/>
  <c r="E582" i="6"/>
  <c r="J582" i="6" s="1"/>
  <c r="D582" i="6"/>
  <c r="C582" i="6"/>
  <c r="B582" i="6"/>
  <c r="L582" i="6" s="1"/>
  <c r="H581" i="6"/>
  <c r="G581" i="6"/>
  <c r="F581" i="6"/>
  <c r="E581" i="6"/>
  <c r="D581" i="6"/>
  <c r="C581" i="6"/>
  <c r="B581" i="6"/>
  <c r="H580" i="6"/>
  <c r="G580" i="6"/>
  <c r="F580" i="6"/>
  <c r="E580" i="6"/>
  <c r="D580" i="6"/>
  <c r="C580" i="6"/>
  <c r="B580" i="6"/>
  <c r="I579" i="6"/>
  <c r="H579" i="6"/>
  <c r="G579" i="6"/>
  <c r="F579" i="6"/>
  <c r="E579" i="6"/>
  <c r="D579" i="6"/>
  <c r="C579" i="6"/>
  <c r="B579" i="6"/>
  <c r="H578" i="6"/>
  <c r="G578" i="6"/>
  <c r="F578" i="6"/>
  <c r="E578" i="6"/>
  <c r="D578" i="6"/>
  <c r="C578" i="6"/>
  <c r="B578" i="6"/>
  <c r="H577" i="6"/>
  <c r="G577" i="6"/>
  <c r="F577" i="6"/>
  <c r="E577" i="6"/>
  <c r="D577" i="6"/>
  <c r="C577" i="6"/>
  <c r="B577" i="6"/>
  <c r="M576" i="6"/>
  <c r="H576" i="6"/>
  <c r="G576" i="6"/>
  <c r="F576" i="6"/>
  <c r="E576" i="6"/>
  <c r="D576" i="6"/>
  <c r="C576" i="6"/>
  <c r="B576" i="6"/>
  <c r="H575" i="6"/>
  <c r="G575" i="6"/>
  <c r="F575" i="6"/>
  <c r="E575" i="6"/>
  <c r="D575" i="6"/>
  <c r="C575" i="6"/>
  <c r="B575" i="6"/>
  <c r="H574" i="6"/>
  <c r="G574" i="6"/>
  <c r="F574" i="6"/>
  <c r="E574" i="6"/>
  <c r="D574" i="6"/>
  <c r="C574" i="6"/>
  <c r="B574" i="6"/>
  <c r="H573" i="6"/>
  <c r="G573" i="6"/>
  <c r="F573" i="6"/>
  <c r="E573" i="6"/>
  <c r="D573" i="6"/>
  <c r="I573" i="6" s="1"/>
  <c r="C573" i="6"/>
  <c r="B573" i="6"/>
  <c r="H572" i="6"/>
  <c r="G572" i="6"/>
  <c r="F572" i="6"/>
  <c r="E572" i="6"/>
  <c r="D572" i="6"/>
  <c r="C572" i="6"/>
  <c r="B572" i="6"/>
  <c r="H571" i="6"/>
  <c r="G571" i="6"/>
  <c r="F571" i="6"/>
  <c r="E571" i="6"/>
  <c r="D571" i="6"/>
  <c r="C571" i="6"/>
  <c r="B571" i="6"/>
  <c r="H570" i="6"/>
  <c r="G570" i="6"/>
  <c r="F570" i="6"/>
  <c r="E570" i="6"/>
  <c r="D570" i="6"/>
  <c r="C570" i="6"/>
  <c r="B570" i="6"/>
  <c r="H569" i="6"/>
  <c r="G569" i="6"/>
  <c r="F569" i="6"/>
  <c r="E569" i="6"/>
  <c r="D569" i="6"/>
  <c r="C569" i="6"/>
  <c r="B569" i="6"/>
  <c r="H568" i="6"/>
  <c r="G568" i="6"/>
  <c r="F568" i="6"/>
  <c r="E568" i="6"/>
  <c r="D568" i="6"/>
  <c r="C568" i="6"/>
  <c r="B568" i="6"/>
  <c r="H567" i="6"/>
  <c r="G567" i="6"/>
  <c r="L567" i="6" s="1"/>
  <c r="F567" i="6"/>
  <c r="E567" i="6"/>
  <c r="D567" i="6"/>
  <c r="C567" i="6"/>
  <c r="B567" i="6"/>
  <c r="H566" i="6"/>
  <c r="G566" i="6"/>
  <c r="F566" i="6"/>
  <c r="E566" i="6"/>
  <c r="D566" i="6"/>
  <c r="C566" i="6"/>
  <c r="B566" i="6"/>
  <c r="H565" i="6"/>
  <c r="G565" i="6"/>
  <c r="F565" i="6"/>
  <c r="E565" i="6"/>
  <c r="J565" i="6" s="1"/>
  <c r="D565" i="6"/>
  <c r="C565" i="6"/>
  <c r="M565" i="6" s="1"/>
  <c r="B565" i="6"/>
  <c r="H564" i="6"/>
  <c r="G564" i="6"/>
  <c r="F564" i="6"/>
  <c r="E564" i="6"/>
  <c r="D564" i="6"/>
  <c r="C564" i="6"/>
  <c r="B564" i="6"/>
  <c r="H563" i="6"/>
  <c r="G563" i="6"/>
  <c r="F563" i="6"/>
  <c r="E563" i="6"/>
  <c r="D563" i="6"/>
  <c r="C563" i="6"/>
  <c r="B563" i="6"/>
  <c r="H562" i="6"/>
  <c r="G562" i="6"/>
  <c r="F562" i="6"/>
  <c r="E562" i="6"/>
  <c r="D562" i="6"/>
  <c r="C562" i="6"/>
  <c r="B562" i="6"/>
  <c r="H561" i="6"/>
  <c r="G561" i="6"/>
  <c r="F561" i="6"/>
  <c r="E561" i="6"/>
  <c r="D561" i="6"/>
  <c r="C561" i="6"/>
  <c r="B561" i="6"/>
  <c r="I560" i="6"/>
  <c r="K560" i="6" s="1"/>
  <c r="B564" i="7" s="1"/>
  <c r="H560" i="6"/>
  <c r="G560" i="6"/>
  <c r="F560" i="6"/>
  <c r="E560" i="6"/>
  <c r="J560" i="6" s="1"/>
  <c r="D560" i="6"/>
  <c r="C560" i="6"/>
  <c r="B560" i="6"/>
  <c r="H559" i="6"/>
  <c r="G559" i="6"/>
  <c r="F559" i="6"/>
  <c r="E559" i="6"/>
  <c r="D559" i="6"/>
  <c r="C559" i="6"/>
  <c r="B559" i="6"/>
  <c r="I558" i="6"/>
  <c r="H558" i="6"/>
  <c r="G558" i="6"/>
  <c r="F558" i="6"/>
  <c r="E558" i="6"/>
  <c r="D558" i="6"/>
  <c r="C558" i="6"/>
  <c r="B558" i="6"/>
  <c r="H557" i="6"/>
  <c r="G557" i="6"/>
  <c r="L557" i="6" s="1"/>
  <c r="F557" i="6"/>
  <c r="E557" i="6"/>
  <c r="D557" i="6"/>
  <c r="C557" i="6"/>
  <c r="B557" i="6"/>
  <c r="H556" i="6"/>
  <c r="G556" i="6"/>
  <c r="F556" i="6"/>
  <c r="E556" i="6"/>
  <c r="D556" i="6"/>
  <c r="C556" i="6"/>
  <c r="B556" i="6"/>
  <c r="H555" i="6"/>
  <c r="G555" i="6"/>
  <c r="F555" i="6"/>
  <c r="E555" i="6"/>
  <c r="J555" i="6" s="1"/>
  <c r="D555" i="6"/>
  <c r="I555" i="6" s="1"/>
  <c r="C555" i="6"/>
  <c r="B555" i="6"/>
  <c r="H554" i="6"/>
  <c r="G554" i="6"/>
  <c r="F554" i="6"/>
  <c r="E554" i="6"/>
  <c r="J554" i="6" s="1"/>
  <c r="D554" i="6"/>
  <c r="I554" i="6" s="1"/>
  <c r="K554" i="6" s="1"/>
  <c r="B558" i="7" s="1"/>
  <c r="C554" i="6"/>
  <c r="B554" i="6"/>
  <c r="H553" i="6"/>
  <c r="G553" i="6"/>
  <c r="F553" i="6"/>
  <c r="E553" i="6"/>
  <c r="D553" i="6"/>
  <c r="I553" i="6" s="1"/>
  <c r="C553" i="6"/>
  <c r="B553" i="6"/>
  <c r="H552" i="6"/>
  <c r="G552" i="6"/>
  <c r="F552" i="6"/>
  <c r="E552" i="6"/>
  <c r="D552" i="6"/>
  <c r="C552" i="6"/>
  <c r="B552" i="6"/>
  <c r="H551" i="6"/>
  <c r="G551" i="6"/>
  <c r="F551" i="6"/>
  <c r="E551" i="6"/>
  <c r="D551" i="6"/>
  <c r="C551" i="6"/>
  <c r="B551" i="6"/>
  <c r="H550" i="6"/>
  <c r="G550" i="6"/>
  <c r="F550" i="6"/>
  <c r="E550" i="6"/>
  <c r="D550" i="6"/>
  <c r="C550" i="6"/>
  <c r="B550" i="6"/>
  <c r="H549" i="6"/>
  <c r="G549" i="6"/>
  <c r="F549" i="6"/>
  <c r="E549" i="6"/>
  <c r="D549" i="6"/>
  <c r="C549" i="6"/>
  <c r="B549" i="6"/>
  <c r="H548" i="6"/>
  <c r="G548" i="6"/>
  <c r="L548" i="6" s="1"/>
  <c r="F548" i="6"/>
  <c r="E548" i="6"/>
  <c r="D548" i="6"/>
  <c r="C548" i="6"/>
  <c r="B548" i="6"/>
  <c r="H547" i="6"/>
  <c r="G547" i="6"/>
  <c r="F547" i="6"/>
  <c r="E547" i="6"/>
  <c r="D547" i="6"/>
  <c r="C547" i="6"/>
  <c r="B547" i="6"/>
  <c r="H546" i="6"/>
  <c r="G546" i="6"/>
  <c r="L546" i="6" s="1"/>
  <c r="F546" i="6"/>
  <c r="E546" i="6"/>
  <c r="D546" i="6"/>
  <c r="C546" i="6"/>
  <c r="B546" i="6"/>
  <c r="H545" i="6"/>
  <c r="G545" i="6"/>
  <c r="F545" i="6"/>
  <c r="E545" i="6"/>
  <c r="D545" i="6"/>
  <c r="C545" i="6"/>
  <c r="B545" i="6"/>
  <c r="H544" i="6"/>
  <c r="G544" i="6"/>
  <c r="F544" i="6"/>
  <c r="E544" i="6"/>
  <c r="D544" i="6"/>
  <c r="C544" i="6"/>
  <c r="B544" i="6"/>
  <c r="H543" i="6"/>
  <c r="G543" i="6"/>
  <c r="F543" i="6"/>
  <c r="E543" i="6"/>
  <c r="D543" i="6"/>
  <c r="C543" i="6"/>
  <c r="B543" i="6"/>
  <c r="H542" i="6"/>
  <c r="G542" i="6"/>
  <c r="F542" i="6"/>
  <c r="E542" i="6"/>
  <c r="D542" i="6"/>
  <c r="C542" i="6"/>
  <c r="B542" i="6"/>
  <c r="H541" i="6"/>
  <c r="G541" i="6"/>
  <c r="F541" i="6"/>
  <c r="E541" i="6"/>
  <c r="D541" i="6"/>
  <c r="C541" i="6"/>
  <c r="B541" i="6"/>
  <c r="H540" i="6"/>
  <c r="G540" i="6"/>
  <c r="F540" i="6"/>
  <c r="E540" i="6"/>
  <c r="D540" i="6"/>
  <c r="C540" i="6"/>
  <c r="B540" i="6"/>
  <c r="H539" i="6"/>
  <c r="G539" i="6"/>
  <c r="F539" i="6"/>
  <c r="E539" i="6"/>
  <c r="D539" i="6"/>
  <c r="C539" i="6"/>
  <c r="B539" i="6"/>
  <c r="H538" i="6"/>
  <c r="G538" i="6"/>
  <c r="F538" i="6"/>
  <c r="E538" i="6"/>
  <c r="J538" i="6" s="1"/>
  <c r="D538" i="6"/>
  <c r="C538" i="6"/>
  <c r="B538" i="6"/>
  <c r="H537" i="6"/>
  <c r="G537" i="6"/>
  <c r="F537" i="6"/>
  <c r="E537" i="6"/>
  <c r="D537" i="6"/>
  <c r="I537" i="6" s="1"/>
  <c r="C537" i="6"/>
  <c r="B537" i="6"/>
  <c r="H536" i="6"/>
  <c r="G536" i="6"/>
  <c r="F536" i="6"/>
  <c r="E536" i="6"/>
  <c r="D536" i="6"/>
  <c r="C536" i="6"/>
  <c r="M536" i="6" s="1"/>
  <c r="B536" i="6"/>
  <c r="H535" i="6"/>
  <c r="G535" i="6"/>
  <c r="L535" i="6" s="1"/>
  <c r="F535" i="6"/>
  <c r="E535" i="6"/>
  <c r="D535" i="6"/>
  <c r="I535" i="6" s="1"/>
  <c r="C535" i="6"/>
  <c r="B535" i="6"/>
  <c r="H534" i="6"/>
  <c r="G534" i="6"/>
  <c r="F534" i="6"/>
  <c r="E534" i="6"/>
  <c r="D534" i="6"/>
  <c r="C534" i="6"/>
  <c r="B534" i="6"/>
  <c r="H533" i="6"/>
  <c r="G533" i="6"/>
  <c r="F533" i="6"/>
  <c r="E533" i="6"/>
  <c r="D533" i="6"/>
  <c r="C533" i="6"/>
  <c r="B533" i="6"/>
  <c r="L532" i="6"/>
  <c r="H532" i="6"/>
  <c r="G532" i="6"/>
  <c r="F532" i="6"/>
  <c r="E532" i="6"/>
  <c r="D532" i="6"/>
  <c r="C532" i="6"/>
  <c r="B532" i="6"/>
  <c r="M531" i="6"/>
  <c r="H531" i="6"/>
  <c r="G531" i="6"/>
  <c r="F531" i="6"/>
  <c r="E531" i="6"/>
  <c r="D531" i="6"/>
  <c r="C531" i="6"/>
  <c r="B531" i="6"/>
  <c r="L531" i="6" s="1"/>
  <c r="H530" i="6"/>
  <c r="G530" i="6"/>
  <c r="F530" i="6"/>
  <c r="E530" i="6"/>
  <c r="D530" i="6"/>
  <c r="C530" i="6"/>
  <c r="B530" i="6"/>
  <c r="H529" i="6"/>
  <c r="G529" i="6"/>
  <c r="F529" i="6"/>
  <c r="E529" i="6"/>
  <c r="D529" i="6"/>
  <c r="C529" i="6"/>
  <c r="B529" i="6"/>
  <c r="I528" i="6"/>
  <c r="H528" i="6"/>
  <c r="G528" i="6"/>
  <c r="M528" i="6" s="1"/>
  <c r="F528" i="6"/>
  <c r="E528" i="6"/>
  <c r="D528" i="6"/>
  <c r="C528" i="6"/>
  <c r="B528" i="6"/>
  <c r="H527" i="6"/>
  <c r="G527" i="6"/>
  <c r="M527" i="6" s="1"/>
  <c r="F527" i="6"/>
  <c r="E527" i="6"/>
  <c r="D527" i="6"/>
  <c r="C527" i="6"/>
  <c r="B527" i="6"/>
  <c r="I526" i="6"/>
  <c r="H526" i="6"/>
  <c r="G526" i="6"/>
  <c r="M526" i="6" s="1"/>
  <c r="F526" i="6"/>
  <c r="E526" i="6"/>
  <c r="D526" i="6"/>
  <c r="C526" i="6"/>
  <c r="B526" i="6"/>
  <c r="H525" i="6"/>
  <c r="G525" i="6"/>
  <c r="F525" i="6"/>
  <c r="E525" i="6"/>
  <c r="D525" i="6"/>
  <c r="C525" i="6"/>
  <c r="B525" i="6"/>
  <c r="H524" i="6"/>
  <c r="G524" i="6"/>
  <c r="F524" i="6"/>
  <c r="E524" i="6"/>
  <c r="D524" i="6"/>
  <c r="C524" i="6"/>
  <c r="B524" i="6"/>
  <c r="H523" i="6"/>
  <c r="G523" i="6"/>
  <c r="F523" i="6"/>
  <c r="E523" i="6"/>
  <c r="D523" i="6"/>
  <c r="C523" i="6"/>
  <c r="B523" i="6"/>
  <c r="H522" i="6"/>
  <c r="G522" i="6"/>
  <c r="F522" i="6"/>
  <c r="E522" i="6"/>
  <c r="D522" i="6"/>
  <c r="I522" i="6" s="1"/>
  <c r="C522" i="6"/>
  <c r="B522" i="6"/>
  <c r="H521" i="6"/>
  <c r="G521" i="6"/>
  <c r="F521" i="6"/>
  <c r="E521" i="6"/>
  <c r="D521" i="6"/>
  <c r="C521" i="6"/>
  <c r="B521" i="6"/>
  <c r="H520" i="6"/>
  <c r="G520" i="6"/>
  <c r="F520" i="6"/>
  <c r="E520" i="6"/>
  <c r="D520" i="6"/>
  <c r="C520" i="6"/>
  <c r="B520" i="6"/>
  <c r="H519" i="6"/>
  <c r="G519" i="6"/>
  <c r="F519" i="6"/>
  <c r="E519" i="6"/>
  <c r="D519" i="6"/>
  <c r="C519" i="6"/>
  <c r="B519" i="6"/>
  <c r="H518" i="6"/>
  <c r="G518" i="6"/>
  <c r="F518" i="6"/>
  <c r="E518" i="6"/>
  <c r="D518" i="6"/>
  <c r="C518" i="6"/>
  <c r="B518" i="6"/>
  <c r="L518" i="6" s="1"/>
  <c r="H517" i="6"/>
  <c r="G517" i="6"/>
  <c r="F517" i="6"/>
  <c r="E517" i="6"/>
  <c r="D517" i="6"/>
  <c r="C517" i="6"/>
  <c r="B517" i="6"/>
  <c r="H516" i="6"/>
  <c r="G516" i="6"/>
  <c r="F516" i="6"/>
  <c r="E516" i="6"/>
  <c r="D516" i="6"/>
  <c r="C516" i="6"/>
  <c r="B516" i="6"/>
  <c r="H515" i="6"/>
  <c r="G515" i="6"/>
  <c r="F515" i="6"/>
  <c r="E515" i="6"/>
  <c r="D515" i="6"/>
  <c r="C515" i="6"/>
  <c r="B515" i="6"/>
  <c r="H514" i="6"/>
  <c r="G514" i="6"/>
  <c r="F514" i="6"/>
  <c r="I514" i="6" s="1"/>
  <c r="E514" i="6"/>
  <c r="J514" i="6" s="1"/>
  <c r="D514" i="6"/>
  <c r="C514" i="6"/>
  <c r="B514" i="6"/>
  <c r="H513" i="6"/>
  <c r="G513" i="6"/>
  <c r="F513" i="6"/>
  <c r="E513" i="6"/>
  <c r="D513" i="6"/>
  <c r="C513" i="6"/>
  <c r="B513" i="6"/>
  <c r="H512" i="6"/>
  <c r="G512" i="6"/>
  <c r="F512" i="6"/>
  <c r="E512" i="6"/>
  <c r="D512" i="6"/>
  <c r="C512" i="6"/>
  <c r="B512" i="6"/>
  <c r="H511" i="6"/>
  <c r="G511" i="6"/>
  <c r="F511" i="6"/>
  <c r="E511" i="6"/>
  <c r="D511" i="6"/>
  <c r="I511" i="6" s="1"/>
  <c r="C511" i="6"/>
  <c r="B511" i="6"/>
  <c r="H510" i="6"/>
  <c r="G510" i="6"/>
  <c r="F510" i="6"/>
  <c r="E510" i="6"/>
  <c r="D510" i="6"/>
  <c r="C510" i="6"/>
  <c r="B510" i="6"/>
  <c r="H509" i="6"/>
  <c r="G509" i="6"/>
  <c r="F509" i="6"/>
  <c r="E509" i="6"/>
  <c r="D509" i="6"/>
  <c r="C509" i="6"/>
  <c r="B509" i="6"/>
  <c r="H508" i="6"/>
  <c r="G508" i="6"/>
  <c r="F508" i="6"/>
  <c r="E508" i="6"/>
  <c r="D508" i="6"/>
  <c r="C508" i="6"/>
  <c r="B508" i="6"/>
  <c r="H507" i="6"/>
  <c r="G507" i="6"/>
  <c r="F507" i="6"/>
  <c r="E507" i="6"/>
  <c r="D507" i="6"/>
  <c r="C507" i="6"/>
  <c r="B507" i="6"/>
  <c r="H506" i="6"/>
  <c r="G506" i="6"/>
  <c r="F506" i="6"/>
  <c r="E506" i="6"/>
  <c r="D506" i="6"/>
  <c r="C506" i="6"/>
  <c r="B506" i="6"/>
  <c r="H505" i="6"/>
  <c r="G505" i="6"/>
  <c r="F505" i="6"/>
  <c r="E505" i="6"/>
  <c r="D505" i="6"/>
  <c r="C505" i="6"/>
  <c r="B505" i="6"/>
  <c r="H504" i="6"/>
  <c r="G504" i="6"/>
  <c r="F504" i="6"/>
  <c r="E504" i="6"/>
  <c r="D504" i="6"/>
  <c r="C504" i="6"/>
  <c r="B504" i="6"/>
  <c r="H503" i="6"/>
  <c r="G503" i="6"/>
  <c r="F503" i="6"/>
  <c r="E503" i="6"/>
  <c r="D503" i="6"/>
  <c r="C503" i="6"/>
  <c r="B503" i="6"/>
  <c r="H502" i="6"/>
  <c r="G502" i="6"/>
  <c r="F502" i="6"/>
  <c r="E502" i="6"/>
  <c r="D502" i="6"/>
  <c r="C502" i="6"/>
  <c r="B502" i="6"/>
  <c r="H501" i="6"/>
  <c r="G501" i="6"/>
  <c r="F501" i="6"/>
  <c r="E501" i="6"/>
  <c r="D501" i="6"/>
  <c r="C501" i="6"/>
  <c r="B501" i="6"/>
  <c r="H500" i="6"/>
  <c r="G500" i="6"/>
  <c r="F500" i="6"/>
  <c r="E500" i="6"/>
  <c r="D500" i="6"/>
  <c r="C500" i="6"/>
  <c r="B500" i="6"/>
  <c r="H499" i="6"/>
  <c r="G499" i="6"/>
  <c r="F499" i="6"/>
  <c r="E499" i="6"/>
  <c r="D499" i="6"/>
  <c r="C499" i="6"/>
  <c r="B499" i="6"/>
  <c r="H498" i="6"/>
  <c r="G498" i="6"/>
  <c r="F498" i="6"/>
  <c r="E498" i="6"/>
  <c r="D498" i="6"/>
  <c r="C498" i="6"/>
  <c r="B498" i="6"/>
  <c r="H497" i="6"/>
  <c r="G497" i="6"/>
  <c r="L497" i="6" s="1"/>
  <c r="F497" i="6"/>
  <c r="E497" i="6"/>
  <c r="J497" i="6" s="1"/>
  <c r="D497" i="6"/>
  <c r="I497" i="6" s="1"/>
  <c r="C497" i="6"/>
  <c r="B497" i="6"/>
  <c r="H496" i="6"/>
  <c r="G496" i="6"/>
  <c r="F496" i="6"/>
  <c r="I496" i="6" s="1"/>
  <c r="E496" i="6"/>
  <c r="D496" i="6"/>
  <c r="C496" i="6"/>
  <c r="B496" i="6"/>
  <c r="H495" i="6"/>
  <c r="G495" i="6"/>
  <c r="F495" i="6"/>
  <c r="E495" i="6"/>
  <c r="J495" i="6" s="1"/>
  <c r="D495" i="6"/>
  <c r="C495" i="6"/>
  <c r="B495" i="6"/>
  <c r="H494" i="6"/>
  <c r="G494" i="6"/>
  <c r="F494" i="6"/>
  <c r="E494" i="6"/>
  <c r="D494" i="6"/>
  <c r="C494" i="6"/>
  <c r="B494" i="6"/>
  <c r="H493" i="6"/>
  <c r="G493" i="6"/>
  <c r="F493" i="6"/>
  <c r="E493" i="6"/>
  <c r="D493" i="6"/>
  <c r="C493" i="6"/>
  <c r="B493" i="6"/>
  <c r="H492" i="6"/>
  <c r="G492" i="6"/>
  <c r="F492" i="6"/>
  <c r="E492" i="6"/>
  <c r="D492" i="6"/>
  <c r="C492" i="6"/>
  <c r="B492" i="6"/>
  <c r="H491" i="6"/>
  <c r="G491" i="6"/>
  <c r="F491" i="6"/>
  <c r="E491" i="6"/>
  <c r="D491" i="6"/>
  <c r="C491" i="6"/>
  <c r="B491" i="6"/>
  <c r="H490" i="6"/>
  <c r="G490" i="6"/>
  <c r="L490" i="6" s="1"/>
  <c r="F490" i="6"/>
  <c r="E490" i="6"/>
  <c r="D490" i="6"/>
  <c r="I490" i="6" s="1"/>
  <c r="C490" i="6"/>
  <c r="B490" i="6"/>
  <c r="H489" i="6"/>
  <c r="G489" i="6"/>
  <c r="F489" i="6"/>
  <c r="E489" i="6"/>
  <c r="D489" i="6"/>
  <c r="C489" i="6"/>
  <c r="B489" i="6"/>
  <c r="H488" i="6"/>
  <c r="G488" i="6"/>
  <c r="F488" i="6"/>
  <c r="E488" i="6"/>
  <c r="D488" i="6"/>
  <c r="C488" i="6"/>
  <c r="B488" i="6"/>
  <c r="L488" i="6" s="1"/>
  <c r="H487" i="6"/>
  <c r="G487" i="6"/>
  <c r="F487" i="6"/>
  <c r="E487" i="6"/>
  <c r="D487" i="6"/>
  <c r="C487" i="6"/>
  <c r="B487" i="6"/>
  <c r="H486" i="6"/>
  <c r="G486" i="6"/>
  <c r="F486" i="6"/>
  <c r="E486" i="6"/>
  <c r="D486" i="6"/>
  <c r="C486" i="6"/>
  <c r="B486" i="6"/>
  <c r="L486" i="6" s="1"/>
  <c r="H485" i="6"/>
  <c r="G485" i="6"/>
  <c r="F485" i="6"/>
  <c r="E485" i="6"/>
  <c r="D485" i="6"/>
  <c r="C485" i="6"/>
  <c r="B485" i="6"/>
  <c r="L484" i="6"/>
  <c r="H484" i="6"/>
  <c r="G484" i="6"/>
  <c r="F484" i="6"/>
  <c r="E484" i="6"/>
  <c r="D484" i="6"/>
  <c r="C484" i="6"/>
  <c r="M484" i="6" s="1"/>
  <c r="B484" i="6"/>
  <c r="H483" i="6"/>
  <c r="G483" i="6"/>
  <c r="F483" i="6"/>
  <c r="E483" i="6"/>
  <c r="D483" i="6"/>
  <c r="I483" i="6" s="1"/>
  <c r="C483" i="6"/>
  <c r="B483" i="6"/>
  <c r="L482" i="6"/>
  <c r="H482" i="6"/>
  <c r="G482" i="6"/>
  <c r="F482" i="6"/>
  <c r="E482" i="6"/>
  <c r="D482" i="6"/>
  <c r="C482" i="6"/>
  <c r="B482" i="6"/>
  <c r="H481" i="6"/>
  <c r="G481" i="6"/>
  <c r="F481" i="6"/>
  <c r="E481" i="6"/>
  <c r="D481" i="6"/>
  <c r="C481" i="6"/>
  <c r="B481" i="6"/>
  <c r="H480" i="6"/>
  <c r="G480" i="6"/>
  <c r="F480" i="6"/>
  <c r="E480" i="6"/>
  <c r="D480" i="6"/>
  <c r="C480" i="6"/>
  <c r="M480" i="6" s="1"/>
  <c r="B480" i="6"/>
  <c r="H479" i="6"/>
  <c r="G479" i="6"/>
  <c r="M479" i="6" s="1"/>
  <c r="F479" i="6"/>
  <c r="E479" i="6"/>
  <c r="D479" i="6"/>
  <c r="C479" i="6"/>
  <c r="B479" i="6"/>
  <c r="H478" i="6"/>
  <c r="G478" i="6"/>
  <c r="F478" i="6"/>
  <c r="I478" i="6" s="1"/>
  <c r="E478" i="6"/>
  <c r="D478" i="6"/>
  <c r="C478" i="6"/>
  <c r="B478" i="6"/>
  <c r="H477" i="6"/>
  <c r="G477" i="6"/>
  <c r="F477" i="6"/>
  <c r="E477" i="6"/>
  <c r="J477" i="6" s="1"/>
  <c r="D477" i="6"/>
  <c r="C477" i="6"/>
  <c r="B477" i="6"/>
  <c r="H476" i="6"/>
  <c r="G476" i="6"/>
  <c r="L476" i="6" s="1"/>
  <c r="F476" i="6"/>
  <c r="E476" i="6"/>
  <c r="D476" i="6"/>
  <c r="C476" i="6"/>
  <c r="B476" i="6"/>
  <c r="H475" i="6"/>
  <c r="G475" i="6"/>
  <c r="F475" i="6"/>
  <c r="E475" i="6"/>
  <c r="J475" i="6" s="1"/>
  <c r="D475" i="6"/>
  <c r="C475" i="6"/>
  <c r="B475" i="6"/>
  <c r="H474" i="6"/>
  <c r="G474" i="6"/>
  <c r="F474" i="6"/>
  <c r="E474" i="6"/>
  <c r="D474" i="6"/>
  <c r="C474" i="6"/>
  <c r="B474" i="6"/>
  <c r="H473" i="6"/>
  <c r="G473" i="6"/>
  <c r="F473" i="6"/>
  <c r="E473" i="6"/>
  <c r="D473" i="6"/>
  <c r="I473" i="6" s="1"/>
  <c r="C473" i="6"/>
  <c r="B473" i="6"/>
  <c r="H472" i="6"/>
  <c r="G472" i="6"/>
  <c r="F472" i="6"/>
  <c r="E472" i="6"/>
  <c r="D472" i="6"/>
  <c r="C472" i="6"/>
  <c r="B472" i="6"/>
  <c r="H471" i="6"/>
  <c r="G471" i="6"/>
  <c r="F471" i="6"/>
  <c r="E471" i="6"/>
  <c r="D471" i="6"/>
  <c r="C471" i="6"/>
  <c r="B471" i="6"/>
  <c r="H470" i="6"/>
  <c r="G470" i="6"/>
  <c r="F470" i="6"/>
  <c r="E470" i="6"/>
  <c r="D470" i="6"/>
  <c r="C470" i="6"/>
  <c r="B470" i="6"/>
  <c r="H469" i="6"/>
  <c r="G469" i="6"/>
  <c r="F469" i="6"/>
  <c r="E469" i="6"/>
  <c r="D469" i="6"/>
  <c r="C469" i="6"/>
  <c r="B469" i="6"/>
  <c r="H468" i="6"/>
  <c r="G468" i="6"/>
  <c r="F468" i="6"/>
  <c r="E468" i="6"/>
  <c r="D468" i="6"/>
  <c r="C468" i="6"/>
  <c r="B468" i="6"/>
  <c r="H467" i="6"/>
  <c r="G467" i="6"/>
  <c r="F467" i="6"/>
  <c r="E467" i="6"/>
  <c r="D467" i="6"/>
  <c r="C467" i="6"/>
  <c r="B467" i="6"/>
  <c r="H466" i="6"/>
  <c r="G466" i="6"/>
  <c r="F466" i="6"/>
  <c r="E466" i="6"/>
  <c r="D466" i="6"/>
  <c r="C466" i="6"/>
  <c r="B466" i="6"/>
  <c r="H465" i="6"/>
  <c r="G465" i="6"/>
  <c r="F465" i="6"/>
  <c r="E465" i="6"/>
  <c r="D465" i="6"/>
  <c r="C465" i="6"/>
  <c r="B465" i="6"/>
  <c r="H464" i="6"/>
  <c r="G464" i="6"/>
  <c r="F464" i="6"/>
  <c r="E464" i="6"/>
  <c r="D464" i="6"/>
  <c r="C464" i="6"/>
  <c r="B464" i="6"/>
  <c r="H463" i="6"/>
  <c r="G463" i="6"/>
  <c r="F463" i="6"/>
  <c r="E463" i="6"/>
  <c r="D463" i="6"/>
  <c r="C463" i="6"/>
  <c r="B463" i="6"/>
  <c r="H462" i="6"/>
  <c r="G462" i="6"/>
  <c r="F462" i="6"/>
  <c r="I462" i="6" s="1"/>
  <c r="E462" i="6"/>
  <c r="D462" i="6"/>
  <c r="C462" i="6"/>
  <c r="B462" i="6"/>
  <c r="H461" i="6"/>
  <c r="G461" i="6"/>
  <c r="L461" i="6" s="1"/>
  <c r="F461" i="6"/>
  <c r="E461" i="6"/>
  <c r="D461" i="6"/>
  <c r="C461" i="6"/>
  <c r="B461" i="6"/>
  <c r="H460" i="6"/>
  <c r="G460" i="6"/>
  <c r="F460" i="6"/>
  <c r="E460" i="6"/>
  <c r="D460" i="6"/>
  <c r="C460" i="6"/>
  <c r="B460" i="6"/>
  <c r="H459" i="6"/>
  <c r="G459" i="6"/>
  <c r="F459" i="6"/>
  <c r="E459" i="6"/>
  <c r="D459" i="6"/>
  <c r="C459" i="6"/>
  <c r="B459" i="6"/>
  <c r="H458" i="6"/>
  <c r="G458" i="6"/>
  <c r="F458" i="6"/>
  <c r="E458" i="6"/>
  <c r="D458" i="6"/>
  <c r="C458" i="6"/>
  <c r="B458" i="6"/>
  <c r="H457" i="6"/>
  <c r="G457" i="6"/>
  <c r="F457" i="6"/>
  <c r="E457" i="6"/>
  <c r="D457" i="6"/>
  <c r="C457" i="6"/>
  <c r="B457" i="6"/>
  <c r="H456" i="6"/>
  <c r="G456" i="6"/>
  <c r="F456" i="6"/>
  <c r="E456" i="6"/>
  <c r="D456" i="6"/>
  <c r="C456" i="6"/>
  <c r="B456" i="6"/>
  <c r="H455" i="6"/>
  <c r="G455" i="6"/>
  <c r="F455" i="6"/>
  <c r="E455" i="6"/>
  <c r="D455" i="6"/>
  <c r="C455" i="6"/>
  <c r="B455" i="6"/>
  <c r="I454" i="6"/>
  <c r="H454" i="6"/>
  <c r="G454" i="6"/>
  <c r="F454" i="6"/>
  <c r="E454" i="6"/>
  <c r="D454" i="6"/>
  <c r="C454" i="6"/>
  <c r="B454" i="6"/>
  <c r="H453" i="6"/>
  <c r="G453" i="6"/>
  <c r="F453" i="6"/>
  <c r="E453" i="6"/>
  <c r="D453" i="6"/>
  <c r="C453" i="6"/>
  <c r="B453" i="6"/>
  <c r="H452" i="6"/>
  <c r="G452" i="6"/>
  <c r="F452" i="6"/>
  <c r="E452" i="6"/>
  <c r="D452" i="6"/>
  <c r="C452" i="6"/>
  <c r="B452" i="6"/>
  <c r="I451" i="6"/>
  <c r="H451" i="6"/>
  <c r="G451" i="6"/>
  <c r="F451" i="6"/>
  <c r="E451" i="6"/>
  <c r="D451" i="6"/>
  <c r="C451" i="6"/>
  <c r="B451" i="6"/>
  <c r="H450" i="6"/>
  <c r="G450" i="6"/>
  <c r="F450" i="6"/>
  <c r="E450" i="6"/>
  <c r="D450" i="6"/>
  <c r="C450" i="6"/>
  <c r="B450" i="6"/>
  <c r="H449" i="6"/>
  <c r="G449" i="6"/>
  <c r="L449" i="6" s="1"/>
  <c r="F449" i="6"/>
  <c r="E449" i="6"/>
  <c r="D449" i="6"/>
  <c r="C449" i="6"/>
  <c r="B449" i="6"/>
  <c r="H448" i="6"/>
  <c r="G448" i="6"/>
  <c r="F448" i="6"/>
  <c r="E448" i="6"/>
  <c r="D448" i="6"/>
  <c r="C448" i="6"/>
  <c r="B448" i="6"/>
  <c r="H447" i="6"/>
  <c r="G447" i="6"/>
  <c r="F447" i="6"/>
  <c r="E447" i="6"/>
  <c r="D447" i="6"/>
  <c r="C447" i="6"/>
  <c r="B447" i="6"/>
  <c r="H446" i="6"/>
  <c r="G446" i="6"/>
  <c r="F446" i="6"/>
  <c r="E446" i="6"/>
  <c r="D446" i="6"/>
  <c r="I446" i="6" s="1"/>
  <c r="C446" i="6"/>
  <c r="B446" i="6"/>
  <c r="H445" i="6"/>
  <c r="G445" i="6"/>
  <c r="F445" i="6"/>
  <c r="E445" i="6"/>
  <c r="D445" i="6"/>
  <c r="C445" i="6"/>
  <c r="B445" i="6"/>
  <c r="I444" i="6"/>
  <c r="K444" i="6" s="1"/>
  <c r="B448" i="7" s="1"/>
  <c r="H444" i="6"/>
  <c r="G444" i="6"/>
  <c r="F444" i="6"/>
  <c r="E444" i="6"/>
  <c r="J444" i="6" s="1"/>
  <c r="D444" i="6"/>
  <c r="C444" i="6"/>
  <c r="B444" i="6"/>
  <c r="H443" i="6"/>
  <c r="G443" i="6"/>
  <c r="F443" i="6"/>
  <c r="E443" i="6"/>
  <c r="D443" i="6"/>
  <c r="C443" i="6"/>
  <c r="B443" i="6"/>
  <c r="I442" i="6"/>
  <c r="H442" i="6"/>
  <c r="G442" i="6"/>
  <c r="M442" i="6" s="1"/>
  <c r="F442" i="6"/>
  <c r="E442" i="6"/>
  <c r="D442" i="6"/>
  <c r="C442" i="6"/>
  <c r="B442" i="6"/>
  <c r="H441" i="6"/>
  <c r="G441" i="6"/>
  <c r="F441" i="6"/>
  <c r="E441" i="6"/>
  <c r="D441" i="6"/>
  <c r="C441" i="6"/>
  <c r="B441" i="6"/>
  <c r="H440" i="6"/>
  <c r="G440" i="6"/>
  <c r="F440" i="6"/>
  <c r="E440" i="6"/>
  <c r="D440" i="6"/>
  <c r="C440" i="6"/>
  <c r="B440" i="6"/>
  <c r="H439" i="6"/>
  <c r="G439" i="6"/>
  <c r="F439" i="6"/>
  <c r="E439" i="6"/>
  <c r="D439" i="6"/>
  <c r="C439" i="6"/>
  <c r="B439" i="6"/>
  <c r="H438" i="6"/>
  <c r="G438" i="6"/>
  <c r="F438" i="6"/>
  <c r="E438" i="6"/>
  <c r="D438" i="6"/>
  <c r="C438" i="6"/>
  <c r="B438" i="6"/>
  <c r="H437" i="6"/>
  <c r="G437" i="6"/>
  <c r="M437" i="6" s="1"/>
  <c r="F437" i="6"/>
  <c r="J437" i="6" s="1"/>
  <c r="E437" i="6"/>
  <c r="D437" i="6"/>
  <c r="C437" i="6"/>
  <c r="B437" i="6"/>
  <c r="H436" i="6"/>
  <c r="G436" i="6"/>
  <c r="F436" i="6"/>
  <c r="E436" i="6"/>
  <c r="D436" i="6"/>
  <c r="C436" i="6"/>
  <c r="B436" i="6"/>
  <c r="H435" i="6"/>
  <c r="G435" i="6"/>
  <c r="F435" i="6"/>
  <c r="E435" i="6"/>
  <c r="J435" i="6" s="1"/>
  <c r="D435" i="6"/>
  <c r="C435" i="6"/>
  <c r="B435" i="6"/>
  <c r="H434" i="6"/>
  <c r="G434" i="6"/>
  <c r="F434" i="6"/>
  <c r="E434" i="6"/>
  <c r="D434" i="6"/>
  <c r="C434" i="6"/>
  <c r="B434" i="6"/>
  <c r="H433" i="6"/>
  <c r="G433" i="6"/>
  <c r="F433" i="6"/>
  <c r="E433" i="6"/>
  <c r="D433" i="6"/>
  <c r="C433" i="6"/>
  <c r="B433" i="6"/>
  <c r="H432" i="6"/>
  <c r="G432" i="6"/>
  <c r="F432" i="6"/>
  <c r="E432" i="6"/>
  <c r="D432" i="6"/>
  <c r="C432" i="6"/>
  <c r="B432" i="6"/>
  <c r="H431" i="6"/>
  <c r="G431" i="6"/>
  <c r="F431" i="6"/>
  <c r="I431" i="6" s="1"/>
  <c r="E431" i="6"/>
  <c r="D431" i="6"/>
  <c r="C431" i="6"/>
  <c r="B431" i="6"/>
  <c r="H430" i="6"/>
  <c r="G430" i="6"/>
  <c r="F430" i="6"/>
  <c r="E430" i="6"/>
  <c r="J430" i="6" s="1"/>
  <c r="D430" i="6"/>
  <c r="C430" i="6"/>
  <c r="B430" i="6"/>
  <c r="H429" i="6"/>
  <c r="G429" i="6"/>
  <c r="M429" i="6" s="1"/>
  <c r="F429" i="6"/>
  <c r="J429" i="6" s="1"/>
  <c r="E429" i="6"/>
  <c r="D429" i="6"/>
  <c r="C429" i="6"/>
  <c r="B429" i="6"/>
  <c r="H428" i="6"/>
  <c r="G428" i="6"/>
  <c r="F428" i="6"/>
  <c r="E428" i="6"/>
  <c r="D428" i="6"/>
  <c r="I428" i="6" s="1"/>
  <c r="C428" i="6"/>
  <c r="B428" i="6"/>
  <c r="H427" i="6"/>
  <c r="G427" i="6"/>
  <c r="F427" i="6"/>
  <c r="I427" i="6" s="1"/>
  <c r="E427" i="6"/>
  <c r="D427" i="6"/>
  <c r="C427" i="6"/>
  <c r="B427" i="6"/>
  <c r="H426" i="6"/>
  <c r="G426" i="6"/>
  <c r="F426" i="6"/>
  <c r="I426" i="6" s="1"/>
  <c r="E426" i="6"/>
  <c r="D426" i="6"/>
  <c r="C426" i="6"/>
  <c r="B426" i="6"/>
  <c r="H425" i="6"/>
  <c r="G425" i="6"/>
  <c r="M425" i="6" s="1"/>
  <c r="F425" i="6"/>
  <c r="E425" i="6"/>
  <c r="D425" i="6"/>
  <c r="C425" i="6"/>
  <c r="B425" i="6"/>
  <c r="H424" i="6"/>
  <c r="G424" i="6"/>
  <c r="L424" i="6" s="1"/>
  <c r="F424" i="6"/>
  <c r="E424" i="6"/>
  <c r="D424" i="6"/>
  <c r="C424" i="6"/>
  <c r="B424" i="6"/>
  <c r="J423" i="6"/>
  <c r="H423" i="6"/>
  <c r="G423" i="6"/>
  <c r="F423" i="6"/>
  <c r="E423" i="6"/>
  <c r="D423" i="6"/>
  <c r="C423" i="6"/>
  <c r="B423" i="6"/>
  <c r="I423" i="6" s="1"/>
  <c r="H422" i="6"/>
  <c r="G422" i="6"/>
  <c r="F422" i="6"/>
  <c r="E422" i="6"/>
  <c r="D422" i="6"/>
  <c r="C422" i="6"/>
  <c r="B422" i="6"/>
  <c r="I422" i="6" s="1"/>
  <c r="J421" i="6"/>
  <c r="H421" i="6"/>
  <c r="G421" i="6"/>
  <c r="M421" i="6" s="1"/>
  <c r="F421" i="6"/>
  <c r="E421" i="6"/>
  <c r="D421" i="6"/>
  <c r="C421" i="6"/>
  <c r="B421" i="6"/>
  <c r="J420" i="6"/>
  <c r="H420" i="6"/>
  <c r="G420" i="6"/>
  <c r="F420" i="6"/>
  <c r="E420" i="6"/>
  <c r="D420" i="6"/>
  <c r="C420" i="6"/>
  <c r="B420" i="6"/>
  <c r="H419" i="6"/>
  <c r="G419" i="6"/>
  <c r="F419" i="6"/>
  <c r="E419" i="6"/>
  <c r="D419" i="6"/>
  <c r="C419" i="6"/>
  <c r="B419" i="6"/>
  <c r="H418" i="6"/>
  <c r="G418" i="6"/>
  <c r="F418" i="6"/>
  <c r="E418" i="6"/>
  <c r="D418" i="6"/>
  <c r="C418" i="6"/>
  <c r="B418" i="6"/>
  <c r="H417" i="6"/>
  <c r="G417" i="6"/>
  <c r="F417" i="6"/>
  <c r="E417" i="6"/>
  <c r="D417" i="6"/>
  <c r="C417" i="6"/>
  <c r="B417" i="6"/>
  <c r="H416" i="6"/>
  <c r="G416" i="6"/>
  <c r="F416" i="6"/>
  <c r="E416" i="6"/>
  <c r="D416" i="6"/>
  <c r="C416" i="6"/>
  <c r="M416" i="6" s="1"/>
  <c r="B416" i="6"/>
  <c r="H415" i="6"/>
  <c r="G415" i="6"/>
  <c r="F415" i="6"/>
  <c r="E415" i="6"/>
  <c r="D415" i="6"/>
  <c r="C415" i="6"/>
  <c r="B415" i="6"/>
  <c r="H414" i="6"/>
  <c r="G414" i="6"/>
  <c r="F414" i="6"/>
  <c r="E414" i="6"/>
  <c r="D414" i="6"/>
  <c r="C414" i="6"/>
  <c r="B414" i="6"/>
  <c r="H413" i="6"/>
  <c r="G413" i="6"/>
  <c r="F413" i="6"/>
  <c r="E413" i="6"/>
  <c r="D413" i="6"/>
  <c r="C413" i="6"/>
  <c r="B413" i="6"/>
  <c r="H412" i="6"/>
  <c r="G412" i="6"/>
  <c r="F412" i="6"/>
  <c r="E412" i="6"/>
  <c r="J412" i="6" s="1"/>
  <c r="D412" i="6"/>
  <c r="C412" i="6"/>
  <c r="B412" i="6"/>
  <c r="H411" i="6"/>
  <c r="G411" i="6"/>
  <c r="F411" i="6"/>
  <c r="E411" i="6"/>
  <c r="D411" i="6"/>
  <c r="C411" i="6"/>
  <c r="B411" i="6"/>
  <c r="H410" i="6"/>
  <c r="G410" i="6"/>
  <c r="F410" i="6"/>
  <c r="E410" i="6"/>
  <c r="J410" i="6" s="1"/>
  <c r="D410" i="6"/>
  <c r="C410" i="6"/>
  <c r="B410" i="6"/>
  <c r="H409" i="6"/>
  <c r="G409" i="6"/>
  <c r="M409" i="6" s="1"/>
  <c r="F409" i="6"/>
  <c r="E409" i="6"/>
  <c r="D409" i="6"/>
  <c r="C409" i="6"/>
  <c r="B409" i="6"/>
  <c r="H408" i="6"/>
  <c r="G408" i="6"/>
  <c r="F408" i="6"/>
  <c r="E408" i="6"/>
  <c r="D408" i="6"/>
  <c r="C408" i="6"/>
  <c r="B408" i="6"/>
  <c r="H407" i="6"/>
  <c r="G407" i="6"/>
  <c r="F407" i="6"/>
  <c r="E407" i="6"/>
  <c r="D407" i="6"/>
  <c r="C407" i="6"/>
  <c r="B407" i="6"/>
  <c r="H406" i="6"/>
  <c r="G406" i="6"/>
  <c r="F406" i="6"/>
  <c r="E406" i="6"/>
  <c r="D406" i="6"/>
  <c r="C406" i="6"/>
  <c r="B406" i="6"/>
  <c r="J405" i="6"/>
  <c r="H405" i="6"/>
  <c r="G405" i="6"/>
  <c r="F405" i="6"/>
  <c r="E405" i="6"/>
  <c r="D405" i="6"/>
  <c r="C405" i="6"/>
  <c r="B405" i="6"/>
  <c r="J404" i="6"/>
  <c r="H404" i="6"/>
  <c r="G404" i="6"/>
  <c r="F404" i="6"/>
  <c r="E404" i="6"/>
  <c r="D404" i="6"/>
  <c r="C404" i="6"/>
  <c r="B404" i="6"/>
  <c r="H403" i="6"/>
  <c r="G403" i="6"/>
  <c r="F403" i="6"/>
  <c r="E403" i="6"/>
  <c r="D403" i="6"/>
  <c r="C403" i="6"/>
  <c r="B403" i="6"/>
  <c r="H402" i="6"/>
  <c r="G402" i="6"/>
  <c r="F402" i="6"/>
  <c r="E402" i="6"/>
  <c r="D402" i="6"/>
  <c r="C402" i="6"/>
  <c r="B402" i="6"/>
  <c r="H401" i="6"/>
  <c r="G401" i="6"/>
  <c r="F401" i="6"/>
  <c r="E401" i="6"/>
  <c r="D401" i="6"/>
  <c r="C401" i="6"/>
  <c r="B401" i="6"/>
  <c r="H400" i="6"/>
  <c r="G400" i="6"/>
  <c r="F400" i="6"/>
  <c r="E400" i="6"/>
  <c r="D400" i="6"/>
  <c r="C400" i="6"/>
  <c r="B400" i="6"/>
  <c r="H399" i="6"/>
  <c r="G399" i="6"/>
  <c r="F399" i="6"/>
  <c r="E399" i="6"/>
  <c r="J399" i="6" s="1"/>
  <c r="D399" i="6"/>
  <c r="C399" i="6"/>
  <c r="B399" i="6"/>
  <c r="H398" i="6"/>
  <c r="G398" i="6"/>
  <c r="F398" i="6"/>
  <c r="E398" i="6"/>
  <c r="D398" i="6"/>
  <c r="C398" i="6"/>
  <c r="B398" i="6"/>
  <c r="H397" i="6"/>
  <c r="G397" i="6"/>
  <c r="F397" i="6"/>
  <c r="E397" i="6"/>
  <c r="D397" i="6"/>
  <c r="C397" i="6"/>
  <c r="M397" i="6" s="1"/>
  <c r="B397" i="6"/>
  <c r="L397" i="6" s="1"/>
  <c r="H396" i="6"/>
  <c r="G396" i="6"/>
  <c r="F396" i="6"/>
  <c r="E396" i="6"/>
  <c r="D396" i="6"/>
  <c r="C396" i="6"/>
  <c r="B396" i="6"/>
  <c r="H395" i="6"/>
  <c r="G395" i="6"/>
  <c r="F395" i="6"/>
  <c r="E395" i="6"/>
  <c r="D395" i="6"/>
  <c r="C395" i="6"/>
  <c r="B395" i="6"/>
  <c r="H394" i="6"/>
  <c r="G394" i="6"/>
  <c r="F394" i="6"/>
  <c r="E394" i="6"/>
  <c r="J394" i="6" s="1"/>
  <c r="D394" i="6"/>
  <c r="C394" i="6"/>
  <c r="B394" i="6"/>
  <c r="H393" i="6"/>
  <c r="G393" i="6"/>
  <c r="F393" i="6"/>
  <c r="E393" i="6"/>
  <c r="D393" i="6"/>
  <c r="C393" i="6"/>
  <c r="B393" i="6"/>
  <c r="H392" i="6"/>
  <c r="G392" i="6"/>
  <c r="M392" i="6" s="1"/>
  <c r="F392" i="6"/>
  <c r="E392" i="6"/>
  <c r="D392" i="6"/>
  <c r="C392" i="6"/>
  <c r="B392" i="6"/>
  <c r="H391" i="6"/>
  <c r="G391" i="6"/>
  <c r="F391" i="6"/>
  <c r="E391" i="6"/>
  <c r="J391" i="6" s="1"/>
  <c r="D391" i="6"/>
  <c r="C391" i="6"/>
  <c r="B391" i="6"/>
  <c r="H390" i="6"/>
  <c r="G390" i="6"/>
  <c r="F390" i="6"/>
  <c r="E390" i="6"/>
  <c r="D390" i="6"/>
  <c r="I390" i="6" s="1"/>
  <c r="C390" i="6"/>
  <c r="B390" i="6"/>
  <c r="H389" i="6"/>
  <c r="G389" i="6"/>
  <c r="F389" i="6"/>
  <c r="E389" i="6"/>
  <c r="D389" i="6"/>
  <c r="C389" i="6"/>
  <c r="B389" i="6"/>
  <c r="H388" i="6"/>
  <c r="G388" i="6"/>
  <c r="F388" i="6"/>
  <c r="E388" i="6"/>
  <c r="D388" i="6"/>
  <c r="I388" i="6" s="1"/>
  <c r="C388" i="6"/>
  <c r="B388" i="6"/>
  <c r="H387" i="6"/>
  <c r="G387" i="6"/>
  <c r="F387" i="6"/>
  <c r="E387" i="6"/>
  <c r="D387" i="6"/>
  <c r="C387" i="6"/>
  <c r="B387" i="6"/>
  <c r="H386" i="6"/>
  <c r="G386" i="6"/>
  <c r="F386" i="6"/>
  <c r="E386" i="6"/>
  <c r="D386" i="6"/>
  <c r="C386" i="6"/>
  <c r="B386" i="6"/>
  <c r="H385" i="6"/>
  <c r="G385" i="6"/>
  <c r="M385" i="6" s="1"/>
  <c r="F385" i="6"/>
  <c r="E385" i="6"/>
  <c r="D385" i="6"/>
  <c r="C385" i="6"/>
  <c r="B385" i="6"/>
  <c r="H384" i="6"/>
  <c r="G384" i="6"/>
  <c r="F384" i="6"/>
  <c r="E384" i="6"/>
  <c r="D384" i="6"/>
  <c r="C384" i="6"/>
  <c r="B384" i="6"/>
  <c r="H383" i="6"/>
  <c r="G383" i="6"/>
  <c r="F383" i="6"/>
  <c r="E383" i="6"/>
  <c r="J383" i="6" s="1"/>
  <c r="D383" i="6"/>
  <c r="C383" i="6"/>
  <c r="B383" i="6"/>
  <c r="H382" i="6"/>
  <c r="G382" i="6"/>
  <c r="F382" i="6"/>
  <c r="E382" i="6"/>
  <c r="J382" i="6" s="1"/>
  <c r="D382" i="6"/>
  <c r="C382" i="6"/>
  <c r="B382" i="6"/>
  <c r="H381" i="6"/>
  <c r="G381" i="6"/>
  <c r="F381" i="6"/>
  <c r="E381" i="6"/>
  <c r="D381" i="6"/>
  <c r="C381" i="6"/>
  <c r="B381" i="6"/>
  <c r="H380" i="6"/>
  <c r="G380" i="6"/>
  <c r="F380" i="6"/>
  <c r="E380" i="6"/>
  <c r="J380" i="6" s="1"/>
  <c r="D380" i="6"/>
  <c r="I380" i="6" s="1"/>
  <c r="C380" i="6"/>
  <c r="B380" i="6"/>
  <c r="H379" i="6"/>
  <c r="G379" i="6"/>
  <c r="F379" i="6"/>
  <c r="I379" i="6" s="1"/>
  <c r="E379" i="6"/>
  <c r="D379" i="6"/>
  <c r="C379" i="6"/>
  <c r="B379" i="6"/>
  <c r="H378" i="6"/>
  <c r="G378" i="6"/>
  <c r="L378" i="6" s="1"/>
  <c r="F378" i="6"/>
  <c r="E378" i="6"/>
  <c r="D378" i="6"/>
  <c r="C378" i="6"/>
  <c r="B378" i="6"/>
  <c r="H377" i="6"/>
  <c r="G377" i="6"/>
  <c r="F377" i="6"/>
  <c r="E377" i="6"/>
  <c r="D377" i="6"/>
  <c r="C377" i="6"/>
  <c r="B377" i="6"/>
  <c r="H376" i="6"/>
  <c r="G376" i="6"/>
  <c r="F376" i="6"/>
  <c r="E376" i="6"/>
  <c r="D376" i="6"/>
  <c r="C376" i="6"/>
  <c r="B376" i="6"/>
  <c r="H375" i="6"/>
  <c r="G375" i="6"/>
  <c r="F375" i="6"/>
  <c r="E375" i="6"/>
  <c r="D375" i="6"/>
  <c r="I375" i="6" s="1"/>
  <c r="C375" i="6"/>
  <c r="M375" i="6" s="1"/>
  <c r="B375" i="6"/>
  <c r="L375" i="6" s="1"/>
  <c r="H374" i="6"/>
  <c r="G374" i="6"/>
  <c r="F374" i="6"/>
  <c r="E374" i="6"/>
  <c r="D374" i="6"/>
  <c r="C374" i="6"/>
  <c r="B374" i="6"/>
  <c r="H373" i="6"/>
  <c r="G373" i="6"/>
  <c r="F373" i="6"/>
  <c r="E373" i="6"/>
  <c r="D373" i="6"/>
  <c r="C373" i="6"/>
  <c r="B373" i="6"/>
  <c r="L373" i="6" s="1"/>
  <c r="H372" i="6"/>
  <c r="G372" i="6"/>
  <c r="F372" i="6"/>
  <c r="E372" i="6"/>
  <c r="D372" i="6"/>
  <c r="C372" i="6"/>
  <c r="B372" i="6"/>
  <c r="I372" i="6" s="1"/>
  <c r="H371" i="6"/>
  <c r="G371" i="6"/>
  <c r="F371" i="6"/>
  <c r="E371" i="6"/>
  <c r="D371" i="6"/>
  <c r="C371" i="6"/>
  <c r="B371" i="6"/>
  <c r="H370" i="6"/>
  <c r="G370" i="6"/>
  <c r="L370" i="6" s="1"/>
  <c r="F370" i="6"/>
  <c r="E370" i="6"/>
  <c r="D370" i="6"/>
  <c r="C370" i="6"/>
  <c r="B370" i="6"/>
  <c r="H369" i="6"/>
  <c r="G369" i="6"/>
  <c r="F369" i="6"/>
  <c r="E369" i="6"/>
  <c r="D369" i="6"/>
  <c r="C369" i="6"/>
  <c r="B369" i="6"/>
  <c r="H368" i="6"/>
  <c r="G368" i="6"/>
  <c r="F368" i="6"/>
  <c r="E368" i="6"/>
  <c r="D368" i="6"/>
  <c r="C368" i="6"/>
  <c r="B368" i="6"/>
  <c r="H367" i="6"/>
  <c r="G367" i="6"/>
  <c r="M367" i="6" s="1"/>
  <c r="F367" i="6"/>
  <c r="E367" i="6"/>
  <c r="D367" i="6"/>
  <c r="C367" i="6"/>
  <c r="B367" i="6"/>
  <c r="H366" i="6"/>
  <c r="G366" i="6"/>
  <c r="F366" i="6"/>
  <c r="E366" i="6"/>
  <c r="D366" i="6"/>
  <c r="C366" i="6"/>
  <c r="B366" i="6"/>
  <c r="H365" i="6"/>
  <c r="G365" i="6"/>
  <c r="F365" i="6"/>
  <c r="E365" i="6"/>
  <c r="J365" i="6" s="1"/>
  <c r="D365" i="6"/>
  <c r="C365" i="6"/>
  <c r="B365" i="6"/>
  <c r="H364" i="6"/>
  <c r="G364" i="6"/>
  <c r="F364" i="6"/>
  <c r="E364" i="6"/>
  <c r="D364" i="6"/>
  <c r="C364" i="6"/>
  <c r="B364" i="6"/>
  <c r="H363" i="6"/>
  <c r="G363" i="6"/>
  <c r="F363" i="6"/>
  <c r="E363" i="6"/>
  <c r="D363" i="6"/>
  <c r="C363" i="6"/>
  <c r="B363" i="6"/>
  <c r="H362" i="6"/>
  <c r="G362" i="6"/>
  <c r="F362" i="6"/>
  <c r="E362" i="6"/>
  <c r="D362" i="6"/>
  <c r="C362" i="6"/>
  <c r="B362" i="6"/>
  <c r="H361" i="6"/>
  <c r="G361" i="6"/>
  <c r="M361" i="6" s="1"/>
  <c r="F361" i="6"/>
  <c r="E361" i="6"/>
  <c r="D361" i="6"/>
  <c r="C361" i="6"/>
  <c r="B361" i="6"/>
  <c r="H360" i="6"/>
  <c r="G360" i="6"/>
  <c r="F360" i="6"/>
  <c r="E360" i="6"/>
  <c r="D360" i="6"/>
  <c r="C360" i="6"/>
  <c r="B360" i="6"/>
  <c r="J359" i="6"/>
  <c r="I359" i="6"/>
  <c r="K359" i="6" s="1"/>
  <c r="B363" i="7" s="1"/>
  <c r="H359" i="6"/>
  <c r="G359" i="6"/>
  <c r="M359" i="6" s="1"/>
  <c r="F359" i="6"/>
  <c r="E359" i="6"/>
  <c r="D359" i="6"/>
  <c r="C359" i="6"/>
  <c r="B359" i="6"/>
  <c r="I358" i="6"/>
  <c r="H358" i="6"/>
  <c r="G358" i="6"/>
  <c r="F358" i="6"/>
  <c r="E358" i="6"/>
  <c r="D358" i="6"/>
  <c r="C358" i="6"/>
  <c r="B358" i="6"/>
  <c r="J357" i="6"/>
  <c r="H357" i="6"/>
  <c r="G357" i="6"/>
  <c r="F357" i="6"/>
  <c r="E357" i="6"/>
  <c r="D357" i="6"/>
  <c r="C357" i="6"/>
  <c r="B357" i="6"/>
  <c r="J356" i="6"/>
  <c r="H356" i="6"/>
  <c r="G356" i="6"/>
  <c r="F356" i="6"/>
  <c r="E356" i="6"/>
  <c r="D356" i="6"/>
  <c r="C356" i="6"/>
  <c r="B356" i="6"/>
  <c r="I356" i="6" s="1"/>
  <c r="K356" i="6" s="1"/>
  <c r="B360" i="7" s="1"/>
  <c r="H355" i="6"/>
  <c r="G355" i="6"/>
  <c r="F355" i="6"/>
  <c r="E355" i="6"/>
  <c r="D355" i="6"/>
  <c r="C355" i="6"/>
  <c r="B355" i="6"/>
  <c r="M354" i="6"/>
  <c r="H354" i="6"/>
  <c r="G354" i="6"/>
  <c r="F354" i="6"/>
  <c r="E354" i="6"/>
  <c r="D354" i="6"/>
  <c r="C354" i="6"/>
  <c r="B354" i="6"/>
  <c r="H353" i="6"/>
  <c r="G353" i="6"/>
  <c r="F353" i="6"/>
  <c r="E353" i="6"/>
  <c r="D353" i="6"/>
  <c r="C353" i="6"/>
  <c r="B353" i="6"/>
  <c r="H352" i="6"/>
  <c r="G352" i="6"/>
  <c r="F352" i="6"/>
  <c r="E352" i="6"/>
  <c r="D352" i="6"/>
  <c r="C352" i="6"/>
  <c r="B352" i="6"/>
  <c r="H351" i="6"/>
  <c r="G351" i="6"/>
  <c r="M351" i="6" s="1"/>
  <c r="F351" i="6"/>
  <c r="J351" i="6" s="1"/>
  <c r="E351" i="6"/>
  <c r="D351" i="6"/>
  <c r="C351" i="6"/>
  <c r="B351" i="6"/>
  <c r="H350" i="6"/>
  <c r="G350" i="6"/>
  <c r="F350" i="6"/>
  <c r="I350" i="6" s="1"/>
  <c r="E350" i="6"/>
  <c r="D350" i="6"/>
  <c r="C350" i="6"/>
  <c r="B350" i="6"/>
  <c r="H349" i="6"/>
  <c r="G349" i="6"/>
  <c r="M349" i="6" s="1"/>
  <c r="F349" i="6"/>
  <c r="E349" i="6"/>
  <c r="D349" i="6"/>
  <c r="C349" i="6"/>
  <c r="B349" i="6"/>
  <c r="H348" i="6"/>
  <c r="G348" i="6"/>
  <c r="F348" i="6"/>
  <c r="E348" i="6"/>
  <c r="D348" i="6"/>
  <c r="C348" i="6"/>
  <c r="B348" i="6"/>
  <c r="H347" i="6"/>
  <c r="G347" i="6"/>
  <c r="F347" i="6"/>
  <c r="E347" i="6"/>
  <c r="J347" i="6" s="1"/>
  <c r="D347" i="6"/>
  <c r="C347" i="6"/>
  <c r="B347" i="6"/>
  <c r="H346" i="6"/>
  <c r="G346" i="6"/>
  <c r="F346" i="6"/>
  <c r="E346" i="6"/>
  <c r="J346" i="6" s="1"/>
  <c r="D346" i="6"/>
  <c r="C346" i="6"/>
  <c r="B346" i="6"/>
  <c r="H345" i="6"/>
  <c r="G345" i="6"/>
  <c r="F345" i="6"/>
  <c r="E345" i="6"/>
  <c r="D345" i="6"/>
  <c r="C345" i="6"/>
  <c r="B345" i="6"/>
  <c r="H344" i="6"/>
  <c r="G344" i="6"/>
  <c r="F344" i="6"/>
  <c r="E344" i="6"/>
  <c r="D344" i="6"/>
  <c r="I344" i="6" s="1"/>
  <c r="C344" i="6"/>
  <c r="B344" i="6"/>
  <c r="H343" i="6"/>
  <c r="G343" i="6"/>
  <c r="M343" i="6" s="1"/>
  <c r="F343" i="6"/>
  <c r="E343" i="6"/>
  <c r="J343" i="6" s="1"/>
  <c r="D343" i="6"/>
  <c r="I343" i="6" s="1"/>
  <c r="C343" i="6"/>
  <c r="B343" i="6"/>
  <c r="H342" i="6"/>
  <c r="G342" i="6"/>
  <c r="F342" i="6"/>
  <c r="E342" i="6"/>
  <c r="D342" i="6"/>
  <c r="C342" i="6"/>
  <c r="B342" i="6"/>
  <c r="H341" i="6"/>
  <c r="G341" i="6"/>
  <c r="M341" i="6" s="1"/>
  <c r="F341" i="6"/>
  <c r="E341" i="6"/>
  <c r="J341" i="6" s="1"/>
  <c r="D341" i="6"/>
  <c r="C341" i="6"/>
  <c r="B341" i="6"/>
  <c r="H340" i="6"/>
  <c r="G340" i="6"/>
  <c r="F340" i="6"/>
  <c r="E340" i="6"/>
  <c r="J340" i="6" s="1"/>
  <c r="D340" i="6"/>
  <c r="C340" i="6"/>
  <c r="B340" i="6"/>
  <c r="H339" i="6"/>
  <c r="G339" i="6"/>
  <c r="F339" i="6"/>
  <c r="E339" i="6"/>
  <c r="D339" i="6"/>
  <c r="C339" i="6"/>
  <c r="B339" i="6"/>
  <c r="H338" i="6"/>
  <c r="G338" i="6"/>
  <c r="F338" i="6"/>
  <c r="E338" i="6"/>
  <c r="D338" i="6"/>
  <c r="C338" i="6"/>
  <c r="B338" i="6"/>
  <c r="H337" i="6"/>
  <c r="G337" i="6"/>
  <c r="F337" i="6"/>
  <c r="E337" i="6"/>
  <c r="D337" i="6"/>
  <c r="C337" i="6"/>
  <c r="B337" i="6"/>
  <c r="M336" i="6"/>
  <c r="H336" i="6"/>
  <c r="G336" i="6"/>
  <c r="F336" i="6"/>
  <c r="E336" i="6"/>
  <c r="D336" i="6"/>
  <c r="C336" i="6"/>
  <c r="B336" i="6"/>
  <c r="H335" i="6"/>
  <c r="G335" i="6"/>
  <c r="F335" i="6"/>
  <c r="E335" i="6"/>
  <c r="D335" i="6"/>
  <c r="C335" i="6"/>
  <c r="J335" i="6" s="1"/>
  <c r="B335" i="6"/>
  <c r="I335" i="6" s="1"/>
  <c r="K335" i="6" s="1"/>
  <c r="B339" i="7" s="1"/>
  <c r="H334" i="6"/>
  <c r="G334" i="6"/>
  <c r="F334" i="6"/>
  <c r="E334" i="6"/>
  <c r="D334" i="6"/>
  <c r="C334" i="6"/>
  <c r="B334" i="6"/>
  <c r="I334" i="6" s="1"/>
  <c r="J333" i="6"/>
  <c r="H333" i="6"/>
  <c r="G333" i="6"/>
  <c r="M333" i="6" s="1"/>
  <c r="F333" i="6"/>
  <c r="E333" i="6"/>
  <c r="D333" i="6"/>
  <c r="C333" i="6"/>
  <c r="B333" i="6"/>
  <c r="I332" i="6"/>
  <c r="H332" i="6"/>
  <c r="G332" i="6"/>
  <c r="F332" i="6"/>
  <c r="E332" i="6"/>
  <c r="D332" i="6"/>
  <c r="C332" i="6"/>
  <c r="B332" i="6"/>
  <c r="H331" i="6"/>
  <c r="G331" i="6"/>
  <c r="F331" i="6"/>
  <c r="E331" i="6"/>
  <c r="D331" i="6"/>
  <c r="C331" i="6"/>
  <c r="B331" i="6"/>
  <c r="H330" i="6"/>
  <c r="G330" i="6"/>
  <c r="F330" i="6"/>
  <c r="I330" i="6" s="1"/>
  <c r="E330" i="6"/>
  <c r="D330" i="6"/>
  <c r="C330" i="6"/>
  <c r="B330" i="6"/>
  <c r="H329" i="6"/>
  <c r="G329" i="6"/>
  <c r="M329" i="6" s="1"/>
  <c r="F329" i="6"/>
  <c r="E329" i="6"/>
  <c r="D329" i="6"/>
  <c r="C329" i="6"/>
  <c r="B329" i="6"/>
  <c r="H328" i="6"/>
  <c r="G328" i="6"/>
  <c r="F328" i="6"/>
  <c r="E328" i="6"/>
  <c r="D328" i="6"/>
  <c r="C328" i="6"/>
  <c r="B328" i="6"/>
  <c r="H327" i="6"/>
  <c r="G327" i="6"/>
  <c r="F327" i="6"/>
  <c r="I327" i="6" s="1"/>
  <c r="E327" i="6"/>
  <c r="J327" i="6" s="1"/>
  <c r="D327" i="6"/>
  <c r="C327" i="6"/>
  <c r="B327" i="6"/>
  <c r="H326" i="6"/>
  <c r="G326" i="6"/>
  <c r="F326" i="6"/>
  <c r="I326" i="6" s="1"/>
  <c r="E326" i="6"/>
  <c r="D326" i="6"/>
  <c r="C326" i="6"/>
  <c r="B326" i="6"/>
  <c r="H325" i="6"/>
  <c r="G325" i="6"/>
  <c r="M325" i="6" s="1"/>
  <c r="F325" i="6"/>
  <c r="E325" i="6"/>
  <c r="D325" i="6"/>
  <c r="C325" i="6"/>
  <c r="B325" i="6"/>
  <c r="H324" i="6"/>
  <c r="G324" i="6"/>
  <c r="F324" i="6"/>
  <c r="E324" i="6"/>
  <c r="D324" i="6"/>
  <c r="C324" i="6"/>
  <c r="B324" i="6"/>
  <c r="H323" i="6"/>
  <c r="G323" i="6"/>
  <c r="F323" i="6"/>
  <c r="E323" i="6"/>
  <c r="D323" i="6"/>
  <c r="C323" i="6"/>
  <c r="B323" i="6"/>
  <c r="H322" i="6"/>
  <c r="G322" i="6"/>
  <c r="F322" i="6"/>
  <c r="E322" i="6"/>
  <c r="D322" i="6"/>
  <c r="C322" i="6"/>
  <c r="B322" i="6"/>
  <c r="H321" i="6"/>
  <c r="G321" i="6"/>
  <c r="F321" i="6"/>
  <c r="E321" i="6"/>
  <c r="D321" i="6"/>
  <c r="C321" i="6"/>
  <c r="B321" i="6"/>
  <c r="H320" i="6"/>
  <c r="G320" i="6"/>
  <c r="F320" i="6"/>
  <c r="E320" i="6"/>
  <c r="D320" i="6"/>
  <c r="C320" i="6"/>
  <c r="B320" i="6"/>
  <c r="H319" i="6"/>
  <c r="G319" i="6"/>
  <c r="F319" i="6"/>
  <c r="E319" i="6"/>
  <c r="D319" i="6"/>
  <c r="C319" i="6"/>
  <c r="B319" i="6"/>
  <c r="H318" i="6"/>
  <c r="G318" i="6"/>
  <c r="F318" i="6"/>
  <c r="E318" i="6"/>
  <c r="D318" i="6"/>
  <c r="C318" i="6"/>
  <c r="B318" i="6"/>
  <c r="H317" i="6"/>
  <c r="G317" i="6"/>
  <c r="F317" i="6"/>
  <c r="E317" i="6"/>
  <c r="J317" i="6" s="1"/>
  <c r="D317" i="6"/>
  <c r="C317" i="6"/>
  <c r="B317" i="6"/>
  <c r="I316" i="6"/>
  <c r="K316" i="6" s="1"/>
  <c r="B320" i="7" s="1"/>
  <c r="H316" i="6"/>
  <c r="G316" i="6"/>
  <c r="F316" i="6"/>
  <c r="J316" i="6" s="1"/>
  <c r="E316" i="6"/>
  <c r="D316" i="6"/>
  <c r="C316" i="6"/>
  <c r="B316" i="6"/>
  <c r="H315" i="6"/>
  <c r="G315" i="6"/>
  <c r="F315" i="6"/>
  <c r="E315" i="6"/>
  <c r="D315" i="6"/>
  <c r="C315" i="6"/>
  <c r="B315" i="6"/>
  <c r="I314" i="6"/>
  <c r="H314" i="6"/>
  <c r="G314" i="6"/>
  <c r="F314" i="6"/>
  <c r="E314" i="6"/>
  <c r="D314" i="6"/>
  <c r="C314" i="6"/>
  <c r="B314" i="6"/>
  <c r="H313" i="6"/>
  <c r="G313" i="6"/>
  <c r="F313" i="6"/>
  <c r="E313" i="6"/>
  <c r="D313" i="6"/>
  <c r="C313" i="6"/>
  <c r="B313" i="6"/>
  <c r="H312" i="6"/>
  <c r="G312" i="6"/>
  <c r="F312" i="6"/>
  <c r="E312" i="6"/>
  <c r="D312" i="6"/>
  <c r="C312" i="6"/>
  <c r="B312" i="6"/>
  <c r="H311" i="6"/>
  <c r="G311" i="6"/>
  <c r="F311" i="6"/>
  <c r="E311" i="6"/>
  <c r="D311" i="6"/>
  <c r="C311" i="6"/>
  <c r="B311" i="6"/>
  <c r="H310" i="6"/>
  <c r="G310" i="6"/>
  <c r="F310" i="6"/>
  <c r="E310" i="6"/>
  <c r="D310" i="6"/>
  <c r="C310" i="6"/>
  <c r="B310" i="6"/>
  <c r="H309" i="6"/>
  <c r="G309" i="6"/>
  <c r="F309" i="6"/>
  <c r="E309" i="6"/>
  <c r="D309" i="6"/>
  <c r="C309" i="6"/>
  <c r="B309" i="6"/>
  <c r="H308" i="6"/>
  <c r="G308" i="6"/>
  <c r="F308" i="6"/>
  <c r="E308" i="6"/>
  <c r="D308" i="6"/>
  <c r="C308" i="6"/>
  <c r="B308" i="6"/>
  <c r="H307" i="6"/>
  <c r="G307" i="6"/>
  <c r="F307" i="6"/>
  <c r="E307" i="6"/>
  <c r="D307" i="6"/>
  <c r="C307" i="6"/>
  <c r="B307" i="6"/>
  <c r="H306" i="6"/>
  <c r="G306" i="6"/>
  <c r="F306" i="6"/>
  <c r="E306" i="6"/>
  <c r="D306" i="6"/>
  <c r="C306" i="6"/>
  <c r="B306" i="6"/>
  <c r="H305" i="6"/>
  <c r="G305" i="6"/>
  <c r="F305" i="6"/>
  <c r="E305" i="6"/>
  <c r="D305" i="6"/>
  <c r="C305" i="6"/>
  <c r="B305" i="6"/>
  <c r="H304" i="6"/>
  <c r="G304" i="6"/>
  <c r="F304" i="6"/>
  <c r="E304" i="6"/>
  <c r="D304" i="6"/>
  <c r="C304" i="6"/>
  <c r="B304" i="6"/>
  <c r="H303" i="6"/>
  <c r="G303" i="6"/>
  <c r="F303" i="6"/>
  <c r="E303" i="6"/>
  <c r="J303" i="6" s="1"/>
  <c r="D303" i="6"/>
  <c r="C303" i="6"/>
  <c r="B303" i="6"/>
  <c r="H302" i="6"/>
  <c r="G302" i="6"/>
  <c r="F302" i="6"/>
  <c r="E302" i="6"/>
  <c r="J302" i="6" s="1"/>
  <c r="D302" i="6"/>
  <c r="I302" i="6" s="1"/>
  <c r="C302" i="6"/>
  <c r="B302" i="6"/>
  <c r="H301" i="6"/>
  <c r="G301" i="6"/>
  <c r="F301" i="6"/>
  <c r="E301" i="6"/>
  <c r="D301" i="6"/>
  <c r="C301" i="6"/>
  <c r="B301" i="6"/>
  <c r="H300" i="6"/>
  <c r="G300" i="6"/>
  <c r="F300" i="6"/>
  <c r="E300" i="6"/>
  <c r="D300" i="6"/>
  <c r="C300" i="6"/>
  <c r="B300" i="6"/>
  <c r="H299" i="6"/>
  <c r="G299" i="6"/>
  <c r="F299" i="6"/>
  <c r="E299" i="6"/>
  <c r="D299" i="6"/>
  <c r="C299" i="6"/>
  <c r="B299" i="6"/>
  <c r="H298" i="6"/>
  <c r="G298" i="6"/>
  <c r="F298" i="6"/>
  <c r="E298" i="6"/>
  <c r="J298" i="6" s="1"/>
  <c r="D298" i="6"/>
  <c r="C298" i="6"/>
  <c r="B298" i="6"/>
  <c r="H297" i="6"/>
  <c r="G297" i="6"/>
  <c r="F297" i="6"/>
  <c r="E297" i="6"/>
  <c r="D297" i="6"/>
  <c r="C297" i="6"/>
  <c r="B297" i="6"/>
  <c r="H296" i="6"/>
  <c r="G296" i="6"/>
  <c r="F296" i="6"/>
  <c r="E296" i="6"/>
  <c r="D296" i="6"/>
  <c r="C296" i="6"/>
  <c r="B296" i="6"/>
  <c r="H295" i="6"/>
  <c r="G295" i="6"/>
  <c r="F295" i="6"/>
  <c r="E295" i="6"/>
  <c r="D295" i="6"/>
  <c r="C295" i="6"/>
  <c r="B295" i="6"/>
  <c r="H294" i="6"/>
  <c r="G294" i="6"/>
  <c r="F294" i="6"/>
  <c r="E294" i="6"/>
  <c r="J294" i="6" s="1"/>
  <c r="D294" i="6"/>
  <c r="C294" i="6"/>
  <c r="B294" i="6"/>
  <c r="H293" i="6"/>
  <c r="G293" i="6"/>
  <c r="F293" i="6"/>
  <c r="E293" i="6"/>
  <c r="D293" i="6"/>
  <c r="C293" i="6"/>
  <c r="B293" i="6"/>
  <c r="H292" i="6"/>
  <c r="G292" i="6"/>
  <c r="F292" i="6"/>
  <c r="E292" i="6"/>
  <c r="D292" i="6"/>
  <c r="C292" i="6"/>
  <c r="B292" i="6"/>
  <c r="H291" i="6"/>
  <c r="G291" i="6"/>
  <c r="F291" i="6"/>
  <c r="E291" i="6"/>
  <c r="D291" i="6"/>
  <c r="C291" i="6"/>
  <c r="B291" i="6"/>
  <c r="H290" i="6"/>
  <c r="G290" i="6"/>
  <c r="F290" i="6"/>
  <c r="E290" i="6"/>
  <c r="D290" i="6"/>
  <c r="C290" i="6"/>
  <c r="B290" i="6"/>
  <c r="H289" i="6"/>
  <c r="G289" i="6"/>
  <c r="F289" i="6"/>
  <c r="E289" i="6"/>
  <c r="D289" i="6"/>
  <c r="C289" i="6"/>
  <c r="B289" i="6"/>
  <c r="H288" i="6"/>
  <c r="G288" i="6"/>
  <c r="L288" i="6" s="1"/>
  <c r="F288" i="6"/>
  <c r="E288" i="6"/>
  <c r="D288" i="6"/>
  <c r="C288" i="6"/>
  <c r="B288" i="6"/>
  <c r="H287" i="6"/>
  <c r="G287" i="6"/>
  <c r="F287" i="6"/>
  <c r="J287" i="6" s="1"/>
  <c r="E287" i="6"/>
  <c r="D287" i="6"/>
  <c r="C287" i="6"/>
  <c r="B287" i="6"/>
  <c r="H286" i="6"/>
  <c r="G286" i="6"/>
  <c r="F286" i="6"/>
  <c r="I286" i="6" s="1"/>
  <c r="E286" i="6"/>
  <c r="D286" i="6"/>
  <c r="C286" i="6"/>
  <c r="B286" i="6"/>
  <c r="H285" i="6"/>
  <c r="G285" i="6"/>
  <c r="M285" i="6" s="1"/>
  <c r="F285" i="6"/>
  <c r="E285" i="6"/>
  <c r="J285" i="6" s="1"/>
  <c r="D285" i="6"/>
  <c r="C285" i="6"/>
  <c r="B285" i="6"/>
  <c r="H284" i="6"/>
  <c r="G284" i="6"/>
  <c r="F284" i="6"/>
  <c r="J284" i="6" s="1"/>
  <c r="E284" i="6"/>
  <c r="D284" i="6"/>
  <c r="C284" i="6"/>
  <c r="B284" i="6"/>
  <c r="H283" i="6"/>
  <c r="G283" i="6"/>
  <c r="F283" i="6"/>
  <c r="E283" i="6"/>
  <c r="D283" i="6"/>
  <c r="C283" i="6"/>
  <c r="B283" i="6"/>
  <c r="I282" i="6"/>
  <c r="H282" i="6"/>
  <c r="G282" i="6"/>
  <c r="F282" i="6"/>
  <c r="E282" i="6"/>
  <c r="D282" i="6"/>
  <c r="C282" i="6"/>
  <c r="B282" i="6"/>
  <c r="H281" i="6"/>
  <c r="G281" i="6"/>
  <c r="F281" i="6"/>
  <c r="E281" i="6"/>
  <c r="D281" i="6"/>
  <c r="C281" i="6"/>
  <c r="B281" i="6"/>
  <c r="H280" i="6"/>
  <c r="G280" i="6"/>
  <c r="L280" i="6" s="1"/>
  <c r="F280" i="6"/>
  <c r="E280" i="6"/>
  <c r="D280" i="6"/>
  <c r="C280" i="6"/>
  <c r="B280" i="6"/>
  <c r="H279" i="6"/>
  <c r="G279" i="6"/>
  <c r="F279" i="6"/>
  <c r="E279" i="6"/>
  <c r="D279" i="6"/>
  <c r="C279" i="6"/>
  <c r="B279" i="6"/>
  <c r="H278" i="6"/>
  <c r="G278" i="6"/>
  <c r="F278" i="6"/>
  <c r="E278" i="6"/>
  <c r="D278" i="6"/>
  <c r="C278" i="6"/>
  <c r="B278" i="6"/>
  <c r="H277" i="6"/>
  <c r="G277" i="6"/>
  <c r="F277" i="6"/>
  <c r="E277" i="6"/>
  <c r="D277" i="6"/>
  <c r="C277" i="6"/>
  <c r="B277" i="6"/>
  <c r="L277" i="6" s="1"/>
  <c r="H276" i="6"/>
  <c r="G276" i="6"/>
  <c r="F276" i="6"/>
  <c r="E276" i="6"/>
  <c r="J276" i="6" s="1"/>
  <c r="D276" i="6"/>
  <c r="C276" i="6"/>
  <c r="B276" i="6"/>
  <c r="H275" i="6"/>
  <c r="G275" i="6"/>
  <c r="F275" i="6"/>
  <c r="E275" i="6"/>
  <c r="D275" i="6"/>
  <c r="C275" i="6"/>
  <c r="B275" i="6"/>
  <c r="H274" i="6"/>
  <c r="G274" i="6"/>
  <c r="F274" i="6"/>
  <c r="E274" i="6"/>
  <c r="D274" i="6"/>
  <c r="C274" i="6"/>
  <c r="M274" i="6" s="1"/>
  <c r="B274" i="6"/>
  <c r="H273" i="6"/>
  <c r="G273" i="6"/>
  <c r="F273" i="6"/>
  <c r="E273" i="6"/>
  <c r="D273" i="6"/>
  <c r="C273" i="6"/>
  <c r="B273" i="6"/>
  <c r="L273" i="6" s="1"/>
  <c r="H272" i="6"/>
  <c r="G272" i="6"/>
  <c r="F272" i="6"/>
  <c r="E272" i="6"/>
  <c r="D272" i="6"/>
  <c r="C272" i="6"/>
  <c r="B272" i="6"/>
  <c r="H271" i="6"/>
  <c r="G271" i="6"/>
  <c r="F271" i="6"/>
  <c r="E271" i="6"/>
  <c r="D271" i="6"/>
  <c r="C271" i="6"/>
  <c r="B271" i="6"/>
  <c r="H270" i="6"/>
  <c r="G270" i="6"/>
  <c r="F270" i="6"/>
  <c r="E270" i="6"/>
  <c r="D270" i="6"/>
  <c r="C270" i="6"/>
  <c r="B270" i="6"/>
  <c r="H269" i="6"/>
  <c r="G269" i="6"/>
  <c r="F269" i="6"/>
  <c r="E269" i="6"/>
  <c r="D269" i="6"/>
  <c r="C269" i="6"/>
  <c r="B269" i="6"/>
  <c r="H268" i="6"/>
  <c r="G268" i="6"/>
  <c r="F268" i="6"/>
  <c r="E268" i="6"/>
  <c r="D268" i="6"/>
  <c r="C268" i="6"/>
  <c r="B268" i="6"/>
  <c r="H267" i="6"/>
  <c r="G267" i="6"/>
  <c r="F267" i="6"/>
  <c r="E267" i="6"/>
  <c r="D267" i="6"/>
  <c r="C267" i="6"/>
  <c r="B267" i="6"/>
  <c r="H266" i="6"/>
  <c r="G266" i="6"/>
  <c r="F266" i="6"/>
  <c r="E266" i="6"/>
  <c r="D266" i="6"/>
  <c r="C266" i="6"/>
  <c r="B266" i="6"/>
  <c r="H265" i="6"/>
  <c r="G265" i="6"/>
  <c r="F265" i="6"/>
  <c r="E265" i="6"/>
  <c r="D265" i="6"/>
  <c r="C265" i="6"/>
  <c r="B265" i="6"/>
  <c r="I265" i="6" s="1"/>
  <c r="H264" i="6"/>
  <c r="G264" i="6"/>
  <c r="F264" i="6"/>
  <c r="E264" i="6"/>
  <c r="D264" i="6"/>
  <c r="C264" i="6"/>
  <c r="B264" i="6"/>
  <c r="H263" i="6"/>
  <c r="G263" i="6"/>
  <c r="F263" i="6"/>
  <c r="E263" i="6"/>
  <c r="D263" i="6"/>
  <c r="C263" i="6"/>
  <c r="B263" i="6"/>
  <c r="H262" i="6"/>
  <c r="M262" i="6" s="1"/>
  <c r="G262" i="6"/>
  <c r="F262" i="6"/>
  <c r="E262" i="6"/>
  <c r="D262" i="6"/>
  <c r="C262" i="6"/>
  <c r="B262" i="6"/>
  <c r="J261" i="6"/>
  <c r="H261" i="6"/>
  <c r="G261" i="6"/>
  <c r="F261" i="6"/>
  <c r="E261" i="6"/>
  <c r="D261" i="6"/>
  <c r="C261" i="6"/>
  <c r="B261" i="6"/>
  <c r="H260" i="6"/>
  <c r="G260" i="6"/>
  <c r="F260" i="6"/>
  <c r="E260" i="6"/>
  <c r="D260" i="6"/>
  <c r="C260" i="6"/>
  <c r="B260" i="6"/>
  <c r="H259" i="6"/>
  <c r="G259" i="6"/>
  <c r="F259" i="6"/>
  <c r="E259" i="6"/>
  <c r="D259" i="6"/>
  <c r="C259" i="6"/>
  <c r="B259" i="6"/>
  <c r="H258" i="6"/>
  <c r="G258" i="6"/>
  <c r="M258" i="6" s="1"/>
  <c r="F258" i="6"/>
  <c r="E258" i="6"/>
  <c r="D258" i="6"/>
  <c r="C258" i="6"/>
  <c r="B258" i="6"/>
  <c r="H257" i="6"/>
  <c r="G257" i="6"/>
  <c r="F257" i="6"/>
  <c r="E257" i="6"/>
  <c r="J257" i="6" s="1"/>
  <c r="D257" i="6"/>
  <c r="I257" i="6" s="1"/>
  <c r="K257" i="6" s="1"/>
  <c r="B261" i="7" s="1"/>
  <c r="C257" i="6"/>
  <c r="M257" i="6" s="1"/>
  <c r="B257" i="6"/>
  <c r="L257" i="6" s="1"/>
  <c r="H256" i="6"/>
  <c r="G256" i="6"/>
  <c r="F256" i="6"/>
  <c r="E256" i="6"/>
  <c r="D256" i="6"/>
  <c r="C256" i="6"/>
  <c r="B256" i="6"/>
  <c r="H255" i="6"/>
  <c r="G255" i="6"/>
  <c r="F255" i="6"/>
  <c r="E255" i="6"/>
  <c r="D255" i="6"/>
  <c r="C255" i="6"/>
  <c r="B255" i="6"/>
  <c r="H254" i="6"/>
  <c r="G254" i="6"/>
  <c r="F254" i="6"/>
  <c r="E254" i="6"/>
  <c r="D254" i="6"/>
  <c r="C254" i="6"/>
  <c r="B254" i="6"/>
  <c r="H253" i="6"/>
  <c r="G253" i="6"/>
  <c r="F253" i="6"/>
  <c r="E253" i="6"/>
  <c r="D253" i="6"/>
  <c r="C253" i="6"/>
  <c r="B253" i="6"/>
  <c r="H252" i="6"/>
  <c r="G252" i="6"/>
  <c r="F252" i="6"/>
  <c r="E252" i="6"/>
  <c r="D252" i="6"/>
  <c r="C252" i="6"/>
  <c r="B252" i="6"/>
  <c r="H251" i="6"/>
  <c r="G251" i="6"/>
  <c r="F251" i="6"/>
  <c r="E251" i="6"/>
  <c r="D251" i="6"/>
  <c r="C251" i="6"/>
  <c r="B251" i="6"/>
  <c r="H250" i="6"/>
  <c r="G250" i="6"/>
  <c r="M250" i="6" s="1"/>
  <c r="F250" i="6"/>
  <c r="E250" i="6"/>
  <c r="D250" i="6"/>
  <c r="C250" i="6"/>
  <c r="B250" i="6"/>
  <c r="H249" i="6"/>
  <c r="G249" i="6"/>
  <c r="F249" i="6"/>
  <c r="E249" i="6"/>
  <c r="D249" i="6"/>
  <c r="C249" i="6"/>
  <c r="B249" i="6"/>
  <c r="H248" i="6"/>
  <c r="G248" i="6"/>
  <c r="F248" i="6"/>
  <c r="E248" i="6"/>
  <c r="D248" i="6"/>
  <c r="C248" i="6"/>
  <c r="J248" i="6" s="1"/>
  <c r="B248" i="6"/>
  <c r="H247" i="6"/>
  <c r="G247" i="6"/>
  <c r="F247" i="6"/>
  <c r="E247" i="6"/>
  <c r="D247" i="6"/>
  <c r="C247" i="6"/>
  <c r="B247" i="6"/>
  <c r="H246" i="6"/>
  <c r="G246" i="6"/>
  <c r="F246" i="6"/>
  <c r="E246" i="6"/>
  <c r="D246" i="6"/>
  <c r="C246" i="6"/>
  <c r="M246" i="6" s="1"/>
  <c r="B246" i="6"/>
  <c r="L246" i="6" s="1"/>
  <c r="H245" i="6"/>
  <c r="G245" i="6"/>
  <c r="F245" i="6"/>
  <c r="E245" i="6"/>
  <c r="D245" i="6"/>
  <c r="C245" i="6"/>
  <c r="J245" i="6" s="1"/>
  <c r="B245" i="6"/>
  <c r="H244" i="6"/>
  <c r="G244" i="6"/>
  <c r="F244" i="6"/>
  <c r="E244" i="6"/>
  <c r="D244" i="6"/>
  <c r="C244" i="6"/>
  <c r="B244" i="6"/>
  <c r="I244" i="6" s="1"/>
  <c r="H243" i="6"/>
  <c r="G243" i="6"/>
  <c r="F243" i="6"/>
  <c r="E243" i="6"/>
  <c r="D243" i="6"/>
  <c r="C243" i="6"/>
  <c r="B243" i="6"/>
  <c r="H242" i="6"/>
  <c r="M242" i="6" s="1"/>
  <c r="G242" i="6"/>
  <c r="F242" i="6"/>
  <c r="E242" i="6"/>
  <c r="D242" i="6"/>
  <c r="C242" i="6"/>
  <c r="B242" i="6"/>
  <c r="H241" i="6"/>
  <c r="G241" i="6"/>
  <c r="F241" i="6"/>
  <c r="E241" i="6"/>
  <c r="D241" i="6"/>
  <c r="C241" i="6"/>
  <c r="B241" i="6"/>
  <c r="H240" i="6"/>
  <c r="G240" i="6"/>
  <c r="F240" i="6"/>
  <c r="E240" i="6"/>
  <c r="D240" i="6"/>
  <c r="C240" i="6"/>
  <c r="B240" i="6"/>
  <c r="H239" i="6"/>
  <c r="G239" i="6"/>
  <c r="F239" i="6"/>
  <c r="E239" i="6"/>
  <c r="D239" i="6"/>
  <c r="C239" i="6"/>
  <c r="B239" i="6"/>
  <c r="H238" i="6"/>
  <c r="G238" i="6"/>
  <c r="F238" i="6"/>
  <c r="E238" i="6"/>
  <c r="D238" i="6"/>
  <c r="C238" i="6"/>
  <c r="B238" i="6"/>
  <c r="H237" i="6"/>
  <c r="G237" i="6"/>
  <c r="F237" i="6"/>
  <c r="E237" i="6"/>
  <c r="D237" i="6"/>
  <c r="C237" i="6"/>
  <c r="B237" i="6"/>
  <c r="H236" i="6"/>
  <c r="G236" i="6"/>
  <c r="F236" i="6"/>
  <c r="E236" i="6"/>
  <c r="D236" i="6"/>
  <c r="C236" i="6"/>
  <c r="B236" i="6"/>
  <c r="H235" i="6"/>
  <c r="G235" i="6"/>
  <c r="F235" i="6"/>
  <c r="E235" i="6"/>
  <c r="D235" i="6"/>
  <c r="C235" i="6"/>
  <c r="B235" i="6"/>
  <c r="H234" i="6"/>
  <c r="G234" i="6"/>
  <c r="F234" i="6"/>
  <c r="E234" i="6"/>
  <c r="D234" i="6"/>
  <c r="C234" i="6"/>
  <c r="B234" i="6"/>
  <c r="H233" i="6"/>
  <c r="G233" i="6"/>
  <c r="F233" i="6"/>
  <c r="E233" i="6"/>
  <c r="D233" i="6"/>
  <c r="C233" i="6"/>
  <c r="B233" i="6"/>
  <c r="H232" i="6"/>
  <c r="G232" i="6"/>
  <c r="F232" i="6"/>
  <c r="E232" i="6"/>
  <c r="D232" i="6"/>
  <c r="C232" i="6"/>
  <c r="B232" i="6"/>
  <c r="H231" i="6"/>
  <c r="G231" i="6"/>
  <c r="F231" i="6"/>
  <c r="E231" i="6"/>
  <c r="D231" i="6"/>
  <c r="C231" i="6"/>
  <c r="B231" i="6"/>
  <c r="H230" i="6"/>
  <c r="G230" i="6"/>
  <c r="F230" i="6"/>
  <c r="E230" i="6"/>
  <c r="D230" i="6"/>
  <c r="C230" i="6"/>
  <c r="B230" i="6"/>
  <c r="L230" i="6" s="1"/>
  <c r="H229" i="6"/>
  <c r="G229" i="6"/>
  <c r="F229" i="6"/>
  <c r="E229" i="6"/>
  <c r="D229" i="6"/>
  <c r="C229" i="6"/>
  <c r="B229" i="6"/>
  <c r="H228" i="6"/>
  <c r="G228" i="6"/>
  <c r="F228" i="6"/>
  <c r="E228" i="6"/>
  <c r="D228" i="6"/>
  <c r="C228" i="6"/>
  <c r="B228" i="6"/>
  <c r="I228" i="6" s="1"/>
  <c r="H227" i="6"/>
  <c r="G227" i="6"/>
  <c r="F227" i="6"/>
  <c r="E227" i="6"/>
  <c r="D227" i="6"/>
  <c r="C227" i="6"/>
  <c r="B227" i="6"/>
  <c r="M226" i="6"/>
  <c r="H226" i="6"/>
  <c r="G226" i="6"/>
  <c r="F226" i="6"/>
  <c r="E226" i="6"/>
  <c r="D226" i="6"/>
  <c r="C226" i="6"/>
  <c r="J226" i="6" s="1"/>
  <c r="B226" i="6"/>
  <c r="H225" i="6"/>
  <c r="G225" i="6"/>
  <c r="F225" i="6"/>
  <c r="E225" i="6"/>
  <c r="D225" i="6"/>
  <c r="C225" i="6"/>
  <c r="B225" i="6"/>
  <c r="H224" i="6"/>
  <c r="G224" i="6"/>
  <c r="F224" i="6"/>
  <c r="E224" i="6"/>
  <c r="D224" i="6"/>
  <c r="C224" i="6"/>
  <c r="B224" i="6"/>
  <c r="H223" i="6"/>
  <c r="G223" i="6"/>
  <c r="F223" i="6"/>
  <c r="E223" i="6"/>
  <c r="D223" i="6"/>
  <c r="C223" i="6"/>
  <c r="B223" i="6"/>
  <c r="H222" i="6"/>
  <c r="G222" i="6"/>
  <c r="F222" i="6"/>
  <c r="E222" i="6"/>
  <c r="D222" i="6"/>
  <c r="C222" i="6"/>
  <c r="B222" i="6"/>
  <c r="H221" i="6"/>
  <c r="G221" i="6"/>
  <c r="F221" i="6"/>
  <c r="E221" i="6"/>
  <c r="J221" i="6" s="1"/>
  <c r="D221" i="6"/>
  <c r="C221" i="6"/>
  <c r="B221" i="6"/>
  <c r="H220" i="6"/>
  <c r="G220" i="6"/>
  <c r="F220" i="6"/>
  <c r="E220" i="6"/>
  <c r="D220" i="6"/>
  <c r="C220" i="6"/>
  <c r="B220" i="6"/>
  <c r="H219" i="6"/>
  <c r="G219" i="6"/>
  <c r="F219" i="6"/>
  <c r="E219" i="6"/>
  <c r="D219" i="6"/>
  <c r="C219" i="6"/>
  <c r="B219" i="6"/>
  <c r="H218" i="6"/>
  <c r="G218" i="6"/>
  <c r="F218" i="6"/>
  <c r="E218" i="6"/>
  <c r="D218" i="6"/>
  <c r="C218" i="6"/>
  <c r="B218" i="6"/>
  <c r="H217" i="6"/>
  <c r="G217" i="6"/>
  <c r="F217" i="6"/>
  <c r="E217" i="6"/>
  <c r="D217" i="6"/>
  <c r="C217" i="6"/>
  <c r="B217" i="6"/>
  <c r="I217" i="6" s="1"/>
  <c r="H216" i="6"/>
  <c r="G216" i="6"/>
  <c r="F216" i="6"/>
  <c r="E216" i="6"/>
  <c r="D216" i="6"/>
  <c r="C216" i="6"/>
  <c r="J216" i="6" s="1"/>
  <c r="B216" i="6"/>
  <c r="H215" i="6"/>
  <c r="G215" i="6"/>
  <c r="F215" i="6"/>
  <c r="E215" i="6"/>
  <c r="D215" i="6"/>
  <c r="C215" i="6"/>
  <c r="B215" i="6"/>
  <c r="H214" i="6"/>
  <c r="G214" i="6"/>
  <c r="M214" i="6" s="1"/>
  <c r="F214" i="6"/>
  <c r="E214" i="6"/>
  <c r="D214" i="6"/>
  <c r="C214" i="6"/>
  <c r="B214" i="6"/>
  <c r="H213" i="6"/>
  <c r="G213" i="6"/>
  <c r="F213" i="6"/>
  <c r="E213" i="6"/>
  <c r="J213" i="6" s="1"/>
  <c r="D213" i="6"/>
  <c r="C213" i="6"/>
  <c r="B213" i="6"/>
  <c r="H212" i="6"/>
  <c r="G212" i="6"/>
  <c r="F212" i="6"/>
  <c r="E212" i="6"/>
  <c r="D212" i="6"/>
  <c r="C212" i="6"/>
  <c r="B212" i="6"/>
  <c r="H211" i="6"/>
  <c r="G211" i="6"/>
  <c r="F211" i="6"/>
  <c r="E211" i="6"/>
  <c r="D211" i="6"/>
  <c r="C211" i="6"/>
  <c r="B211" i="6"/>
  <c r="H210" i="6"/>
  <c r="G210" i="6"/>
  <c r="F210" i="6"/>
  <c r="E210" i="6"/>
  <c r="D210" i="6"/>
  <c r="C210" i="6"/>
  <c r="J210" i="6" s="1"/>
  <c r="B210" i="6"/>
  <c r="H209" i="6"/>
  <c r="G209" i="6"/>
  <c r="F209" i="6"/>
  <c r="E209" i="6"/>
  <c r="D209" i="6"/>
  <c r="C209" i="6"/>
  <c r="M209" i="6" s="1"/>
  <c r="B209" i="6"/>
  <c r="L209" i="6" s="1"/>
  <c r="H208" i="6"/>
  <c r="G208" i="6"/>
  <c r="F208" i="6"/>
  <c r="E208" i="6"/>
  <c r="D208" i="6"/>
  <c r="C208" i="6"/>
  <c r="B208" i="6"/>
  <c r="H207" i="6"/>
  <c r="G207" i="6"/>
  <c r="F207" i="6"/>
  <c r="E207" i="6"/>
  <c r="D207" i="6"/>
  <c r="C207" i="6"/>
  <c r="B207" i="6"/>
  <c r="H206" i="6"/>
  <c r="G206" i="6"/>
  <c r="F206" i="6"/>
  <c r="E206" i="6"/>
  <c r="D206" i="6"/>
  <c r="C206" i="6"/>
  <c r="B206" i="6"/>
  <c r="H205" i="6"/>
  <c r="G205" i="6"/>
  <c r="F205" i="6"/>
  <c r="E205" i="6"/>
  <c r="D205" i="6"/>
  <c r="C205" i="6"/>
  <c r="B205" i="6"/>
  <c r="H204" i="6"/>
  <c r="G204" i="6"/>
  <c r="F204" i="6"/>
  <c r="E204" i="6"/>
  <c r="J204" i="6" s="1"/>
  <c r="D204" i="6"/>
  <c r="C204" i="6"/>
  <c r="B204" i="6"/>
  <c r="H203" i="6"/>
  <c r="G203" i="6"/>
  <c r="F203" i="6"/>
  <c r="E203" i="6"/>
  <c r="D203" i="6"/>
  <c r="I203" i="6" s="1"/>
  <c r="C203" i="6"/>
  <c r="B203" i="6"/>
  <c r="H202" i="6"/>
  <c r="G202" i="6"/>
  <c r="F202" i="6"/>
  <c r="E202" i="6"/>
  <c r="D202" i="6"/>
  <c r="C202" i="6"/>
  <c r="B202" i="6"/>
  <c r="H201" i="6"/>
  <c r="G201" i="6"/>
  <c r="F201" i="6"/>
  <c r="E201" i="6"/>
  <c r="D201" i="6"/>
  <c r="C201" i="6"/>
  <c r="B201" i="6"/>
  <c r="H200" i="6"/>
  <c r="G200" i="6"/>
  <c r="M200" i="6" s="1"/>
  <c r="F200" i="6"/>
  <c r="E200" i="6"/>
  <c r="D200" i="6"/>
  <c r="C200" i="6"/>
  <c r="B200" i="6"/>
  <c r="H199" i="6"/>
  <c r="G199" i="6"/>
  <c r="F199" i="6"/>
  <c r="E199" i="6"/>
  <c r="D199" i="6"/>
  <c r="C199" i="6"/>
  <c r="M199" i="6" s="1"/>
  <c r="B199" i="6"/>
  <c r="L199" i="6" s="1"/>
  <c r="N199" i="6" s="1"/>
  <c r="H198" i="6"/>
  <c r="G198" i="6"/>
  <c r="F198" i="6"/>
  <c r="E198" i="6"/>
  <c r="D198" i="6"/>
  <c r="C198" i="6"/>
  <c r="B198" i="6"/>
  <c r="H197" i="6"/>
  <c r="G197" i="6"/>
  <c r="L197" i="6" s="1"/>
  <c r="F197" i="6"/>
  <c r="E197" i="6"/>
  <c r="D197" i="6"/>
  <c r="C197" i="6"/>
  <c r="B197" i="6"/>
  <c r="H196" i="6"/>
  <c r="G196" i="6"/>
  <c r="F196" i="6"/>
  <c r="E196" i="6"/>
  <c r="D196" i="6"/>
  <c r="I196" i="6" s="1"/>
  <c r="C196" i="6"/>
  <c r="B196" i="6"/>
  <c r="H195" i="6"/>
  <c r="G195" i="6"/>
  <c r="F195" i="6"/>
  <c r="E195" i="6"/>
  <c r="D195" i="6"/>
  <c r="C195" i="6"/>
  <c r="B195" i="6"/>
  <c r="H194" i="6"/>
  <c r="G194" i="6"/>
  <c r="F194" i="6"/>
  <c r="E194" i="6"/>
  <c r="D194" i="6"/>
  <c r="C194" i="6"/>
  <c r="B194" i="6"/>
  <c r="H193" i="6"/>
  <c r="G193" i="6"/>
  <c r="F193" i="6"/>
  <c r="E193" i="6"/>
  <c r="D193" i="6"/>
  <c r="C193" i="6"/>
  <c r="B193" i="6"/>
  <c r="H192" i="6"/>
  <c r="G192" i="6"/>
  <c r="F192" i="6"/>
  <c r="E192" i="6"/>
  <c r="D192" i="6"/>
  <c r="C192" i="6"/>
  <c r="B192" i="6"/>
  <c r="H191" i="6"/>
  <c r="G191" i="6"/>
  <c r="F191" i="6"/>
  <c r="E191" i="6"/>
  <c r="D191" i="6"/>
  <c r="C191" i="6"/>
  <c r="B191" i="6"/>
  <c r="H190" i="6"/>
  <c r="G190" i="6"/>
  <c r="M190" i="6" s="1"/>
  <c r="F190" i="6"/>
  <c r="E190" i="6"/>
  <c r="D190" i="6"/>
  <c r="C190" i="6"/>
  <c r="B190" i="6"/>
  <c r="H189" i="6"/>
  <c r="G189" i="6"/>
  <c r="L189" i="6" s="1"/>
  <c r="F189" i="6"/>
  <c r="E189" i="6"/>
  <c r="D189" i="6"/>
  <c r="C189" i="6"/>
  <c r="B189" i="6"/>
  <c r="H188" i="6"/>
  <c r="G188" i="6"/>
  <c r="F188" i="6"/>
  <c r="E188" i="6"/>
  <c r="D188" i="6"/>
  <c r="C188" i="6"/>
  <c r="B188" i="6"/>
  <c r="H187" i="6"/>
  <c r="G187" i="6"/>
  <c r="F187" i="6"/>
  <c r="E187" i="6"/>
  <c r="D187" i="6"/>
  <c r="I187" i="6" s="1"/>
  <c r="C187" i="6"/>
  <c r="B187" i="6"/>
  <c r="H186" i="6"/>
  <c r="G186" i="6"/>
  <c r="F186" i="6"/>
  <c r="E186" i="6"/>
  <c r="D186" i="6"/>
  <c r="C186" i="6"/>
  <c r="B186" i="6"/>
  <c r="H185" i="6"/>
  <c r="G185" i="6"/>
  <c r="F185" i="6"/>
  <c r="E185" i="6"/>
  <c r="D185" i="6"/>
  <c r="C185" i="6"/>
  <c r="B185" i="6"/>
  <c r="H184" i="6"/>
  <c r="G184" i="6"/>
  <c r="F184" i="6"/>
  <c r="E184" i="6"/>
  <c r="D184" i="6"/>
  <c r="C184" i="6"/>
  <c r="B184" i="6"/>
  <c r="H183" i="6"/>
  <c r="G183" i="6"/>
  <c r="F183" i="6"/>
  <c r="E183" i="6"/>
  <c r="D183" i="6"/>
  <c r="C183" i="6"/>
  <c r="B183" i="6"/>
  <c r="J182" i="6"/>
  <c r="I182" i="6"/>
  <c r="K182" i="6" s="1"/>
  <c r="B186" i="7" s="1"/>
  <c r="H182" i="6"/>
  <c r="G182" i="6"/>
  <c r="F182" i="6"/>
  <c r="E182" i="6"/>
  <c r="D182" i="6"/>
  <c r="C182" i="6"/>
  <c r="M182" i="6" s="1"/>
  <c r="B182" i="6"/>
  <c r="L182" i="6" s="1"/>
  <c r="L181" i="6"/>
  <c r="H181" i="6"/>
  <c r="G181" i="6"/>
  <c r="F181" i="6"/>
  <c r="E181" i="6"/>
  <c r="D181" i="6"/>
  <c r="C181" i="6"/>
  <c r="B181" i="6"/>
  <c r="I181" i="6" s="1"/>
  <c r="H180" i="6"/>
  <c r="G180" i="6"/>
  <c r="F180" i="6"/>
  <c r="E180" i="6"/>
  <c r="D180" i="6"/>
  <c r="C180" i="6"/>
  <c r="B180" i="6"/>
  <c r="H179" i="6"/>
  <c r="G179" i="6"/>
  <c r="F179" i="6"/>
  <c r="E179" i="6"/>
  <c r="D179" i="6"/>
  <c r="C179" i="6"/>
  <c r="B179" i="6"/>
  <c r="H178" i="6"/>
  <c r="G178" i="6"/>
  <c r="F178" i="6"/>
  <c r="I178" i="6" s="1"/>
  <c r="E178" i="6"/>
  <c r="D178" i="6"/>
  <c r="C178" i="6"/>
  <c r="B178" i="6"/>
  <c r="H177" i="6"/>
  <c r="G177" i="6"/>
  <c r="F177" i="6"/>
  <c r="E177" i="6"/>
  <c r="D177" i="6"/>
  <c r="C177" i="6"/>
  <c r="B177" i="6"/>
  <c r="H176" i="6"/>
  <c r="G176" i="6"/>
  <c r="L176" i="6" s="1"/>
  <c r="F176" i="6"/>
  <c r="E176" i="6"/>
  <c r="J176" i="6" s="1"/>
  <c r="D176" i="6"/>
  <c r="C176" i="6"/>
  <c r="B176" i="6"/>
  <c r="H175" i="6"/>
  <c r="G175" i="6"/>
  <c r="F175" i="6"/>
  <c r="E175" i="6"/>
  <c r="J175" i="6" s="1"/>
  <c r="D175" i="6"/>
  <c r="C175" i="6"/>
  <c r="B175" i="6"/>
  <c r="H174" i="6"/>
  <c r="G174" i="6"/>
  <c r="F174" i="6"/>
  <c r="E174" i="6"/>
  <c r="D174" i="6"/>
  <c r="I174" i="6" s="1"/>
  <c r="C174" i="6"/>
  <c r="B174" i="6"/>
  <c r="H173" i="6"/>
  <c r="G173" i="6"/>
  <c r="F173" i="6"/>
  <c r="E173" i="6"/>
  <c r="D173" i="6"/>
  <c r="C173" i="6"/>
  <c r="B173" i="6"/>
  <c r="H172" i="6"/>
  <c r="G172" i="6"/>
  <c r="F172" i="6"/>
  <c r="E172" i="6"/>
  <c r="D172" i="6"/>
  <c r="C172" i="6"/>
  <c r="B172" i="6"/>
  <c r="H171" i="6"/>
  <c r="G171" i="6"/>
  <c r="F171" i="6"/>
  <c r="E171" i="6"/>
  <c r="D171" i="6"/>
  <c r="C171" i="6"/>
  <c r="B171" i="6"/>
  <c r="H170" i="6"/>
  <c r="G170" i="6"/>
  <c r="F170" i="6"/>
  <c r="E170" i="6"/>
  <c r="D170" i="6"/>
  <c r="C170" i="6"/>
  <c r="B170" i="6"/>
  <c r="H169" i="6"/>
  <c r="G169" i="6"/>
  <c r="L169" i="6" s="1"/>
  <c r="F169" i="6"/>
  <c r="E169" i="6"/>
  <c r="D169" i="6"/>
  <c r="C169" i="6"/>
  <c r="B169" i="6"/>
  <c r="H168" i="6"/>
  <c r="G168" i="6"/>
  <c r="M168" i="6" s="1"/>
  <c r="F168" i="6"/>
  <c r="E168" i="6"/>
  <c r="J168" i="6" s="1"/>
  <c r="D168" i="6"/>
  <c r="C168" i="6"/>
  <c r="B168" i="6"/>
  <c r="H167" i="6"/>
  <c r="G167" i="6"/>
  <c r="F167" i="6"/>
  <c r="E167" i="6"/>
  <c r="J167" i="6" s="1"/>
  <c r="D167" i="6"/>
  <c r="C167" i="6"/>
  <c r="B167" i="6"/>
  <c r="H166" i="6"/>
  <c r="G166" i="6"/>
  <c r="F166" i="6"/>
  <c r="E166" i="6"/>
  <c r="J166" i="6" s="1"/>
  <c r="D166" i="6"/>
  <c r="I166" i="6" s="1"/>
  <c r="K166" i="6" s="1"/>
  <c r="B170" i="7" s="1"/>
  <c r="C166" i="6"/>
  <c r="B166" i="6"/>
  <c r="H165" i="6"/>
  <c r="M165" i="6" s="1"/>
  <c r="G165" i="6"/>
  <c r="F165" i="6"/>
  <c r="E165" i="6"/>
  <c r="D165" i="6"/>
  <c r="C165" i="6"/>
  <c r="B165" i="6"/>
  <c r="I164" i="6"/>
  <c r="H164" i="6"/>
  <c r="G164" i="6"/>
  <c r="F164" i="6"/>
  <c r="E164" i="6"/>
  <c r="D164" i="6"/>
  <c r="C164" i="6"/>
  <c r="B164" i="6"/>
  <c r="I163" i="6"/>
  <c r="H163" i="6"/>
  <c r="G163" i="6"/>
  <c r="F163" i="6"/>
  <c r="E163" i="6"/>
  <c r="D163" i="6"/>
  <c r="C163" i="6"/>
  <c r="B163" i="6"/>
  <c r="H162" i="6"/>
  <c r="G162" i="6"/>
  <c r="F162" i="6"/>
  <c r="E162" i="6"/>
  <c r="D162" i="6"/>
  <c r="C162" i="6"/>
  <c r="B162" i="6"/>
  <c r="H161" i="6"/>
  <c r="G161" i="6"/>
  <c r="L161" i="6" s="1"/>
  <c r="F161" i="6"/>
  <c r="E161" i="6"/>
  <c r="D161" i="6"/>
  <c r="C161" i="6"/>
  <c r="B161" i="6"/>
  <c r="H160" i="6"/>
  <c r="G160" i="6"/>
  <c r="F160" i="6"/>
  <c r="E160" i="6"/>
  <c r="D160" i="6"/>
  <c r="C160" i="6"/>
  <c r="B160" i="6"/>
  <c r="H159" i="6"/>
  <c r="G159" i="6"/>
  <c r="F159" i="6"/>
  <c r="E159" i="6"/>
  <c r="D159" i="6"/>
  <c r="C159" i="6"/>
  <c r="B159" i="6"/>
  <c r="H158" i="6"/>
  <c r="G158" i="6"/>
  <c r="F158" i="6"/>
  <c r="E158" i="6"/>
  <c r="D158" i="6"/>
  <c r="C158" i="6"/>
  <c r="M158" i="6" s="1"/>
  <c r="B158" i="6"/>
  <c r="L158" i="6" s="1"/>
  <c r="H157" i="6"/>
  <c r="G157" i="6"/>
  <c r="F157" i="6"/>
  <c r="E157" i="6"/>
  <c r="D157" i="6"/>
  <c r="C157" i="6"/>
  <c r="B157" i="6"/>
  <c r="H156" i="6"/>
  <c r="G156" i="6"/>
  <c r="F156" i="6"/>
  <c r="E156" i="6"/>
  <c r="D156" i="6"/>
  <c r="C156" i="6"/>
  <c r="B156" i="6"/>
  <c r="H155" i="6"/>
  <c r="G155" i="6"/>
  <c r="F155" i="6"/>
  <c r="E155" i="6"/>
  <c r="D155" i="6"/>
  <c r="C155" i="6"/>
  <c r="B155" i="6"/>
  <c r="H154" i="6"/>
  <c r="G154" i="6"/>
  <c r="F154" i="6"/>
  <c r="E154" i="6"/>
  <c r="D154" i="6"/>
  <c r="C154" i="6"/>
  <c r="B154" i="6"/>
  <c r="H153" i="6"/>
  <c r="G153" i="6"/>
  <c r="F153" i="6"/>
  <c r="E153" i="6"/>
  <c r="D153" i="6"/>
  <c r="C153" i="6"/>
  <c r="B153" i="6"/>
  <c r="H152" i="6"/>
  <c r="G152" i="6"/>
  <c r="F152" i="6"/>
  <c r="E152" i="6"/>
  <c r="D152" i="6"/>
  <c r="C152" i="6"/>
  <c r="B152" i="6"/>
  <c r="H151" i="6"/>
  <c r="G151" i="6"/>
  <c r="F151" i="6"/>
  <c r="E151" i="6"/>
  <c r="D151" i="6"/>
  <c r="C151" i="6"/>
  <c r="B151" i="6"/>
  <c r="H150" i="6"/>
  <c r="G150" i="6"/>
  <c r="M150" i="6" s="1"/>
  <c r="F150" i="6"/>
  <c r="E150" i="6"/>
  <c r="J150" i="6" s="1"/>
  <c r="D150" i="6"/>
  <c r="I150" i="6" s="1"/>
  <c r="K150" i="6" s="1"/>
  <c r="B154" i="7" s="1"/>
  <c r="C150" i="6"/>
  <c r="B150" i="6"/>
  <c r="H149" i="6"/>
  <c r="G149" i="6"/>
  <c r="F149" i="6"/>
  <c r="E149" i="6"/>
  <c r="D149" i="6"/>
  <c r="C149" i="6"/>
  <c r="B149" i="6"/>
  <c r="H148" i="6"/>
  <c r="G148" i="6"/>
  <c r="F148" i="6"/>
  <c r="E148" i="6"/>
  <c r="D148" i="6"/>
  <c r="I148" i="6" s="1"/>
  <c r="C148" i="6"/>
  <c r="B148" i="6"/>
  <c r="H147" i="6"/>
  <c r="G147" i="6"/>
  <c r="F147" i="6"/>
  <c r="E147" i="6"/>
  <c r="D147" i="6"/>
  <c r="I147" i="6" s="1"/>
  <c r="C147" i="6"/>
  <c r="B147" i="6"/>
  <c r="H146" i="6"/>
  <c r="G146" i="6"/>
  <c r="F146" i="6"/>
  <c r="E146" i="6"/>
  <c r="D146" i="6"/>
  <c r="C146" i="6"/>
  <c r="B146" i="6"/>
  <c r="H145" i="6"/>
  <c r="G145" i="6"/>
  <c r="F145" i="6"/>
  <c r="E145" i="6"/>
  <c r="D145" i="6"/>
  <c r="C145" i="6"/>
  <c r="B145" i="6"/>
  <c r="H144" i="6"/>
  <c r="G144" i="6"/>
  <c r="F144" i="6"/>
  <c r="E144" i="6"/>
  <c r="D144" i="6"/>
  <c r="C144" i="6"/>
  <c r="B144" i="6"/>
  <c r="H143" i="6"/>
  <c r="M143" i="6" s="1"/>
  <c r="G143" i="6"/>
  <c r="F143" i="6"/>
  <c r="E143" i="6"/>
  <c r="D143" i="6"/>
  <c r="C143" i="6"/>
  <c r="B143" i="6"/>
  <c r="H142" i="6"/>
  <c r="G142" i="6"/>
  <c r="F142" i="6"/>
  <c r="E142" i="6"/>
  <c r="D142" i="6"/>
  <c r="C142" i="6"/>
  <c r="B142" i="6"/>
  <c r="H141" i="6"/>
  <c r="G141" i="6"/>
  <c r="F141" i="6"/>
  <c r="E141" i="6"/>
  <c r="D141" i="6"/>
  <c r="C141" i="6"/>
  <c r="B141" i="6"/>
  <c r="H140" i="6"/>
  <c r="G140" i="6"/>
  <c r="F140" i="6"/>
  <c r="E140" i="6"/>
  <c r="D140" i="6"/>
  <c r="C140" i="6"/>
  <c r="B140" i="6"/>
  <c r="H139" i="6"/>
  <c r="G139" i="6"/>
  <c r="F139" i="6"/>
  <c r="E139" i="6"/>
  <c r="D139" i="6"/>
  <c r="C139" i="6"/>
  <c r="B139" i="6"/>
  <c r="H138" i="6"/>
  <c r="G138" i="6"/>
  <c r="F138" i="6"/>
  <c r="E138" i="6"/>
  <c r="D138" i="6"/>
  <c r="C138" i="6"/>
  <c r="B138" i="6"/>
  <c r="H137" i="6"/>
  <c r="G137" i="6"/>
  <c r="F137" i="6"/>
  <c r="E137" i="6"/>
  <c r="D137" i="6"/>
  <c r="C137" i="6"/>
  <c r="B137" i="6"/>
  <c r="H136" i="6"/>
  <c r="G136" i="6"/>
  <c r="F136" i="6"/>
  <c r="E136" i="6"/>
  <c r="D136" i="6"/>
  <c r="C136" i="6"/>
  <c r="B136" i="6"/>
  <c r="H135" i="6"/>
  <c r="G135" i="6"/>
  <c r="M135" i="6" s="1"/>
  <c r="F135" i="6"/>
  <c r="E135" i="6"/>
  <c r="D135" i="6"/>
  <c r="C135" i="6"/>
  <c r="B135" i="6"/>
  <c r="H134" i="6"/>
  <c r="G134" i="6"/>
  <c r="F134" i="6"/>
  <c r="E134" i="6"/>
  <c r="D134" i="6"/>
  <c r="I134" i="6" s="1"/>
  <c r="C134" i="6"/>
  <c r="B134" i="6"/>
  <c r="H133" i="6"/>
  <c r="G133" i="6"/>
  <c r="F133" i="6"/>
  <c r="E133" i="6"/>
  <c r="D133" i="6"/>
  <c r="C133" i="6"/>
  <c r="B133" i="6"/>
  <c r="H132" i="6"/>
  <c r="G132" i="6"/>
  <c r="F132" i="6"/>
  <c r="E132" i="6"/>
  <c r="D132" i="6"/>
  <c r="C132" i="6"/>
  <c r="B132" i="6"/>
  <c r="H131" i="6"/>
  <c r="G131" i="6"/>
  <c r="F131" i="6"/>
  <c r="E131" i="6"/>
  <c r="D131" i="6"/>
  <c r="C131" i="6"/>
  <c r="B131" i="6"/>
  <c r="H130" i="6"/>
  <c r="G130" i="6"/>
  <c r="F130" i="6"/>
  <c r="E130" i="6"/>
  <c r="D130" i="6"/>
  <c r="C130" i="6"/>
  <c r="B130" i="6"/>
  <c r="H129" i="6"/>
  <c r="G129" i="6"/>
  <c r="L129" i="6" s="1"/>
  <c r="F129" i="6"/>
  <c r="E129" i="6"/>
  <c r="D129" i="6"/>
  <c r="C129" i="6"/>
  <c r="B129" i="6"/>
  <c r="H128" i="6"/>
  <c r="G128" i="6"/>
  <c r="F128" i="6"/>
  <c r="E128" i="6"/>
  <c r="D128" i="6"/>
  <c r="C128" i="6"/>
  <c r="B128" i="6"/>
  <c r="H127" i="6"/>
  <c r="G127" i="6"/>
  <c r="M127" i="6" s="1"/>
  <c r="F127" i="6"/>
  <c r="E127" i="6"/>
  <c r="J127" i="6" s="1"/>
  <c r="D127" i="6"/>
  <c r="C127" i="6"/>
  <c r="B127" i="6"/>
  <c r="H126" i="6"/>
  <c r="G126" i="6"/>
  <c r="F126" i="6"/>
  <c r="E126" i="6"/>
  <c r="D126" i="6"/>
  <c r="C126" i="6"/>
  <c r="B126" i="6"/>
  <c r="H125" i="6"/>
  <c r="G125" i="6"/>
  <c r="F125" i="6"/>
  <c r="E125" i="6"/>
  <c r="J125" i="6" s="1"/>
  <c r="D125" i="6"/>
  <c r="C125" i="6"/>
  <c r="B125" i="6"/>
  <c r="H124" i="6"/>
  <c r="G124" i="6"/>
  <c r="F124" i="6"/>
  <c r="I124" i="6" s="1"/>
  <c r="E124" i="6"/>
  <c r="D124" i="6"/>
  <c r="C124" i="6"/>
  <c r="B124" i="6"/>
  <c r="H123" i="6"/>
  <c r="G123" i="6"/>
  <c r="F123" i="6"/>
  <c r="I123" i="6" s="1"/>
  <c r="E123" i="6"/>
  <c r="D123" i="6"/>
  <c r="C123" i="6"/>
  <c r="B123" i="6"/>
  <c r="H122" i="6"/>
  <c r="G122" i="6"/>
  <c r="F122" i="6"/>
  <c r="E122" i="6"/>
  <c r="D122" i="6"/>
  <c r="C122" i="6"/>
  <c r="B122" i="6"/>
  <c r="H121" i="6"/>
  <c r="G121" i="6"/>
  <c r="L121" i="6" s="1"/>
  <c r="F121" i="6"/>
  <c r="E121" i="6"/>
  <c r="D121" i="6"/>
  <c r="C121" i="6"/>
  <c r="B121" i="6"/>
  <c r="H120" i="6"/>
  <c r="G120" i="6"/>
  <c r="F120" i="6"/>
  <c r="E120" i="6"/>
  <c r="D120" i="6"/>
  <c r="C120" i="6"/>
  <c r="B120" i="6"/>
  <c r="H119" i="6"/>
  <c r="G119" i="6"/>
  <c r="M119" i="6" s="1"/>
  <c r="F119" i="6"/>
  <c r="E119" i="6"/>
  <c r="D119" i="6"/>
  <c r="C119" i="6"/>
  <c r="B119" i="6"/>
  <c r="J118" i="6"/>
  <c r="H118" i="6"/>
  <c r="G118" i="6"/>
  <c r="F118" i="6"/>
  <c r="E118" i="6"/>
  <c r="D118" i="6"/>
  <c r="C118" i="6"/>
  <c r="B118" i="6"/>
  <c r="H117" i="6"/>
  <c r="G117" i="6"/>
  <c r="L117" i="6" s="1"/>
  <c r="F117" i="6"/>
  <c r="E117" i="6"/>
  <c r="D117" i="6"/>
  <c r="C117" i="6"/>
  <c r="B117" i="6"/>
  <c r="H116" i="6"/>
  <c r="G116" i="6"/>
  <c r="F116" i="6"/>
  <c r="E116" i="6"/>
  <c r="D116" i="6"/>
  <c r="C116" i="6"/>
  <c r="B116" i="6"/>
  <c r="H115" i="6"/>
  <c r="G115" i="6"/>
  <c r="F115" i="6"/>
  <c r="E115" i="6"/>
  <c r="D115" i="6"/>
  <c r="C115" i="6"/>
  <c r="B115" i="6"/>
  <c r="H114" i="6"/>
  <c r="G114" i="6"/>
  <c r="F114" i="6"/>
  <c r="E114" i="6"/>
  <c r="D114" i="6"/>
  <c r="C114" i="6"/>
  <c r="B114" i="6"/>
  <c r="H113" i="6"/>
  <c r="G113" i="6"/>
  <c r="F113" i="6"/>
  <c r="E113" i="6"/>
  <c r="D113" i="6"/>
  <c r="C113" i="6"/>
  <c r="B113" i="6"/>
  <c r="H112" i="6"/>
  <c r="G112" i="6"/>
  <c r="F112" i="6"/>
  <c r="E112" i="6"/>
  <c r="D112" i="6"/>
  <c r="C112" i="6"/>
  <c r="B112" i="6"/>
  <c r="H111" i="6"/>
  <c r="G111" i="6"/>
  <c r="F111" i="6"/>
  <c r="E111" i="6"/>
  <c r="D111" i="6"/>
  <c r="C111" i="6"/>
  <c r="B111" i="6"/>
  <c r="L111" i="6" s="1"/>
  <c r="H110" i="6"/>
  <c r="G110" i="6"/>
  <c r="F110" i="6"/>
  <c r="E110" i="6"/>
  <c r="D110" i="6"/>
  <c r="C110" i="6"/>
  <c r="B110" i="6"/>
  <c r="H109" i="6"/>
  <c r="G109" i="6"/>
  <c r="L109" i="6" s="1"/>
  <c r="F109" i="6"/>
  <c r="E109" i="6"/>
  <c r="J109" i="6" s="1"/>
  <c r="D109" i="6"/>
  <c r="C109" i="6"/>
  <c r="B109" i="6"/>
  <c r="H108" i="6"/>
  <c r="G108" i="6"/>
  <c r="F108" i="6"/>
  <c r="J108" i="6" s="1"/>
  <c r="E108" i="6"/>
  <c r="D108" i="6"/>
  <c r="C108" i="6"/>
  <c r="B108" i="6"/>
  <c r="H107" i="6"/>
  <c r="G107" i="6"/>
  <c r="F107" i="6"/>
  <c r="E107" i="6"/>
  <c r="D107" i="6"/>
  <c r="C107" i="6"/>
  <c r="B107" i="6"/>
  <c r="H106" i="6"/>
  <c r="G106" i="6"/>
  <c r="F106" i="6"/>
  <c r="E106" i="6"/>
  <c r="J106" i="6" s="1"/>
  <c r="D106" i="6"/>
  <c r="C106" i="6"/>
  <c r="B106" i="6"/>
  <c r="H105" i="6"/>
  <c r="G105" i="6"/>
  <c r="L105" i="6" s="1"/>
  <c r="F105" i="6"/>
  <c r="E105" i="6"/>
  <c r="D105" i="6"/>
  <c r="I105" i="6" s="1"/>
  <c r="C105" i="6"/>
  <c r="B105" i="6"/>
  <c r="L104" i="6"/>
  <c r="H104" i="6"/>
  <c r="G104" i="6"/>
  <c r="F104" i="6"/>
  <c r="E104" i="6"/>
  <c r="D104" i="6"/>
  <c r="C104" i="6"/>
  <c r="B104" i="6"/>
  <c r="H103" i="6"/>
  <c r="G103" i="6"/>
  <c r="F103" i="6"/>
  <c r="E103" i="6"/>
  <c r="D103" i="6"/>
  <c r="C103" i="6"/>
  <c r="M103" i="6" s="1"/>
  <c r="B103" i="6"/>
  <c r="M102" i="6"/>
  <c r="H102" i="6"/>
  <c r="G102" i="6"/>
  <c r="F102" i="6"/>
  <c r="E102" i="6"/>
  <c r="D102" i="6"/>
  <c r="C102" i="6"/>
  <c r="B102" i="6"/>
  <c r="H101" i="6"/>
  <c r="M101" i="6" s="1"/>
  <c r="G101" i="6"/>
  <c r="F101" i="6"/>
  <c r="E101" i="6"/>
  <c r="J101" i="6" s="1"/>
  <c r="D101" i="6"/>
  <c r="C101" i="6"/>
  <c r="B101" i="6"/>
  <c r="H100" i="6"/>
  <c r="G100" i="6"/>
  <c r="F100" i="6"/>
  <c r="E100" i="6"/>
  <c r="D100" i="6"/>
  <c r="C100" i="6"/>
  <c r="B100" i="6"/>
  <c r="H99" i="6"/>
  <c r="G99" i="6"/>
  <c r="F99" i="6"/>
  <c r="E99" i="6"/>
  <c r="D99" i="6"/>
  <c r="C99" i="6"/>
  <c r="B99" i="6"/>
  <c r="H98" i="6"/>
  <c r="G98" i="6"/>
  <c r="F98" i="6"/>
  <c r="E98" i="6"/>
  <c r="D98" i="6"/>
  <c r="C98" i="6"/>
  <c r="B98" i="6"/>
  <c r="H97" i="6"/>
  <c r="G97" i="6"/>
  <c r="F97" i="6"/>
  <c r="E97" i="6"/>
  <c r="D97" i="6"/>
  <c r="C97" i="6"/>
  <c r="B97" i="6"/>
  <c r="H96" i="6"/>
  <c r="G96" i="6"/>
  <c r="F96" i="6"/>
  <c r="E96" i="6"/>
  <c r="D96" i="6"/>
  <c r="C96" i="6"/>
  <c r="B96" i="6"/>
  <c r="H95" i="6"/>
  <c r="M95" i="6" s="1"/>
  <c r="G95" i="6"/>
  <c r="F95" i="6"/>
  <c r="E95" i="6"/>
  <c r="D95" i="6"/>
  <c r="C95" i="6"/>
  <c r="B95" i="6"/>
  <c r="M94" i="6"/>
  <c r="H94" i="6"/>
  <c r="G94" i="6"/>
  <c r="F94" i="6"/>
  <c r="E94" i="6"/>
  <c r="D94" i="6"/>
  <c r="C94" i="6"/>
  <c r="B94" i="6"/>
  <c r="L94" i="6" s="1"/>
  <c r="N94" i="6" s="1"/>
  <c r="H93" i="6"/>
  <c r="G93" i="6"/>
  <c r="F93" i="6"/>
  <c r="E93" i="6"/>
  <c r="D93" i="6"/>
  <c r="C93" i="6"/>
  <c r="B93" i="6"/>
  <c r="H92" i="6"/>
  <c r="G92" i="6"/>
  <c r="F92" i="6"/>
  <c r="E92" i="6"/>
  <c r="D92" i="6"/>
  <c r="C92" i="6"/>
  <c r="B92" i="6"/>
  <c r="H91" i="6"/>
  <c r="G91" i="6"/>
  <c r="F91" i="6"/>
  <c r="E91" i="6"/>
  <c r="D91" i="6"/>
  <c r="C91" i="6"/>
  <c r="B91" i="6"/>
  <c r="H90" i="6"/>
  <c r="G90" i="6"/>
  <c r="F90" i="6"/>
  <c r="E90" i="6"/>
  <c r="D90" i="6"/>
  <c r="C90" i="6"/>
  <c r="B90" i="6"/>
  <c r="H89" i="6"/>
  <c r="G89" i="6"/>
  <c r="F89" i="6"/>
  <c r="E89" i="6"/>
  <c r="D89" i="6"/>
  <c r="C89" i="6"/>
  <c r="B89" i="6"/>
  <c r="H88" i="6"/>
  <c r="G88" i="6"/>
  <c r="F88" i="6"/>
  <c r="E88" i="6"/>
  <c r="D88" i="6"/>
  <c r="C88" i="6"/>
  <c r="B88" i="6"/>
  <c r="H87" i="6"/>
  <c r="G87" i="6"/>
  <c r="M87" i="6" s="1"/>
  <c r="F87" i="6"/>
  <c r="E87" i="6"/>
  <c r="D87" i="6"/>
  <c r="C87" i="6"/>
  <c r="B87" i="6"/>
  <c r="H86" i="6"/>
  <c r="G86" i="6"/>
  <c r="F86" i="6"/>
  <c r="E86" i="6"/>
  <c r="D86" i="6"/>
  <c r="C86" i="6"/>
  <c r="B86" i="6"/>
  <c r="H85" i="6"/>
  <c r="G85" i="6"/>
  <c r="F85" i="6"/>
  <c r="J85" i="6" s="1"/>
  <c r="E85" i="6"/>
  <c r="D85" i="6"/>
  <c r="C85" i="6"/>
  <c r="B85" i="6"/>
  <c r="H84" i="6"/>
  <c r="G84" i="6"/>
  <c r="F84" i="6"/>
  <c r="E84" i="6"/>
  <c r="J84" i="6" s="1"/>
  <c r="D84" i="6"/>
  <c r="C84" i="6"/>
  <c r="B84" i="6"/>
  <c r="I84" i="6" s="1"/>
  <c r="K84" i="6" s="1"/>
  <c r="B88" i="7" s="1"/>
  <c r="H83" i="6"/>
  <c r="G83" i="6"/>
  <c r="F83" i="6"/>
  <c r="E83" i="6"/>
  <c r="D83" i="6"/>
  <c r="C83" i="6"/>
  <c r="B83" i="6"/>
  <c r="I83" i="6" s="1"/>
  <c r="H82" i="6"/>
  <c r="G82" i="6"/>
  <c r="F82" i="6"/>
  <c r="E82" i="6"/>
  <c r="D82" i="6"/>
  <c r="C82" i="6"/>
  <c r="B82" i="6"/>
  <c r="H81" i="6"/>
  <c r="G81" i="6"/>
  <c r="F81" i="6"/>
  <c r="E81" i="6"/>
  <c r="D81" i="6"/>
  <c r="C81" i="6"/>
  <c r="B81" i="6"/>
  <c r="H80" i="6"/>
  <c r="G80" i="6"/>
  <c r="F80" i="6"/>
  <c r="E80" i="6"/>
  <c r="D80" i="6"/>
  <c r="C80" i="6"/>
  <c r="B80" i="6"/>
  <c r="H79" i="6"/>
  <c r="G79" i="6"/>
  <c r="F79" i="6"/>
  <c r="E79" i="6"/>
  <c r="D79" i="6"/>
  <c r="C79" i="6"/>
  <c r="B79" i="6"/>
  <c r="J78" i="6"/>
  <c r="H78" i="6"/>
  <c r="G78" i="6"/>
  <c r="F78" i="6"/>
  <c r="E78" i="6"/>
  <c r="D78" i="6"/>
  <c r="C78" i="6"/>
  <c r="B78" i="6"/>
  <c r="H77" i="6"/>
  <c r="G77" i="6"/>
  <c r="L77" i="6" s="1"/>
  <c r="F77" i="6"/>
  <c r="E77" i="6"/>
  <c r="D77" i="6"/>
  <c r="C77" i="6"/>
  <c r="B77" i="6"/>
  <c r="I77" i="6" s="1"/>
  <c r="H76" i="6"/>
  <c r="G76" i="6"/>
  <c r="F76" i="6"/>
  <c r="E76" i="6"/>
  <c r="D76" i="6"/>
  <c r="C76" i="6"/>
  <c r="B76" i="6"/>
  <c r="H75" i="6"/>
  <c r="G75" i="6"/>
  <c r="F75" i="6"/>
  <c r="E75" i="6"/>
  <c r="D75" i="6"/>
  <c r="C75" i="6"/>
  <c r="B75" i="6"/>
  <c r="H74" i="6"/>
  <c r="G74" i="6"/>
  <c r="F74" i="6"/>
  <c r="E74" i="6"/>
  <c r="D74" i="6"/>
  <c r="C74" i="6"/>
  <c r="B74" i="6"/>
  <c r="H73" i="6"/>
  <c r="G73" i="6"/>
  <c r="F73" i="6"/>
  <c r="E73" i="6"/>
  <c r="D73" i="6"/>
  <c r="C73" i="6"/>
  <c r="B73" i="6"/>
  <c r="H72" i="6"/>
  <c r="G72" i="6"/>
  <c r="M72" i="6" s="1"/>
  <c r="F72" i="6"/>
  <c r="E72" i="6"/>
  <c r="D72" i="6"/>
  <c r="C72" i="6"/>
  <c r="B72" i="6"/>
  <c r="H71" i="6"/>
  <c r="G71" i="6"/>
  <c r="M71" i="6" s="1"/>
  <c r="F71" i="6"/>
  <c r="E71" i="6"/>
  <c r="D71" i="6"/>
  <c r="C71" i="6"/>
  <c r="B71" i="6"/>
  <c r="H70" i="6"/>
  <c r="G70" i="6"/>
  <c r="M70" i="6" s="1"/>
  <c r="F70" i="6"/>
  <c r="E70" i="6"/>
  <c r="D70" i="6"/>
  <c r="I70" i="6" s="1"/>
  <c r="C70" i="6"/>
  <c r="B70" i="6"/>
  <c r="H69" i="6"/>
  <c r="G69" i="6"/>
  <c r="F69" i="6"/>
  <c r="E69" i="6"/>
  <c r="D69" i="6"/>
  <c r="C69" i="6"/>
  <c r="B69" i="6"/>
  <c r="H68" i="6"/>
  <c r="G68" i="6"/>
  <c r="F68" i="6"/>
  <c r="E68" i="6"/>
  <c r="D68" i="6"/>
  <c r="I68" i="6" s="1"/>
  <c r="C68" i="6"/>
  <c r="B68" i="6"/>
  <c r="H67" i="6"/>
  <c r="G67" i="6"/>
  <c r="F67" i="6"/>
  <c r="E67" i="6"/>
  <c r="D67" i="6"/>
  <c r="I67" i="6" s="1"/>
  <c r="C67" i="6"/>
  <c r="B67" i="6"/>
  <c r="H66" i="6"/>
  <c r="G66" i="6"/>
  <c r="F66" i="6"/>
  <c r="E66" i="6"/>
  <c r="D66" i="6"/>
  <c r="C66" i="6"/>
  <c r="B66" i="6"/>
  <c r="H65" i="6"/>
  <c r="G65" i="6"/>
  <c r="F65" i="6"/>
  <c r="E65" i="6"/>
  <c r="D65" i="6"/>
  <c r="C65" i="6"/>
  <c r="B65" i="6"/>
  <c r="H64" i="6"/>
  <c r="G64" i="6"/>
  <c r="F64" i="6"/>
  <c r="E64" i="6"/>
  <c r="D64" i="6"/>
  <c r="C64" i="6"/>
  <c r="B64" i="6"/>
  <c r="H63" i="6"/>
  <c r="G63" i="6"/>
  <c r="M63" i="6" s="1"/>
  <c r="F63" i="6"/>
  <c r="E63" i="6"/>
  <c r="D63" i="6"/>
  <c r="C63" i="6"/>
  <c r="B63" i="6"/>
  <c r="H62" i="6"/>
  <c r="G62" i="6"/>
  <c r="M62" i="6" s="1"/>
  <c r="F62" i="6"/>
  <c r="J62" i="6" s="1"/>
  <c r="E62" i="6"/>
  <c r="D62" i="6"/>
  <c r="C62" i="6"/>
  <c r="B62" i="6"/>
  <c r="H61" i="6"/>
  <c r="G61" i="6"/>
  <c r="L61" i="6" s="1"/>
  <c r="F61" i="6"/>
  <c r="J61" i="6" s="1"/>
  <c r="E61" i="6"/>
  <c r="D61" i="6"/>
  <c r="C61" i="6"/>
  <c r="B61" i="6"/>
  <c r="H60" i="6"/>
  <c r="G60" i="6"/>
  <c r="F60" i="6"/>
  <c r="J60" i="6" s="1"/>
  <c r="E60" i="6"/>
  <c r="D60" i="6"/>
  <c r="C60" i="6"/>
  <c r="B60" i="6"/>
  <c r="H59" i="6"/>
  <c r="G59" i="6"/>
  <c r="F59" i="6"/>
  <c r="E59" i="6"/>
  <c r="D59" i="6"/>
  <c r="C59" i="6"/>
  <c r="B59" i="6"/>
  <c r="H58" i="6"/>
  <c r="G58" i="6"/>
  <c r="F58" i="6"/>
  <c r="E58" i="6"/>
  <c r="D58" i="6"/>
  <c r="C58" i="6"/>
  <c r="B58" i="6"/>
  <c r="H57" i="6"/>
  <c r="G57" i="6"/>
  <c r="F57" i="6"/>
  <c r="E57" i="6"/>
  <c r="D57" i="6"/>
  <c r="C57" i="6"/>
  <c r="B57" i="6"/>
  <c r="H56" i="6"/>
  <c r="G56" i="6"/>
  <c r="F56" i="6"/>
  <c r="E56" i="6"/>
  <c r="D56" i="6"/>
  <c r="C56" i="6"/>
  <c r="B56" i="6"/>
  <c r="H55" i="6"/>
  <c r="G55" i="6"/>
  <c r="F55" i="6"/>
  <c r="E55" i="6"/>
  <c r="D55" i="6"/>
  <c r="C55" i="6"/>
  <c r="B55" i="6"/>
  <c r="J54" i="6"/>
  <c r="H54" i="6"/>
  <c r="G54" i="6"/>
  <c r="F54" i="6"/>
  <c r="E54" i="6"/>
  <c r="D54" i="6"/>
  <c r="C54" i="6"/>
  <c r="M54" i="6" s="1"/>
  <c r="B54" i="6"/>
  <c r="L54" i="6" s="1"/>
  <c r="H53" i="6"/>
  <c r="G53" i="6"/>
  <c r="F53" i="6"/>
  <c r="E53" i="6"/>
  <c r="D53" i="6"/>
  <c r="C53" i="6"/>
  <c r="B53" i="6"/>
  <c r="I53" i="6" s="1"/>
  <c r="H52" i="6"/>
  <c r="G52" i="6"/>
  <c r="F52" i="6"/>
  <c r="E52" i="6"/>
  <c r="D52" i="6"/>
  <c r="C52" i="6"/>
  <c r="B52" i="6"/>
  <c r="H51" i="6"/>
  <c r="G51" i="6"/>
  <c r="F51" i="6"/>
  <c r="E51" i="6"/>
  <c r="D51" i="6"/>
  <c r="C51" i="6"/>
  <c r="B51" i="6"/>
  <c r="H50" i="6"/>
  <c r="G50" i="6"/>
  <c r="F50" i="6"/>
  <c r="E50" i="6"/>
  <c r="D50" i="6"/>
  <c r="C50" i="6"/>
  <c r="B50" i="6"/>
  <c r="H49" i="6"/>
  <c r="G49" i="6"/>
  <c r="F49" i="6"/>
  <c r="E49" i="6"/>
  <c r="D49" i="6"/>
  <c r="C49" i="6"/>
  <c r="B49" i="6"/>
  <c r="H48" i="6"/>
  <c r="G48" i="6"/>
  <c r="F48" i="6"/>
  <c r="E48" i="6"/>
  <c r="D48" i="6"/>
  <c r="C48" i="6"/>
  <c r="B48" i="6"/>
  <c r="H47" i="6"/>
  <c r="G47" i="6"/>
  <c r="F47" i="6"/>
  <c r="E47" i="6"/>
  <c r="D47" i="6"/>
  <c r="C47" i="6"/>
  <c r="B47" i="6"/>
  <c r="H46" i="6"/>
  <c r="G46" i="6"/>
  <c r="F46" i="6"/>
  <c r="E46" i="6"/>
  <c r="D46" i="6"/>
  <c r="I46" i="6" s="1"/>
  <c r="C46" i="6"/>
  <c r="B46" i="6"/>
  <c r="H45" i="6"/>
  <c r="G45" i="6"/>
  <c r="F45" i="6"/>
  <c r="E45" i="6"/>
  <c r="D45" i="6"/>
  <c r="C45" i="6"/>
  <c r="J45" i="6" s="1"/>
  <c r="B45" i="6"/>
  <c r="H44" i="6"/>
  <c r="G44" i="6"/>
  <c r="F44" i="6"/>
  <c r="E44" i="6"/>
  <c r="D44" i="6"/>
  <c r="C44" i="6"/>
  <c r="J44" i="6" s="1"/>
  <c r="B44" i="6"/>
  <c r="H43" i="6"/>
  <c r="G43" i="6"/>
  <c r="F43" i="6"/>
  <c r="E43" i="6"/>
  <c r="D43" i="6"/>
  <c r="C43" i="6"/>
  <c r="B43" i="6"/>
  <c r="I43" i="6" s="1"/>
  <c r="H42" i="6"/>
  <c r="G42" i="6"/>
  <c r="F42" i="6"/>
  <c r="E42" i="6"/>
  <c r="D42" i="6"/>
  <c r="C42" i="6"/>
  <c r="B42" i="6"/>
  <c r="H41" i="6"/>
  <c r="G41" i="6"/>
  <c r="F41" i="6"/>
  <c r="E41" i="6"/>
  <c r="D41" i="6"/>
  <c r="C41" i="6"/>
  <c r="B41" i="6"/>
  <c r="H40" i="6"/>
  <c r="G40" i="6"/>
  <c r="F40" i="6"/>
  <c r="E40" i="6"/>
  <c r="D40" i="6"/>
  <c r="C40" i="6"/>
  <c r="B40" i="6"/>
  <c r="H39" i="6"/>
  <c r="G39" i="6"/>
  <c r="F39" i="6"/>
  <c r="E39" i="6"/>
  <c r="D39" i="6"/>
  <c r="C39" i="6"/>
  <c r="B39" i="6"/>
  <c r="H38" i="6"/>
  <c r="G38" i="6"/>
  <c r="F38" i="6"/>
  <c r="J38" i="6" s="1"/>
  <c r="E38" i="6"/>
  <c r="D38" i="6"/>
  <c r="C38" i="6"/>
  <c r="B38" i="6"/>
  <c r="H37" i="6"/>
  <c r="G37" i="6"/>
  <c r="F37" i="6"/>
  <c r="E37" i="6"/>
  <c r="D37" i="6"/>
  <c r="C37" i="6"/>
  <c r="B37" i="6"/>
  <c r="H36" i="6"/>
  <c r="G36" i="6"/>
  <c r="F36" i="6"/>
  <c r="E36" i="6"/>
  <c r="J36" i="6" s="1"/>
  <c r="D36" i="6"/>
  <c r="I36" i="6" s="1"/>
  <c r="K36" i="6" s="1"/>
  <c r="B40" i="7" s="1"/>
  <c r="C36" i="6"/>
  <c r="B36" i="6"/>
  <c r="H35" i="6"/>
  <c r="G35" i="6"/>
  <c r="F35" i="6"/>
  <c r="E35" i="6"/>
  <c r="D35" i="6"/>
  <c r="I35" i="6" s="1"/>
  <c r="C35" i="6"/>
  <c r="B35" i="6"/>
  <c r="H34" i="6"/>
  <c r="G34" i="6"/>
  <c r="F34" i="6"/>
  <c r="E34" i="6"/>
  <c r="D34" i="6"/>
  <c r="C34" i="6"/>
  <c r="B34" i="6"/>
  <c r="H33" i="6"/>
  <c r="G33" i="6"/>
  <c r="F33" i="6"/>
  <c r="E33" i="6"/>
  <c r="D33" i="6"/>
  <c r="C33" i="6"/>
  <c r="B33" i="6"/>
  <c r="H32" i="6"/>
  <c r="L32" i="6" s="1"/>
  <c r="G32" i="6"/>
  <c r="F32" i="6"/>
  <c r="E32" i="6"/>
  <c r="D32" i="6"/>
  <c r="C32" i="6"/>
  <c r="B32" i="6"/>
  <c r="H31" i="6"/>
  <c r="G31" i="6"/>
  <c r="F31" i="6"/>
  <c r="E31" i="6"/>
  <c r="D31" i="6"/>
  <c r="C31" i="6"/>
  <c r="B31" i="6"/>
  <c r="H30" i="6"/>
  <c r="G30" i="6"/>
  <c r="M30" i="6" s="1"/>
  <c r="F30" i="6"/>
  <c r="E30" i="6"/>
  <c r="D30" i="6"/>
  <c r="C30" i="6"/>
  <c r="B30" i="6"/>
  <c r="H29" i="6"/>
  <c r="G29" i="6"/>
  <c r="L29" i="6" s="1"/>
  <c r="F29" i="6"/>
  <c r="E29" i="6"/>
  <c r="D29" i="6"/>
  <c r="C29" i="6"/>
  <c r="B29" i="6"/>
  <c r="H28" i="6"/>
  <c r="G28" i="6"/>
  <c r="F28" i="6"/>
  <c r="E28" i="6"/>
  <c r="J28" i="6" s="1"/>
  <c r="D28" i="6"/>
  <c r="I28" i="6" s="1"/>
  <c r="K28" i="6" s="1"/>
  <c r="B32" i="7" s="1"/>
  <c r="C28" i="6"/>
  <c r="B28" i="6"/>
  <c r="H27" i="6"/>
  <c r="G27" i="6"/>
  <c r="F27" i="6"/>
  <c r="E27" i="6"/>
  <c r="D27" i="6"/>
  <c r="I27" i="6" s="1"/>
  <c r="C27" i="6"/>
  <c r="B27" i="6"/>
  <c r="H26" i="6"/>
  <c r="G26" i="6"/>
  <c r="F26" i="6"/>
  <c r="E26" i="6"/>
  <c r="D26" i="6"/>
  <c r="C26" i="6"/>
  <c r="B26" i="6"/>
  <c r="H25" i="6"/>
  <c r="G25" i="6"/>
  <c r="F25" i="6"/>
  <c r="E25" i="6"/>
  <c r="D25" i="6"/>
  <c r="C25" i="6"/>
  <c r="B25" i="6"/>
  <c r="H24" i="6"/>
  <c r="G24" i="6"/>
  <c r="F24" i="6"/>
  <c r="E24" i="6"/>
  <c r="D24" i="6"/>
  <c r="C24" i="6"/>
  <c r="B24" i="6"/>
  <c r="H23" i="6"/>
  <c r="G23" i="6"/>
  <c r="M23" i="6" s="1"/>
  <c r="F23" i="6"/>
  <c r="E23" i="6"/>
  <c r="D23" i="6"/>
  <c r="C23" i="6"/>
  <c r="B23" i="6"/>
  <c r="H22" i="6"/>
  <c r="G22" i="6"/>
  <c r="M22" i="6" s="1"/>
  <c r="F22" i="6"/>
  <c r="I22" i="6" s="1"/>
  <c r="E22" i="6"/>
  <c r="D22" i="6"/>
  <c r="C22" i="6"/>
  <c r="B22" i="6"/>
  <c r="H21" i="6"/>
  <c r="G21" i="6"/>
  <c r="L21" i="6" s="1"/>
  <c r="F21" i="6"/>
  <c r="E21" i="6"/>
  <c r="D21" i="6"/>
  <c r="C21" i="6"/>
  <c r="B21" i="6"/>
  <c r="H20" i="6"/>
  <c r="G20" i="6"/>
  <c r="F20" i="6"/>
  <c r="E20" i="6"/>
  <c r="J20" i="6" s="1"/>
  <c r="D20" i="6"/>
  <c r="C20" i="6"/>
  <c r="B20" i="6"/>
  <c r="H19" i="6"/>
  <c r="G19" i="6"/>
  <c r="F19" i="6"/>
  <c r="E19" i="6"/>
  <c r="D19" i="6"/>
  <c r="I19" i="6" s="1"/>
  <c r="C19" i="6"/>
  <c r="B19" i="6"/>
  <c r="H18" i="6"/>
  <c r="G18" i="6"/>
  <c r="F18" i="6"/>
  <c r="E18" i="6"/>
  <c r="D18" i="6"/>
  <c r="C18" i="6"/>
  <c r="B18" i="6"/>
  <c r="H17" i="6"/>
  <c r="G17" i="6"/>
  <c r="F17" i="6"/>
  <c r="E17" i="6"/>
  <c r="D17" i="6"/>
  <c r="C17" i="6"/>
  <c r="B17" i="6"/>
  <c r="H16" i="6"/>
  <c r="G16" i="6"/>
  <c r="F16" i="6"/>
  <c r="E16" i="6"/>
  <c r="D16" i="6"/>
  <c r="C16" i="6"/>
  <c r="B16" i="6"/>
  <c r="H15" i="6"/>
  <c r="G15" i="6"/>
  <c r="F15" i="6"/>
  <c r="E15" i="6"/>
  <c r="D15" i="6"/>
  <c r="C15" i="6"/>
  <c r="B15" i="6"/>
  <c r="J14" i="6"/>
  <c r="I14" i="6"/>
  <c r="K14" i="6" s="1"/>
  <c r="B18" i="7" s="1"/>
  <c r="H14" i="6"/>
  <c r="G14" i="6"/>
  <c r="F14" i="6"/>
  <c r="E14" i="6"/>
  <c r="D14" i="6"/>
  <c r="C14" i="6"/>
  <c r="M14" i="6" s="1"/>
  <c r="B14" i="6"/>
  <c r="J13" i="6"/>
  <c r="H13" i="6"/>
  <c r="G13" i="6"/>
  <c r="F13" i="6"/>
  <c r="E13" i="6"/>
  <c r="D13" i="6"/>
  <c r="C13" i="6"/>
  <c r="B13" i="6"/>
  <c r="I13" i="6" s="1"/>
  <c r="J12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M8" i="6" s="1"/>
  <c r="F8" i="6"/>
  <c r="E8" i="6"/>
  <c r="D8" i="6"/>
  <c r="C8" i="6"/>
  <c r="B8" i="6"/>
  <c r="H7" i="6"/>
  <c r="G7" i="6"/>
  <c r="M7" i="6" s="1"/>
  <c r="F7" i="6"/>
  <c r="E7" i="6"/>
  <c r="D7" i="6"/>
  <c r="C7" i="6"/>
  <c r="B7" i="6"/>
  <c r="H6" i="6"/>
  <c r="G6" i="6"/>
  <c r="M6" i="6" s="1"/>
  <c r="F6" i="6"/>
  <c r="E6" i="6"/>
  <c r="D6" i="6"/>
  <c r="C6" i="6"/>
  <c r="B6" i="6"/>
  <c r="H5" i="6"/>
  <c r="G5" i="6"/>
  <c r="L5" i="6" s="1"/>
  <c r="F5" i="6"/>
  <c r="E5" i="6"/>
  <c r="D5" i="6"/>
  <c r="C5" i="6"/>
  <c r="B5" i="6"/>
  <c r="H4" i="6"/>
  <c r="G4" i="6"/>
  <c r="F4" i="6"/>
  <c r="E4" i="6"/>
  <c r="D4" i="6"/>
  <c r="C4" i="6"/>
  <c r="B4" i="6"/>
  <c r="H3" i="6"/>
  <c r="G3" i="6"/>
  <c r="F3" i="6"/>
  <c r="E3" i="6"/>
  <c r="D3" i="6"/>
  <c r="C3" i="6"/>
  <c r="B3" i="6"/>
  <c r="H2" i="6"/>
  <c r="G2" i="6"/>
  <c r="F2" i="6"/>
  <c r="E2" i="6"/>
  <c r="D2" i="6"/>
  <c r="C2" i="6"/>
  <c r="B2" i="6"/>
  <c r="B15" i="5"/>
  <c r="B16" i="5" s="1"/>
  <c r="E11" i="5"/>
  <c r="I11" i="5" s="1"/>
  <c r="D11" i="5"/>
  <c r="D10" i="5"/>
  <c r="E10" i="5" s="1"/>
  <c r="H9" i="5"/>
  <c r="D9" i="5"/>
  <c r="E9" i="5" s="1"/>
  <c r="I9" i="5" s="1"/>
  <c r="H8" i="5"/>
  <c r="D8" i="5"/>
  <c r="E8" i="5" s="1"/>
  <c r="I8" i="5" s="1"/>
  <c r="H7" i="5"/>
  <c r="E7" i="5"/>
  <c r="I7" i="5" s="1"/>
  <c r="D7" i="5"/>
  <c r="D6" i="5"/>
  <c r="E6" i="5" s="1"/>
  <c r="I6" i="5" s="1"/>
  <c r="D5" i="5"/>
  <c r="E5" i="5" s="1"/>
  <c r="H7" i="4"/>
  <c r="C7" i="4"/>
  <c r="B7" i="4"/>
  <c r="D7" i="4" s="1"/>
  <c r="H6" i="4"/>
  <c r="C6" i="4"/>
  <c r="B6" i="4"/>
  <c r="D6" i="4" s="1"/>
  <c r="F6" i="4" s="1"/>
  <c r="H5" i="4"/>
  <c r="C5" i="4"/>
  <c r="D5" i="4" s="1"/>
  <c r="B5" i="4"/>
  <c r="G20" i="3"/>
  <c r="G19" i="3"/>
  <c r="G18" i="3"/>
  <c r="G17" i="3"/>
  <c r="G16" i="3"/>
  <c r="G21" i="3" s="1"/>
  <c r="J9" i="3"/>
  <c r="H9" i="3"/>
  <c r="G9" i="3"/>
  <c r="B9" i="3"/>
  <c r="D9" i="3" s="1"/>
  <c r="B8" i="3"/>
  <c r="D8" i="3" s="1"/>
  <c r="G8" i="3" s="1"/>
  <c r="B7" i="3"/>
  <c r="D7" i="3" s="1"/>
  <c r="H7" i="3" s="1"/>
  <c r="H6" i="3"/>
  <c r="B6" i="3"/>
  <c r="D6" i="3" s="1"/>
  <c r="B5" i="3"/>
  <c r="D5" i="3" s="1"/>
  <c r="G5" i="3" s="1"/>
  <c r="K43" i="6" l="1"/>
  <c r="B47" i="7" s="1"/>
  <c r="L40" i="6"/>
  <c r="L558" i="6"/>
  <c r="J114" i="6"/>
  <c r="J124" i="6"/>
  <c r="K124" i="6" s="1"/>
  <c r="B128" i="7" s="1"/>
  <c r="I195" i="6"/>
  <c r="L225" i="6"/>
  <c r="J339" i="6"/>
  <c r="M342" i="6"/>
  <c r="I563" i="6"/>
  <c r="J2" i="6"/>
  <c r="I86" i="6"/>
  <c r="J104" i="6"/>
  <c r="L118" i="6"/>
  <c r="L200" i="6"/>
  <c r="K535" i="6"/>
  <c r="B539" i="7" s="1"/>
  <c r="L550" i="6"/>
  <c r="J572" i="6"/>
  <c r="I100" i="6"/>
  <c r="K100" i="6" s="1"/>
  <c r="B104" i="7" s="1"/>
  <c r="J174" i="6"/>
  <c r="K174" i="6" s="1"/>
  <c r="B178" i="7" s="1"/>
  <c r="I225" i="6"/>
  <c r="M266" i="6"/>
  <c r="K375" i="6"/>
  <c r="B379" i="7" s="1"/>
  <c r="J447" i="6"/>
  <c r="K447" i="6" s="1"/>
  <c r="B451" i="7" s="1"/>
  <c r="I458" i="6"/>
  <c r="K458" i="6" s="1"/>
  <c r="B462" i="7" s="1"/>
  <c r="M38" i="6"/>
  <c r="I42" i="6"/>
  <c r="M56" i="6"/>
  <c r="J64" i="6"/>
  <c r="L72" i="6"/>
  <c r="L81" i="6"/>
  <c r="L93" i="6"/>
  <c r="I99" i="6"/>
  <c r="K99" i="6" s="1"/>
  <c r="B103" i="7" s="1"/>
  <c r="J100" i="6"/>
  <c r="M104" i="6"/>
  <c r="N104" i="6" s="1"/>
  <c r="I110" i="6"/>
  <c r="K110" i="6" s="1"/>
  <c r="B114" i="7" s="1"/>
  <c r="J164" i="6"/>
  <c r="J165" i="6"/>
  <c r="M167" i="6"/>
  <c r="J173" i="6"/>
  <c r="M175" i="6"/>
  <c r="L214" i="6"/>
  <c r="I291" i="6"/>
  <c r="I374" i="6"/>
  <c r="J375" i="6"/>
  <c r="M559" i="6"/>
  <c r="L8" i="6"/>
  <c r="N8" i="6" s="1"/>
  <c r="I102" i="6"/>
  <c r="I113" i="6"/>
  <c r="J133" i="6"/>
  <c r="J188" i="6"/>
  <c r="M330" i="6"/>
  <c r="N532" i="6"/>
  <c r="A536" i="7" s="1"/>
  <c r="J93" i="6"/>
  <c r="J103" i="6"/>
  <c r="I112" i="6"/>
  <c r="J148" i="6"/>
  <c r="K148" i="6" s="1"/>
  <c r="B152" i="7" s="1"/>
  <c r="J338" i="6"/>
  <c r="N531" i="6"/>
  <c r="I571" i="6"/>
  <c r="L30" i="6"/>
  <c r="N30" i="6" s="1"/>
  <c r="P30" i="6" s="1"/>
  <c r="Q30" i="6" s="1"/>
  <c r="M118" i="6"/>
  <c r="N118" i="6" s="1"/>
  <c r="I6" i="6"/>
  <c r="M16" i="6"/>
  <c r="J23" i="6"/>
  <c r="I30" i="6"/>
  <c r="J37" i="6"/>
  <c r="J40" i="6"/>
  <c r="L47" i="6"/>
  <c r="M48" i="6"/>
  <c r="N48" i="6" s="1"/>
  <c r="I49" i="6"/>
  <c r="K49" i="6" s="1"/>
  <c r="B53" i="7" s="1"/>
  <c r="J50" i="6"/>
  <c r="M55" i="6"/>
  <c r="I60" i="6"/>
  <c r="K60" i="6" s="1"/>
  <c r="B64" i="7" s="1"/>
  <c r="J63" i="6"/>
  <c r="L65" i="6"/>
  <c r="L71" i="6"/>
  <c r="N71" i="6" s="1"/>
  <c r="J77" i="6"/>
  <c r="K77" i="6" s="1"/>
  <c r="B81" i="7" s="1"/>
  <c r="L142" i="6"/>
  <c r="N142" i="6" s="1"/>
  <c r="I152" i="6"/>
  <c r="N158" i="6"/>
  <c r="M166" i="6"/>
  <c r="M174" i="6"/>
  <c r="M176" i="6"/>
  <c r="I180" i="6"/>
  <c r="I189" i="6"/>
  <c r="K189" i="6" s="1"/>
  <c r="B193" i="7" s="1"/>
  <c r="L205" i="6"/>
  <c r="M210" i="6"/>
  <c r="J241" i="6"/>
  <c r="I249" i="6"/>
  <c r="N257" i="6"/>
  <c r="J258" i="6"/>
  <c r="I284" i="6"/>
  <c r="K284" i="6" s="1"/>
  <c r="B288" i="7" s="1"/>
  <c r="I312" i="6"/>
  <c r="M318" i="6"/>
  <c r="I322" i="6"/>
  <c r="M357" i="6"/>
  <c r="L360" i="6"/>
  <c r="J366" i="6"/>
  <c r="M368" i="6"/>
  <c r="J21" i="6"/>
  <c r="M136" i="6"/>
  <c r="L136" i="6"/>
  <c r="N136" i="6" s="1"/>
  <c r="K164" i="6"/>
  <c r="B168" i="7" s="1"/>
  <c r="I4" i="6"/>
  <c r="J107" i="6"/>
  <c r="J115" i="6"/>
  <c r="J126" i="6"/>
  <c r="I132" i="6"/>
  <c r="K132" i="6" s="1"/>
  <c r="B136" i="7" s="1"/>
  <c r="J229" i="6"/>
  <c r="J237" i="6"/>
  <c r="L7" i="6"/>
  <c r="I18" i="6"/>
  <c r="M32" i="6"/>
  <c r="M78" i="6"/>
  <c r="I92" i="6"/>
  <c r="K92" i="6" s="1"/>
  <c r="B96" i="7" s="1"/>
  <c r="I106" i="6"/>
  <c r="K106" i="6" s="1"/>
  <c r="B110" i="7" s="1"/>
  <c r="K327" i="6"/>
  <c r="B331" i="7" s="1"/>
  <c r="I336" i="6"/>
  <c r="M548" i="6"/>
  <c r="I552" i="6"/>
  <c r="I2" i="6"/>
  <c r="I117" i="6"/>
  <c r="I209" i="6"/>
  <c r="K209" i="6" s="1"/>
  <c r="B213" i="7" s="1"/>
  <c r="I20" i="6"/>
  <c r="K20" i="6" s="1"/>
  <c r="B24" i="7" s="1"/>
  <c r="J22" i="6"/>
  <c r="K22" i="6" s="1"/>
  <c r="B26" i="7" s="1"/>
  <c r="J30" i="6"/>
  <c r="J39" i="6"/>
  <c r="I44" i="6"/>
  <c r="K44" i="6" s="1"/>
  <c r="B48" i="7" s="1"/>
  <c r="I48" i="6"/>
  <c r="L53" i="6"/>
  <c r="I54" i="6"/>
  <c r="K54" i="6" s="1"/>
  <c r="B58" i="7" s="1"/>
  <c r="I59" i="6"/>
  <c r="J76" i="6"/>
  <c r="M79" i="6"/>
  <c r="I85" i="6"/>
  <c r="I88" i="6"/>
  <c r="I125" i="6"/>
  <c r="M142" i="6"/>
  <c r="J142" i="6"/>
  <c r="I149" i="6"/>
  <c r="K149" i="6" s="1"/>
  <c r="M234" i="6"/>
  <c r="J269" i="6"/>
  <c r="J277" i="6"/>
  <c r="M279" i="6"/>
  <c r="I303" i="6"/>
  <c r="K303" i="6" s="1"/>
  <c r="B307" i="7" s="1"/>
  <c r="M314" i="6"/>
  <c r="M747" i="6"/>
  <c r="J747" i="6"/>
  <c r="I471" i="6"/>
  <c r="K471" i="6" s="1"/>
  <c r="B475" i="7" s="1"/>
  <c r="I519" i="6"/>
  <c r="J535" i="6"/>
  <c r="I551" i="6"/>
  <c r="J552" i="6"/>
  <c r="L724" i="6"/>
  <c r="N922" i="6"/>
  <c r="A926" i="7" s="1"/>
  <c r="J323" i="6"/>
  <c r="K323" i="6" s="1"/>
  <c r="B327" i="7" s="1"/>
  <c r="J336" i="6"/>
  <c r="M352" i="6"/>
  <c r="M422" i="6"/>
  <c r="J472" i="6"/>
  <c r="L17" i="6"/>
  <c r="M39" i="6"/>
  <c r="J46" i="6"/>
  <c r="K46" i="6" s="1"/>
  <c r="B50" i="7" s="1"/>
  <c r="L48" i="6"/>
  <c r="L78" i="6"/>
  <c r="N78" i="6" s="1"/>
  <c r="J94" i="6"/>
  <c r="L97" i="6"/>
  <c r="J110" i="6"/>
  <c r="L112" i="6"/>
  <c r="I118" i="6"/>
  <c r="K118" i="6" s="1"/>
  <c r="B122" i="7" s="1"/>
  <c r="L125" i="6"/>
  <c r="M126" i="6"/>
  <c r="I131" i="6"/>
  <c r="K131" i="6" s="1"/>
  <c r="B135" i="7" s="1"/>
  <c r="J132" i="6"/>
  <c r="M134" i="6"/>
  <c r="J149" i="6"/>
  <c r="M151" i="6"/>
  <c r="I156" i="6"/>
  <c r="J157" i="6"/>
  <c r="J158" i="6"/>
  <c r="J191" i="6"/>
  <c r="L193" i="6"/>
  <c r="J209" i="6"/>
  <c r="M225" i="6"/>
  <c r="M230" i="6"/>
  <c r="M287" i="6"/>
  <c r="J293" i="6"/>
  <c r="M295" i="6"/>
  <c r="J301" i="6"/>
  <c r="L311" i="6"/>
  <c r="M312" i="6"/>
  <c r="J322" i="6"/>
  <c r="I323" i="6"/>
  <c r="M338" i="6"/>
  <c r="M346" i="6"/>
  <c r="L349" i="6"/>
  <c r="I351" i="6"/>
  <c r="J364" i="6"/>
  <c r="M365" i="6"/>
  <c r="K380" i="6"/>
  <c r="B384" i="7" s="1"/>
  <c r="I382" i="6"/>
  <c r="M383" i="6"/>
  <c r="K388" i="6"/>
  <c r="B392" i="7" s="1"/>
  <c r="J389" i="6"/>
  <c r="M391" i="6"/>
  <c r="J398" i="6"/>
  <c r="K423" i="6"/>
  <c r="B427" i="7" s="1"/>
  <c r="J436" i="6"/>
  <c r="J445" i="6"/>
  <c r="I488" i="6"/>
  <c r="J505" i="6"/>
  <c r="L528" i="6"/>
  <c r="N528" i="6" s="1"/>
  <c r="A532" i="7" s="1"/>
  <c r="I533" i="6"/>
  <c r="L544" i="6"/>
  <c r="M544" i="6"/>
  <c r="N700" i="6"/>
  <c r="A704" i="7" s="1"/>
  <c r="J703" i="6"/>
  <c r="J711" i="6"/>
  <c r="L808" i="6"/>
  <c r="J814" i="6"/>
  <c r="J815" i="6"/>
  <c r="L816" i="6"/>
  <c r="J822" i="6"/>
  <c r="L824" i="6"/>
  <c r="I853" i="6"/>
  <c r="M857" i="6"/>
  <c r="L857" i="6"/>
  <c r="N857" i="6" s="1"/>
  <c r="L884" i="6"/>
  <c r="J887" i="6"/>
  <c r="L908" i="6"/>
  <c r="L909" i="6"/>
  <c r="L992" i="6"/>
  <c r="I997" i="6"/>
  <c r="J300" i="6"/>
  <c r="I342" i="6"/>
  <c r="M373" i="6"/>
  <c r="N373" i="6" s="1"/>
  <c r="A377" i="7" s="1"/>
  <c r="J381" i="6"/>
  <c r="J388" i="6"/>
  <c r="I487" i="6"/>
  <c r="I61" i="6"/>
  <c r="K61" i="6" s="1"/>
  <c r="B65" i="7" s="1"/>
  <c r="I64" i="6"/>
  <c r="K64" i="6" s="1"/>
  <c r="B68" i="7" s="1"/>
  <c r="I66" i="6"/>
  <c r="L69" i="6"/>
  <c r="N69" i="6" s="1"/>
  <c r="A73" i="7" s="1"/>
  <c r="I78" i="6"/>
  <c r="K78" i="6" s="1"/>
  <c r="B82" i="7" s="1"/>
  <c r="L85" i="6"/>
  <c r="M86" i="6"/>
  <c r="I91" i="6"/>
  <c r="J92" i="6"/>
  <c r="L96" i="6"/>
  <c r="J102" i="6"/>
  <c r="M110" i="6"/>
  <c r="M112" i="6"/>
  <c r="I116" i="6"/>
  <c r="M120" i="6"/>
  <c r="J130" i="6"/>
  <c r="I170" i="6"/>
  <c r="M183" i="6"/>
  <c r="I188" i="6"/>
  <c r="K188" i="6" s="1"/>
  <c r="B192" i="7" s="1"/>
  <c r="J189" i="6"/>
  <c r="M191" i="6"/>
  <c r="I198" i="6"/>
  <c r="J232" i="6"/>
  <c r="I241" i="6"/>
  <c r="K241" i="6" s="1"/>
  <c r="B245" i="7" s="1"/>
  <c r="J253" i="6"/>
  <c r="J279" i="6"/>
  <c r="M281" i="6"/>
  <c r="M282" i="6"/>
  <c r="J291" i="6"/>
  <c r="I292" i="6"/>
  <c r="M293" i="6"/>
  <c r="I298" i="6"/>
  <c r="K298" i="6" s="1"/>
  <c r="B302" i="7" s="1"/>
  <c r="M301" i="6"/>
  <c r="J342" i="6"/>
  <c r="M344" i="6"/>
  <c r="I378" i="6"/>
  <c r="M381" i="6"/>
  <c r="I486" i="6"/>
  <c r="I556" i="6"/>
  <c r="L561" i="6"/>
  <c r="J567" i="6"/>
  <c r="K582" i="6"/>
  <c r="B586" i="7" s="1"/>
  <c r="I586" i="6"/>
  <c r="K586" i="6" s="1"/>
  <c r="B590" i="7" s="1"/>
  <c r="J702" i="6"/>
  <c r="L834" i="6"/>
  <c r="J845" i="6"/>
  <c r="L580" i="6"/>
  <c r="I603" i="6"/>
  <c r="K603" i="6" s="1"/>
  <c r="B607" i="7" s="1"/>
  <c r="M616" i="6"/>
  <c r="L616" i="6"/>
  <c r="N616" i="6" s="1"/>
  <c r="A620" i="7" s="1"/>
  <c r="L652" i="6"/>
  <c r="N652" i="6" s="1"/>
  <c r="A656" i="7" s="1"/>
  <c r="I674" i="6"/>
  <c r="L833" i="6"/>
  <c r="N833" i="6" s="1"/>
  <c r="L578" i="6"/>
  <c r="J587" i="6"/>
  <c r="M652" i="6"/>
  <c r="J779" i="6"/>
  <c r="M789" i="6"/>
  <c r="L599" i="6"/>
  <c r="M600" i="6"/>
  <c r="I638" i="6"/>
  <c r="J715" i="6"/>
  <c r="N737" i="6"/>
  <c r="J785" i="6"/>
  <c r="L788" i="6"/>
  <c r="M950" i="6"/>
  <c r="N797" i="6"/>
  <c r="M801" i="6"/>
  <c r="J803" i="6"/>
  <c r="I810" i="6"/>
  <c r="J819" i="6"/>
  <c r="L882" i="6"/>
  <c r="N882" i="6" s="1"/>
  <c r="A886" i="7" s="1"/>
  <c r="L937" i="6"/>
  <c r="L945" i="6"/>
  <c r="M960" i="6"/>
  <c r="I970" i="6"/>
  <c r="I972" i="6"/>
  <c r="L984" i="6"/>
  <c r="M277" i="6"/>
  <c r="M302" i="6"/>
  <c r="I306" i="6"/>
  <c r="K306" i="6" s="1"/>
  <c r="B310" i="7" s="1"/>
  <c r="L326" i="6"/>
  <c r="L327" i="6"/>
  <c r="I333" i="6"/>
  <c r="K333" i="6" s="1"/>
  <c r="B337" i="7" s="1"/>
  <c r="I363" i="6"/>
  <c r="M377" i="6"/>
  <c r="J396" i="6"/>
  <c r="M398" i="6"/>
  <c r="I402" i="6"/>
  <c r="K402" i="6" s="1"/>
  <c r="B406" i="7" s="1"/>
  <c r="M407" i="6"/>
  <c r="I412" i="6"/>
  <c r="K412" i="6" s="1"/>
  <c r="B416" i="7" s="1"/>
  <c r="J413" i="6"/>
  <c r="M415" i="6"/>
  <c r="I435" i="6"/>
  <c r="L504" i="6"/>
  <c r="J511" i="6"/>
  <c r="K511" i="6" s="1"/>
  <c r="B515" i="7" s="1"/>
  <c r="L516" i="6"/>
  <c r="N516" i="6" s="1"/>
  <c r="A520" i="7" s="1"/>
  <c r="I518" i="6"/>
  <c r="J541" i="6"/>
  <c r="I542" i="6"/>
  <c r="M543" i="6"/>
  <c r="L543" i="6"/>
  <c r="N543" i="6" s="1"/>
  <c r="I550" i="6"/>
  <c r="J551" i="6"/>
  <c r="K551" i="6" s="1"/>
  <c r="B555" i="7" s="1"/>
  <c r="I628" i="6"/>
  <c r="I669" i="6"/>
  <c r="J670" i="6"/>
  <c r="L696" i="6"/>
  <c r="M726" i="6"/>
  <c r="N726" i="6" s="1"/>
  <c r="O726" i="6" s="1"/>
  <c r="J729" i="6"/>
  <c r="M761" i="6"/>
  <c r="I883" i="6"/>
  <c r="J903" i="6"/>
  <c r="I904" i="6"/>
  <c r="I938" i="6"/>
  <c r="L953" i="6"/>
  <c r="M15" i="6"/>
  <c r="M31" i="6"/>
  <c r="I32" i="6"/>
  <c r="I41" i="6"/>
  <c r="J42" i="6"/>
  <c r="K42" i="6" s="1"/>
  <c r="B46" i="7" s="1"/>
  <c r="J43" i="6"/>
  <c r="L45" i="6"/>
  <c r="M46" i="6"/>
  <c r="L57" i="6"/>
  <c r="J68" i="6"/>
  <c r="K68" i="6" s="1"/>
  <c r="B72" i="7" s="1"/>
  <c r="J69" i="6"/>
  <c r="I96" i="6"/>
  <c r="J112" i="6"/>
  <c r="I114" i="6"/>
  <c r="J128" i="6"/>
  <c r="M133" i="6"/>
  <c r="L145" i="6"/>
  <c r="M149" i="6"/>
  <c r="I155" i="6"/>
  <c r="J156" i="6"/>
  <c r="M160" i="6"/>
  <c r="I165" i="6"/>
  <c r="J172" i="6"/>
  <c r="L173" i="6"/>
  <c r="I179" i="6"/>
  <c r="L185" i="6"/>
  <c r="J196" i="6"/>
  <c r="K196" i="6" s="1"/>
  <c r="B200" i="7" s="1"/>
  <c r="J197" i="6"/>
  <c r="I212" i="6"/>
  <c r="J225" i="6"/>
  <c r="I233" i="6"/>
  <c r="L241" i="6"/>
  <c r="N241" i="6" s="1"/>
  <c r="J242" i="6"/>
  <c r="L262" i="6"/>
  <c r="J264" i="6"/>
  <c r="I273" i="6"/>
  <c r="K273" i="6" s="1"/>
  <c r="B277" i="7" s="1"/>
  <c r="L279" i="6"/>
  <c r="N279" i="6" s="1"/>
  <c r="O279" i="6" s="1"/>
  <c r="L290" i="6"/>
  <c r="I295" i="6"/>
  <c r="J296" i="6"/>
  <c r="J306" i="6"/>
  <c r="I307" i="6"/>
  <c r="M327" i="6"/>
  <c r="J332" i="6"/>
  <c r="K332" i="6" s="1"/>
  <c r="B336" i="7" s="1"/>
  <c r="L341" i="6"/>
  <c r="I362" i="6"/>
  <c r="L376" i="6"/>
  <c r="I432" i="6"/>
  <c r="I434" i="6"/>
  <c r="I460" i="6"/>
  <c r="N484" i="6"/>
  <c r="A488" i="7" s="1"/>
  <c r="I492" i="6"/>
  <c r="J493" i="6"/>
  <c r="I494" i="6"/>
  <c r="J501" i="6"/>
  <c r="I502" i="6"/>
  <c r="L503" i="6"/>
  <c r="M503" i="6"/>
  <c r="M520" i="6"/>
  <c r="I524" i="6"/>
  <c r="L556" i="6"/>
  <c r="M597" i="6"/>
  <c r="N604" i="6"/>
  <c r="A608" i="7" s="1"/>
  <c r="I608" i="6"/>
  <c r="I615" i="6"/>
  <c r="I625" i="6"/>
  <c r="L628" i="6"/>
  <c r="I651" i="6"/>
  <c r="J652" i="6"/>
  <c r="I659" i="6"/>
  <c r="I670" i="6"/>
  <c r="J780" i="6"/>
  <c r="L843" i="6"/>
  <c r="J848" i="6"/>
  <c r="J851" i="6"/>
  <c r="M853" i="6"/>
  <c r="J867" i="6"/>
  <c r="J868" i="6"/>
  <c r="L877" i="6"/>
  <c r="N886" i="6"/>
  <c r="I909" i="6"/>
  <c r="I916" i="6"/>
  <c r="L941" i="6"/>
  <c r="M946" i="6"/>
  <c r="N946" i="6" s="1"/>
  <c r="O946" i="6" s="1"/>
  <c r="I948" i="6"/>
  <c r="M957" i="6"/>
  <c r="M992" i="6"/>
  <c r="L135" i="6"/>
  <c r="I140" i="6"/>
  <c r="L157" i="6"/>
  <c r="M159" i="6"/>
  <c r="I169" i="6"/>
  <c r="J170" i="6"/>
  <c r="K170" i="6" s="1"/>
  <c r="B174" i="7" s="1"/>
  <c r="J171" i="6"/>
  <c r="L175" i="6"/>
  <c r="I193" i="6"/>
  <c r="J194" i="6"/>
  <c r="M198" i="6"/>
  <c r="I204" i="6"/>
  <c r="K204" i="6" s="1"/>
  <c r="B208" i="7" s="1"/>
  <c r="J205" i="6"/>
  <c r="M218" i="6"/>
  <c r="M241" i="6"/>
  <c r="I260" i="6"/>
  <c r="J273" i="6"/>
  <c r="M289" i="6"/>
  <c r="I294" i="6"/>
  <c r="J295" i="6"/>
  <c r="M297" i="6"/>
  <c r="M303" i="6"/>
  <c r="I304" i="6"/>
  <c r="J311" i="6"/>
  <c r="J314" i="6"/>
  <c r="K314" i="6" s="1"/>
  <c r="B318" i="7" s="1"/>
  <c r="I318" i="6"/>
  <c r="J330" i="6"/>
  <c r="K330" i="6" s="1"/>
  <c r="B334" i="7" s="1"/>
  <c r="M335" i="6"/>
  <c r="L337" i="6"/>
  <c r="N337" i="6" s="1"/>
  <c r="J360" i="6"/>
  <c r="L362" i="6"/>
  <c r="L386" i="6"/>
  <c r="J432" i="6"/>
  <c r="I439" i="6"/>
  <c r="M445" i="6"/>
  <c r="M462" i="6"/>
  <c r="M504" i="6"/>
  <c r="I516" i="6"/>
  <c r="I547" i="6"/>
  <c r="J578" i="6"/>
  <c r="M588" i="6"/>
  <c r="J590" i="6"/>
  <c r="I607" i="6"/>
  <c r="L614" i="6"/>
  <c r="I624" i="6"/>
  <c r="K624" i="6" s="1"/>
  <c r="B628" i="7" s="1"/>
  <c r="J699" i="6"/>
  <c r="J708" i="6"/>
  <c r="I717" i="6"/>
  <c r="J724" i="6"/>
  <c r="I725" i="6"/>
  <c r="M734" i="6"/>
  <c r="M754" i="6"/>
  <c r="M767" i="6"/>
  <c r="M803" i="6"/>
  <c r="L829" i="6"/>
  <c r="J832" i="6"/>
  <c r="I839" i="6"/>
  <c r="K839" i="6" s="1"/>
  <c r="B843" i="7" s="1"/>
  <c r="L845" i="6"/>
  <c r="J849" i="6"/>
  <c r="J872" i="6"/>
  <c r="N925" i="6"/>
  <c r="L978" i="6"/>
  <c r="N978" i="6" s="1"/>
  <c r="O978" i="6" s="1"/>
  <c r="J397" i="6"/>
  <c r="J414" i="6"/>
  <c r="L421" i="6"/>
  <c r="N421" i="6" s="1"/>
  <c r="J428" i="6"/>
  <c r="J431" i="6"/>
  <c r="M447" i="6"/>
  <c r="L448" i="6"/>
  <c r="N448" i="6" s="1"/>
  <c r="O448" i="6" s="1"/>
  <c r="J465" i="6"/>
  <c r="L493" i="6"/>
  <c r="I500" i="6"/>
  <c r="M505" i="6"/>
  <c r="M508" i="6"/>
  <c r="M516" i="6"/>
  <c r="J531" i="6"/>
  <c r="I541" i="6"/>
  <c r="K541" i="6" s="1"/>
  <c r="B545" i="7" s="1"/>
  <c r="J542" i="6"/>
  <c r="K542" i="6" s="1"/>
  <c r="B546" i="7" s="1"/>
  <c r="I546" i="6"/>
  <c r="L554" i="6"/>
  <c r="I562" i="6"/>
  <c r="J573" i="6"/>
  <c r="I574" i="6"/>
  <c r="M575" i="6"/>
  <c r="J595" i="6"/>
  <c r="L600" i="6"/>
  <c r="N600" i="6" s="1"/>
  <c r="A604" i="7" s="1"/>
  <c r="J603" i="6"/>
  <c r="L612" i="6"/>
  <c r="N612" i="6" s="1"/>
  <c r="I623" i="6"/>
  <c r="J624" i="6"/>
  <c r="J633" i="6"/>
  <c r="J634" i="6"/>
  <c r="M648" i="6"/>
  <c r="N648" i="6" s="1"/>
  <c r="I650" i="6"/>
  <c r="K650" i="6" s="1"/>
  <c r="B654" i="7" s="1"/>
  <c r="L653" i="6"/>
  <c r="I660" i="6"/>
  <c r="M713" i="6"/>
  <c r="I718" i="6"/>
  <c r="J719" i="6"/>
  <c r="I727" i="6"/>
  <c r="J728" i="6"/>
  <c r="L733" i="6"/>
  <c r="L734" i="6"/>
  <c r="L754" i="6"/>
  <c r="J757" i="6"/>
  <c r="J765" i="6"/>
  <c r="I782" i="6"/>
  <c r="J783" i="6"/>
  <c r="L801" i="6"/>
  <c r="I803" i="6"/>
  <c r="K803" i="6" s="1"/>
  <c r="B807" i="7" s="1"/>
  <c r="J804" i="6"/>
  <c r="L809" i="6"/>
  <c r="I819" i="6"/>
  <c r="L862" i="6"/>
  <c r="J871" i="6"/>
  <c r="M898" i="6"/>
  <c r="I911" i="6"/>
  <c r="K911" i="6" s="1"/>
  <c r="B915" i="7" s="1"/>
  <c r="J915" i="6"/>
  <c r="I935" i="6"/>
  <c r="L944" i="6"/>
  <c r="I946" i="6"/>
  <c r="M954" i="6"/>
  <c r="I957" i="6"/>
  <c r="I958" i="6"/>
  <c r="I983" i="6"/>
  <c r="M984" i="6"/>
  <c r="N984" i="6" s="1"/>
  <c r="M990" i="6"/>
  <c r="I992" i="6"/>
  <c r="I395" i="6"/>
  <c r="I399" i="6"/>
  <c r="K399" i="6" s="1"/>
  <c r="B403" i="7" s="1"/>
  <c r="I403" i="6"/>
  <c r="M405" i="6"/>
  <c r="I430" i="6"/>
  <c r="M431" i="6"/>
  <c r="M439" i="6"/>
  <c r="M440" i="6"/>
  <c r="I455" i="6"/>
  <c r="M456" i="6"/>
  <c r="I464" i="6"/>
  <c r="L465" i="6"/>
  <c r="J471" i="6"/>
  <c r="I498" i="6"/>
  <c r="M499" i="6"/>
  <c r="M524" i="6"/>
  <c r="M532" i="6"/>
  <c r="L552" i="6"/>
  <c r="M556" i="6"/>
  <c r="I559" i="6"/>
  <c r="K559" i="6" s="1"/>
  <c r="B563" i="7" s="1"/>
  <c r="I567" i="6"/>
  <c r="K567" i="6" s="1"/>
  <c r="B571" i="7" s="1"/>
  <c r="J571" i="6"/>
  <c r="L586" i="6"/>
  <c r="I590" i="6"/>
  <c r="I592" i="6"/>
  <c r="I594" i="6"/>
  <c r="M599" i="6"/>
  <c r="I621" i="6"/>
  <c r="J622" i="6"/>
  <c r="K622" i="6" s="1"/>
  <c r="B626" i="7" s="1"/>
  <c r="I632" i="6"/>
  <c r="M651" i="6"/>
  <c r="I656" i="6"/>
  <c r="I658" i="6"/>
  <c r="M663" i="6"/>
  <c r="I665" i="6"/>
  <c r="I675" i="6"/>
  <c r="L692" i="6"/>
  <c r="N692" i="6" s="1"/>
  <c r="M704" i="6"/>
  <c r="I705" i="6"/>
  <c r="L712" i="6"/>
  <c r="J723" i="6"/>
  <c r="L729" i="6"/>
  <c r="L752" i="6"/>
  <c r="M757" i="6"/>
  <c r="I801" i="6"/>
  <c r="L850" i="6"/>
  <c r="N850" i="6" s="1"/>
  <c r="O850" i="6" s="1"/>
  <c r="M861" i="6"/>
  <c r="J864" i="6"/>
  <c r="M877" i="6"/>
  <c r="I878" i="6"/>
  <c r="I880" i="6"/>
  <c r="L881" i="6"/>
  <c r="L888" i="6"/>
  <c r="I890" i="6"/>
  <c r="J891" i="6"/>
  <c r="J902" i="6"/>
  <c r="L918" i="6"/>
  <c r="N918" i="6" s="1"/>
  <c r="A922" i="7" s="1"/>
  <c r="I933" i="6"/>
  <c r="I942" i="6"/>
  <c r="I944" i="6"/>
  <c r="L961" i="6"/>
  <c r="M968" i="6"/>
  <c r="M978" i="6"/>
  <c r="L981" i="6"/>
  <c r="L997" i="6"/>
  <c r="L1000" i="6"/>
  <c r="I391" i="6"/>
  <c r="K391" i="6" s="1"/>
  <c r="B395" i="7" s="1"/>
  <c r="J392" i="6"/>
  <c r="I398" i="6"/>
  <c r="M399" i="6"/>
  <c r="I410" i="6"/>
  <c r="K410" i="6" s="1"/>
  <c r="B414" i="7" s="1"/>
  <c r="M413" i="6"/>
  <c r="I447" i="6"/>
  <c r="I469" i="6"/>
  <c r="L472" i="6"/>
  <c r="J496" i="6"/>
  <c r="I520" i="6"/>
  <c r="K520" i="6" s="1"/>
  <c r="J539" i="6"/>
  <c r="I557" i="6"/>
  <c r="J558" i="6"/>
  <c r="K558" i="6" s="1"/>
  <c r="B562" i="7" s="1"/>
  <c r="J559" i="6"/>
  <c r="M573" i="6"/>
  <c r="J579" i="6"/>
  <c r="K579" i="6" s="1"/>
  <c r="B583" i="7" s="1"/>
  <c r="J580" i="6"/>
  <c r="I588" i="6"/>
  <c r="J592" i="6"/>
  <c r="I599" i="6"/>
  <c r="M608" i="6"/>
  <c r="N608" i="6" s="1"/>
  <c r="I655" i="6"/>
  <c r="L659" i="6"/>
  <c r="J664" i="6"/>
  <c r="L691" i="6"/>
  <c r="N691" i="6" s="1"/>
  <c r="J752" i="6"/>
  <c r="J754" i="6"/>
  <c r="L769" i="6"/>
  <c r="N769" i="6" s="1"/>
  <c r="I771" i="6"/>
  <c r="L822" i="6"/>
  <c r="L830" i="6"/>
  <c r="J835" i="6"/>
  <c r="J836" i="6"/>
  <c r="L837" i="6"/>
  <c r="N837" i="6" s="1"/>
  <c r="I877" i="6"/>
  <c r="I879" i="6"/>
  <c r="L880" i="6"/>
  <c r="M894" i="6"/>
  <c r="I910" i="6"/>
  <c r="I917" i="6"/>
  <c r="I941" i="6"/>
  <c r="L950" i="6"/>
  <c r="I952" i="6"/>
  <c r="I975" i="6"/>
  <c r="L977" i="6"/>
  <c r="M981" i="6"/>
  <c r="L989" i="6"/>
  <c r="I999" i="6"/>
  <c r="M1000" i="6"/>
  <c r="K519" i="6"/>
  <c r="B523" i="7" s="1"/>
  <c r="K195" i="6"/>
  <c r="B199" i="7" s="1"/>
  <c r="M238" i="6"/>
  <c r="J238" i="6"/>
  <c r="N21" i="6"/>
  <c r="A25" i="7" s="1"/>
  <c r="L245" i="6"/>
  <c r="I245" i="6"/>
  <c r="K245" i="6" s="1"/>
  <c r="B249" i="7" s="1"/>
  <c r="M514" i="6"/>
  <c r="L514" i="6"/>
  <c r="N514" i="6" s="1"/>
  <c r="L80" i="6"/>
  <c r="M80" i="6"/>
  <c r="N32" i="6"/>
  <c r="A36" i="7" s="1"/>
  <c r="N61" i="6"/>
  <c r="P61" i="6" s="1"/>
  <c r="Q61" i="6" s="1"/>
  <c r="I142" i="6"/>
  <c r="M254" i="6"/>
  <c r="J254" i="6"/>
  <c r="L38" i="6"/>
  <c r="I38" i="6"/>
  <c r="K38" i="6" s="1"/>
  <c r="B42" i="7" s="1"/>
  <c r="K96" i="6"/>
  <c r="B100" i="7" s="1"/>
  <c r="K147" i="6"/>
  <c r="B151" i="7" s="1"/>
  <c r="L261" i="6"/>
  <c r="I261" i="6"/>
  <c r="K261" i="6" s="1"/>
  <c r="B265" i="7" s="1"/>
  <c r="L298" i="6"/>
  <c r="M298" i="6"/>
  <c r="K30" i="6"/>
  <c r="B34" i="7" s="1"/>
  <c r="J141" i="6"/>
  <c r="L184" i="6"/>
  <c r="M184" i="6"/>
  <c r="N200" i="6"/>
  <c r="M222" i="6"/>
  <c r="J222" i="6"/>
  <c r="K260" i="6"/>
  <c r="B264" i="7" s="1"/>
  <c r="K4" i="6"/>
  <c r="B8" i="7" s="1"/>
  <c r="J3" i="6"/>
  <c r="I3" i="6"/>
  <c r="M452" i="6"/>
  <c r="L452" i="6"/>
  <c r="N580" i="6"/>
  <c r="J190" i="6"/>
  <c r="I190" i="6"/>
  <c r="M206" i="6"/>
  <c r="J206" i="6"/>
  <c r="L213" i="6"/>
  <c r="N213" i="6" s="1"/>
  <c r="I213" i="6"/>
  <c r="K213" i="6" s="1"/>
  <c r="B217" i="7" s="1"/>
  <c r="L501" i="6"/>
  <c r="M501" i="6"/>
  <c r="M88" i="6"/>
  <c r="N88" i="6" s="1"/>
  <c r="A92" i="7" s="1"/>
  <c r="L88" i="6"/>
  <c r="J140" i="6"/>
  <c r="K140" i="6" s="1"/>
  <c r="B144" i="7" s="1"/>
  <c r="M144" i="6"/>
  <c r="L144" i="6"/>
  <c r="N209" i="6"/>
  <c r="A213" i="7" s="1"/>
  <c r="L229" i="6"/>
  <c r="I229" i="6"/>
  <c r="M270" i="6"/>
  <c r="J270" i="6"/>
  <c r="N375" i="6"/>
  <c r="L520" i="6"/>
  <c r="N520" i="6" s="1"/>
  <c r="O520" i="6" s="1"/>
  <c r="L524" i="6"/>
  <c r="N524" i="6" s="1"/>
  <c r="M595" i="6"/>
  <c r="L595" i="6"/>
  <c r="L962" i="6"/>
  <c r="N962" i="6" s="1"/>
  <c r="A966" i="7" s="1"/>
  <c r="M962" i="6"/>
  <c r="K13" i="6"/>
  <c r="B17" i="7" s="1"/>
  <c r="M69" i="6"/>
  <c r="N135" i="6"/>
  <c r="M668" i="6"/>
  <c r="L668" i="6"/>
  <c r="N668" i="6" s="1"/>
  <c r="I12" i="6"/>
  <c r="K12" i="6" s="1"/>
  <c r="B16" i="7" s="1"/>
  <c r="L16" i="6"/>
  <c r="N16" i="6" s="1"/>
  <c r="I153" i="6"/>
  <c r="J200" i="6"/>
  <c r="J203" i="6"/>
  <c r="L322" i="6"/>
  <c r="M322" i="6"/>
  <c r="K351" i="6"/>
  <c r="B355" i="7" s="1"/>
  <c r="K431" i="6"/>
  <c r="B435" i="7" s="1"/>
  <c r="M580" i="6"/>
  <c r="I21" i="6"/>
  <c r="L56" i="6"/>
  <c r="N56" i="6" s="1"/>
  <c r="A60" i="7" s="1"/>
  <c r="I72" i="6"/>
  <c r="I89" i="6"/>
  <c r="J91" i="6"/>
  <c r="M111" i="6"/>
  <c r="I126" i="6"/>
  <c r="J135" i="6"/>
  <c r="J138" i="6"/>
  <c r="I154" i="6"/>
  <c r="L160" i="6"/>
  <c r="N160" i="6" s="1"/>
  <c r="O160" i="6" s="1"/>
  <c r="J181" i="6"/>
  <c r="K181" i="6" s="1"/>
  <c r="B185" i="7" s="1"/>
  <c r="L357" i="6"/>
  <c r="N357" i="6" s="1"/>
  <c r="M423" i="6"/>
  <c r="M488" i="6"/>
  <c r="N488" i="6" s="1"/>
  <c r="J569" i="6"/>
  <c r="J772" i="6"/>
  <c r="N950" i="6"/>
  <c r="M994" i="6"/>
  <c r="L994" i="6"/>
  <c r="J27" i="6"/>
  <c r="K27" i="6" s="1"/>
  <c r="B31" i="7" s="1"/>
  <c r="M47" i="6"/>
  <c r="J71" i="6"/>
  <c r="J75" i="6"/>
  <c r="L165" i="6"/>
  <c r="N165" i="6" s="1"/>
  <c r="I171" i="6"/>
  <c r="K171" i="6" s="1"/>
  <c r="B175" i="7" s="1"/>
  <c r="K179" i="6"/>
  <c r="B183" i="7" s="1"/>
  <c r="I211" i="6"/>
  <c r="K211" i="6" s="1"/>
  <c r="B215" i="7" s="1"/>
  <c r="I227" i="6"/>
  <c r="K227" i="6" s="1"/>
  <c r="B231" i="7" s="1"/>
  <c r="L255" i="6"/>
  <c r="L271" i="6"/>
  <c r="N182" i="6"/>
  <c r="M192" i="6"/>
  <c r="L192" i="6"/>
  <c r="N246" i="6"/>
  <c r="M311" i="6"/>
  <c r="N311" i="6" s="1"/>
  <c r="A315" i="7" s="1"/>
  <c r="L434" i="6"/>
  <c r="M434" i="6"/>
  <c r="N434" i="6" s="1"/>
  <c r="M500" i="6"/>
  <c r="L500" i="6"/>
  <c r="L540" i="6"/>
  <c r="M540" i="6"/>
  <c r="M584" i="6"/>
  <c r="L584" i="6"/>
  <c r="M678" i="6"/>
  <c r="L678" i="6"/>
  <c r="N801" i="6"/>
  <c r="L14" i="6"/>
  <c r="N14" i="6" s="1"/>
  <c r="O14" i="6" s="1"/>
  <c r="K19" i="6"/>
  <c r="B23" i="7" s="1"/>
  <c r="M21" i="6"/>
  <c r="J29" i="6"/>
  <c r="I50" i="6"/>
  <c r="J111" i="6"/>
  <c r="M125" i="6"/>
  <c r="N125" i="6" s="1"/>
  <c r="I139" i="6"/>
  <c r="K139" i="6" s="1"/>
  <c r="B143" i="7" s="1"/>
  <c r="L143" i="6"/>
  <c r="N143" i="6" s="1"/>
  <c r="I200" i="6"/>
  <c r="K200" i="6" s="1"/>
  <c r="B204" i="7" s="1"/>
  <c r="L296" i="6"/>
  <c r="N296" i="6" s="1"/>
  <c r="M296" i="6"/>
  <c r="I311" i="6"/>
  <c r="K311" i="6" s="1"/>
  <c r="B315" i="7" s="1"/>
  <c r="I320" i="6"/>
  <c r="K473" i="6"/>
  <c r="B477" i="7" s="1"/>
  <c r="K487" i="6"/>
  <c r="B491" i="7" s="1"/>
  <c r="M577" i="6"/>
  <c r="L631" i="6"/>
  <c r="M631" i="6"/>
  <c r="M640" i="6"/>
  <c r="L640" i="6"/>
  <c r="J665" i="6"/>
  <c r="K665" i="6" s="1"/>
  <c r="B669" i="7" s="1"/>
  <c r="J695" i="6"/>
  <c r="I75" i="6"/>
  <c r="K75" i="6" s="1"/>
  <c r="B79" i="7" s="1"/>
  <c r="L120" i="6"/>
  <c r="N120" i="6" s="1"/>
  <c r="O120" i="6" s="1"/>
  <c r="I136" i="6"/>
  <c r="J154" i="6"/>
  <c r="L183" i="6"/>
  <c r="J199" i="6"/>
  <c r="J202" i="6"/>
  <c r="I310" i="6"/>
  <c r="K310" i="6" s="1"/>
  <c r="B314" i="7" s="1"/>
  <c r="N349" i="6"/>
  <c r="M358" i="6"/>
  <c r="J473" i="6"/>
  <c r="I569" i="6"/>
  <c r="K569" i="6" s="1"/>
  <c r="B573" i="7" s="1"/>
  <c r="M572" i="6"/>
  <c r="L572" i="6"/>
  <c r="N572" i="6" s="1"/>
  <c r="I11" i="6"/>
  <c r="L15" i="6"/>
  <c r="N15" i="6" s="1"/>
  <c r="A19" i="7" s="1"/>
  <c r="J90" i="6"/>
  <c r="L119" i="6"/>
  <c r="N119" i="6" s="1"/>
  <c r="A123" i="7" s="1"/>
  <c r="J136" i="6"/>
  <c r="J139" i="6"/>
  <c r="K343" i="6"/>
  <c r="B347" i="7" s="1"/>
  <c r="M370" i="6"/>
  <c r="N370" i="6" s="1"/>
  <c r="L384" i="6"/>
  <c r="N384" i="6" s="1"/>
  <c r="M384" i="6"/>
  <c r="M386" i="6"/>
  <c r="N386" i="6" s="1"/>
  <c r="A390" i="7" s="1"/>
  <c r="M406" i="6"/>
  <c r="M476" i="6"/>
  <c r="N476" i="6" s="1"/>
  <c r="M646" i="6"/>
  <c r="L646" i="6"/>
  <c r="N646" i="6" s="1"/>
  <c r="O646" i="6" s="1"/>
  <c r="L735" i="6"/>
  <c r="M735" i="6"/>
  <c r="J26" i="6"/>
  <c r="L33" i="6"/>
  <c r="I62" i="6"/>
  <c r="K62" i="6" s="1"/>
  <c r="B66" i="7" s="1"/>
  <c r="J72" i="6"/>
  <c r="J74" i="6"/>
  <c r="I90" i="6"/>
  <c r="J152" i="6"/>
  <c r="L159" i="6"/>
  <c r="K165" i="6"/>
  <c r="M173" i="6"/>
  <c r="N173" i="6" s="1"/>
  <c r="A177" i="7" s="1"/>
  <c r="J180" i="6"/>
  <c r="J195" i="6"/>
  <c r="L223" i="6"/>
  <c r="L239" i="6"/>
  <c r="I243" i="6"/>
  <c r="I279" i="6"/>
  <c r="J309" i="6"/>
  <c r="N341" i="6"/>
  <c r="L359" i="6"/>
  <c r="N359" i="6" s="1"/>
  <c r="I364" i="6"/>
  <c r="K364" i="6" s="1"/>
  <c r="B368" i="7" s="1"/>
  <c r="M366" i="6"/>
  <c r="M376" i="6"/>
  <c r="N376" i="6" s="1"/>
  <c r="O376" i="6" s="1"/>
  <c r="M378" i="6"/>
  <c r="N378" i="6" s="1"/>
  <c r="O378" i="6" s="1"/>
  <c r="M382" i="6"/>
  <c r="L402" i="6"/>
  <c r="M402" i="6"/>
  <c r="J625" i="6"/>
  <c r="K759" i="6"/>
  <c r="B763" i="7" s="1"/>
  <c r="L773" i="6"/>
  <c r="J6" i="6"/>
  <c r="J7" i="6"/>
  <c r="J8" i="6"/>
  <c r="I9" i="6"/>
  <c r="J10" i="6"/>
  <c r="J11" i="6"/>
  <c r="I24" i="6"/>
  <c r="I26" i="6"/>
  <c r="J53" i="6"/>
  <c r="K53" i="6" s="1"/>
  <c r="B57" i="7" s="1"/>
  <c r="L95" i="6"/>
  <c r="N95" i="6" s="1"/>
  <c r="A99" i="7" s="1"/>
  <c r="M96" i="6"/>
  <c r="N96" i="6" s="1"/>
  <c r="I101" i="6"/>
  <c r="K101" i="6" s="1"/>
  <c r="L101" i="6"/>
  <c r="N101" i="6" s="1"/>
  <c r="I108" i="6"/>
  <c r="K108" i="6" s="1"/>
  <c r="B112" i="7" s="1"/>
  <c r="I115" i="6"/>
  <c r="J116" i="6"/>
  <c r="K116" i="6" s="1"/>
  <c r="B120" i="7" s="1"/>
  <c r="J131" i="6"/>
  <c r="J151" i="6"/>
  <c r="N175" i="6"/>
  <c r="I192" i="6"/>
  <c r="L215" i="6"/>
  <c r="I221" i="6"/>
  <c r="K221" i="6" s="1"/>
  <c r="B225" i="7" s="1"/>
  <c r="L221" i="6"/>
  <c r="M229" i="6"/>
  <c r="L231" i="6"/>
  <c r="M233" i="6"/>
  <c r="I237" i="6"/>
  <c r="L237" i="6"/>
  <c r="M245" i="6"/>
  <c r="L247" i="6"/>
  <c r="M249" i="6"/>
  <c r="I253" i="6"/>
  <c r="L253" i="6"/>
  <c r="M261" i="6"/>
  <c r="L263" i="6"/>
  <c r="M265" i="6"/>
  <c r="I269" i="6"/>
  <c r="K269" i="6" s="1"/>
  <c r="B273" i="7" s="1"/>
  <c r="L269" i="6"/>
  <c r="I276" i="6"/>
  <c r="K276" i="6" s="1"/>
  <c r="B280" i="7" s="1"/>
  <c r="I278" i="6"/>
  <c r="I287" i="6"/>
  <c r="K287" i="6" s="1"/>
  <c r="B291" i="7" s="1"/>
  <c r="M288" i="6"/>
  <c r="N288" i="6" s="1"/>
  <c r="J292" i="6"/>
  <c r="K292" i="6" s="1"/>
  <c r="B296" i="7" s="1"/>
  <c r="I299" i="6"/>
  <c r="J308" i="6"/>
  <c r="I340" i="6"/>
  <c r="K340" i="6" s="1"/>
  <c r="B344" i="7" s="1"/>
  <c r="I348" i="6"/>
  <c r="J349" i="6"/>
  <c r="J350" i="6"/>
  <c r="I352" i="6"/>
  <c r="J354" i="6"/>
  <c r="M360" i="6"/>
  <c r="N360" i="6" s="1"/>
  <c r="M362" i="6"/>
  <c r="N362" i="6" s="1"/>
  <c r="J373" i="6"/>
  <c r="J374" i="6"/>
  <c r="L381" i="6"/>
  <c r="N381" i="6" s="1"/>
  <c r="J390" i="6"/>
  <c r="M438" i="6"/>
  <c r="L439" i="6"/>
  <c r="N439" i="6" s="1"/>
  <c r="M454" i="6"/>
  <c r="L454" i="6"/>
  <c r="M464" i="6"/>
  <c r="L464" i="6"/>
  <c r="M494" i="6"/>
  <c r="L494" i="6"/>
  <c r="N503" i="6"/>
  <c r="A507" i="7" s="1"/>
  <c r="L527" i="6"/>
  <c r="N527" i="6" s="1"/>
  <c r="L533" i="6"/>
  <c r="M533" i="6"/>
  <c r="I540" i="6"/>
  <c r="L560" i="6"/>
  <c r="J739" i="6"/>
  <c r="J740" i="6"/>
  <c r="L745" i="6"/>
  <c r="L748" i="6"/>
  <c r="J751" i="6"/>
  <c r="L790" i="6"/>
  <c r="N790" i="6" s="1"/>
  <c r="O790" i="6" s="1"/>
  <c r="M790" i="6"/>
  <c r="L842" i="6"/>
  <c r="M842" i="6"/>
  <c r="L852" i="6"/>
  <c r="K522" i="6"/>
  <c r="B526" i="7" s="1"/>
  <c r="N546" i="6"/>
  <c r="O546" i="6" s="1"/>
  <c r="M814" i="6"/>
  <c r="L814" i="6"/>
  <c r="L13" i="6"/>
  <c r="M24" i="6"/>
  <c r="L24" i="6"/>
  <c r="K48" i="6"/>
  <c r="B52" i="7" s="1"/>
  <c r="J51" i="6"/>
  <c r="M85" i="6"/>
  <c r="N85" i="6" s="1"/>
  <c r="A89" i="7" s="1"/>
  <c r="M189" i="6"/>
  <c r="N189" i="6" s="1"/>
  <c r="K203" i="6"/>
  <c r="B207" i="7" s="1"/>
  <c r="N214" i="6"/>
  <c r="O214" i="6" s="1"/>
  <c r="N230" i="6"/>
  <c r="N262" i="6"/>
  <c r="L328" i="6"/>
  <c r="M328" i="6"/>
  <c r="L418" i="6"/>
  <c r="M418" i="6"/>
  <c r="M450" i="6"/>
  <c r="L450" i="6"/>
  <c r="N450" i="6" s="1"/>
  <c r="M460" i="6"/>
  <c r="L460" i="6"/>
  <c r="N712" i="6"/>
  <c r="L905" i="6"/>
  <c r="M905" i="6"/>
  <c r="M5" i="6"/>
  <c r="N5" i="6" s="1"/>
  <c r="J48" i="6"/>
  <c r="N72" i="6"/>
  <c r="A76" i="7" s="1"/>
  <c r="I76" i="6"/>
  <c r="L128" i="6"/>
  <c r="M128" i="6"/>
  <c r="N128" i="6" s="1"/>
  <c r="L149" i="6"/>
  <c r="N149" i="6" s="1"/>
  <c r="K198" i="6"/>
  <c r="B202" i="7" s="1"/>
  <c r="L306" i="6"/>
  <c r="M306" i="6"/>
  <c r="I666" i="6"/>
  <c r="N7" i="6"/>
  <c r="J47" i="6"/>
  <c r="N54" i="6"/>
  <c r="M61" i="6"/>
  <c r="L64" i="6"/>
  <c r="M64" i="6"/>
  <c r="L79" i="6"/>
  <c r="N79" i="6" s="1"/>
  <c r="A83" i="7" s="1"/>
  <c r="K85" i="6"/>
  <c r="B89" i="7" s="1"/>
  <c r="N93" i="6"/>
  <c r="J155" i="6"/>
  <c r="K155" i="6" s="1"/>
  <c r="B159" i="7" s="1"/>
  <c r="J198" i="6"/>
  <c r="I201" i="6"/>
  <c r="L325" i="6"/>
  <c r="N325" i="6" s="1"/>
  <c r="M467" i="6"/>
  <c r="L467" i="6"/>
  <c r="N467" i="6" s="1"/>
  <c r="O467" i="6" s="1"/>
  <c r="I474" i="6"/>
  <c r="K474" i="6" s="1"/>
  <c r="B478" i="7" s="1"/>
  <c r="K496" i="6"/>
  <c r="B500" i="7" s="1"/>
  <c r="L499" i="6"/>
  <c r="N499" i="6" s="1"/>
  <c r="M656" i="6"/>
  <c r="L656" i="6"/>
  <c r="N656" i="6" s="1"/>
  <c r="A660" i="7" s="1"/>
  <c r="K125" i="6"/>
  <c r="B129" i="7" s="1"/>
  <c r="J134" i="6"/>
  <c r="K134" i="6" s="1"/>
  <c r="B138" i="7" s="1"/>
  <c r="I137" i="6"/>
  <c r="N176" i="6"/>
  <c r="L190" i="6"/>
  <c r="N190" i="6" s="1"/>
  <c r="M280" i="6"/>
  <c r="N280" i="6" s="1"/>
  <c r="M286" i="6"/>
  <c r="L407" i="6"/>
  <c r="N407" i="6" s="1"/>
  <c r="A411" i="7" s="1"/>
  <c r="K442" i="6"/>
  <c r="B446" i="7" s="1"/>
  <c r="M496" i="6"/>
  <c r="L496" i="6"/>
  <c r="I570" i="6"/>
  <c r="K570" i="6" s="1"/>
  <c r="B574" i="7" s="1"/>
  <c r="L655" i="6"/>
  <c r="M655" i="6"/>
  <c r="M793" i="6"/>
  <c r="L793" i="6"/>
  <c r="I8" i="6"/>
  <c r="I25" i="6"/>
  <c r="K25" i="6" s="1"/>
  <c r="B29" i="7" s="1"/>
  <c r="M37" i="6"/>
  <c r="L55" i="6"/>
  <c r="N55" i="6" s="1"/>
  <c r="A59" i="7" s="1"/>
  <c r="J70" i="6"/>
  <c r="K70" i="6" s="1"/>
  <c r="B74" i="7" s="1"/>
  <c r="I73" i="6"/>
  <c r="N112" i="6"/>
  <c r="J117" i="6"/>
  <c r="K117" i="6" s="1"/>
  <c r="B121" i="7" s="1"/>
  <c r="L126" i="6"/>
  <c r="I172" i="6"/>
  <c r="K172" i="6" s="1"/>
  <c r="B176" i="7" s="1"/>
  <c r="L207" i="6"/>
  <c r="I259" i="6"/>
  <c r="N277" i="6"/>
  <c r="O277" i="6" s="1"/>
  <c r="L285" i="6"/>
  <c r="N285" i="6" s="1"/>
  <c r="A289" i="7" s="1"/>
  <c r="M290" i="6"/>
  <c r="N290" i="6" s="1"/>
  <c r="O290" i="6" s="1"/>
  <c r="M294" i="6"/>
  <c r="I354" i="6"/>
  <c r="L358" i="6"/>
  <c r="N358" i="6" s="1"/>
  <c r="L394" i="6"/>
  <c r="M394" i="6"/>
  <c r="N394" i="6" s="1"/>
  <c r="I407" i="6"/>
  <c r="J411" i="6"/>
  <c r="I472" i="6"/>
  <c r="K472" i="6" s="1"/>
  <c r="L495" i="6"/>
  <c r="M495" i="6"/>
  <c r="I626" i="6"/>
  <c r="L627" i="6"/>
  <c r="M627" i="6"/>
  <c r="L744" i="6"/>
  <c r="I52" i="6"/>
  <c r="L62" i="6"/>
  <c r="N62" i="6" s="1"/>
  <c r="P62" i="6" s="1"/>
  <c r="Q62" i="6" s="1"/>
  <c r="J88" i="6"/>
  <c r="K88" i="6" s="1"/>
  <c r="B92" i="7" s="1"/>
  <c r="I107" i="6"/>
  <c r="K107" i="6" s="1"/>
  <c r="B111" i="7" s="1"/>
  <c r="M109" i="6"/>
  <c r="N109" i="6" s="1"/>
  <c r="O109" i="6" s="1"/>
  <c r="I129" i="6"/>
  <c r="I146" i="6"/>
  <c r="I158" i="6"/>
  <c r="L166" i="6"/>
  <c r="N166" i="6" s="1"/>
  <c r="I194" i="6"/>
  <c r="I205" i="6"/>
  <c r="M213" i="6"/>
  <c r="M217" i="6"/>
  <c r="J4" i="6"/>
  <c r="J5" i="6"/>
  <c r="J24" i="6"/>
  <c r="L31" i="6"/>
  <c r="N31" i="6" s="1"/>
  <c r="I37" i="6"/>
  <c r="K37" i="6" s="1"/>
  <c r="B41" i="7" s="1"/>
  <c r="L37" i="6"/>
  <c r="M40" i="6"/>
  <c r="L41" i="6"/>
  <c r="M45" i="6"/>
  <c r="N45" i="6" s="1"/>
  <c r="A49" i="7" s="1"/>
  <c r="I51" i="6"/>
  <c r="J52" i="6"/>
  <c r="I65" i="6"/>
  <c r="J66" i="6"/>
  <c r="J67" i="6"/>
  <c r="K67" i="6" s="1"/>
  <c r="B71" i="7" s="1"/>
  <c r="I82" i="6"/>
  <c r="J86" i="6"/>
  <c r="K86" i="6" s="1"/>
  <c r="B90" i="7" s="1"/>
  <c r="J87" i="6"/>
  <c r="I94" i="6"/>
  <c r="K94" i="6" s="1"/>
  <c r="B98" i="7" s="1"/>
  <c r="L102" i="6"/>
  <c r="N102" i="6" s="1"/>
  <c r="N111" i="6"/>
  <c r="O111" i="6" s="1"/>
  <c r="I128" i="6"/>
  <c r="K128" i="6" s="1"/>
  <c r="B132" i="7" s="1"/>
  <c r="I130" i="6"/>
  <c r="L133" i="6"/>
  <c r="N133" i="6" s="1"/>
  <c r="I141" i="6"/>
  <c r="L141" i="6"/>
  <c r="M152" i="6"/>
  <c r="L152" i="6"/>
  <c r="I160" i="6"/>
  <c r="K160" i="6" s="1"/>
  <c r="B164" i="7" s="1"/>
  <c r="L168" i="6"/>
  <c r="N168" i="6" s="1"/>
  <c r="I176" i="6"/>
  <c r="K176" i="6" s="1"/>
  <c r="I177" i="6"/>
  <c r="J178" i="6"/>
  <c r="K178" i="6" s="1"/>
  <c r="B182" i="7" s="1"/>
  <c r="J179" i="6"/>
  <c r="J192" i="6"/>
  <c r="M197" i="6"/>
  <c r="N197" i="6" s="1"/>
  <c r="L206" i="6"/>
  <c r="N206" i="6" s="1"/>
  <c r="L222" i="6"/>
  <c r="N222" i="6" s="1"/>
  <c r="L238" i="6"/>
  <c r="N238" i="6" s="1"/>
  <c r="O238" i="6" s="1"/>
  <c r="L254" i="6"/>
  <c r="L270" i="6"/>
  <c r="J278" i="6"/>
  <c r="M309" i="6"/>
  <c r="L312" i="6"/>
  <c r="N312" i="6" s="1"/>
  <c r="A316" i="7" s="1"/>
  <c r="M313" i="6"/>
  <c r="M317" i="6"/>
  <c r="J324" i="6"/>
  <c r="I338" i="6"/>
  <c r="K338" i="6" s="1"/>
  <c r="B342" i="7" s="1"/>
  <c r="I346" i="6"/>
  <c r="K346" i="6" s="1"/>
  <c r="B350" i="7" s="1"/>
  <c r="J348" i="6"/>
  <c r="L426" i="6"/>
  <c r="M426" i="6"/>
  <c r="N426" i="6" s="1"/>
  <c r="J434" i="6"/>
  <c r="J461" i="6"/>
  <c r="L463" i="6"/>
  <c r="M463" i="6"/>
  <c r="M492" i="6"/>
  <c r="L492" i="6"/>
  <c r="N492" i="6" s="1"/>
  <c r="A496" i="7" s="1"/>
  <c r="N518" i="6"/>
  <c r="L522" i="6"/>
  <c r="L525" i="6"/>
  <c r="L529" i="6"/>
  <c r="I539" i="6"/>
  <c r="J540" i="6"/>
  <c r="I593" i="6"/>
  <c r="M596" i="6"/>
  <c r="L596" i="6"/>
  <c r="N599" i="6"/>
  <c r="I601" i="6"/>
  <c r="J602" i="6"/>
  <c r="M680" i="6"/>
  <c r="L680" i="6"/>
  <c r="N680" i="6" s="1"/>
  <c r="J720" i="6"/>
  <c r="L731" i="6"/>
  <c r="M731" i="6"/>
  <c r="J805" i="6"/>
  <c r="L807" i="6"/>
  <c r="L831" i="6"/>
  <c r="M831" i="6"/>
  <c r="N442" i="6"/>
  <c r="J469" i="6"/>
  <c r="K469" i="6" s="1"/>
  <c r="I480" i="6"/>
  <c r="J510" i="6"/>
  <c r="L512" i="6"/>
  <c r="M512" i="6"/>
  <c r="J536" i="6"/>
  <c r="K536" i="6" s="1"/>
  <c r="I538" i="6"/>
  <c r="K538" i="6" s="1"/>
  <c r="B542" i="7" s="1"/>
  <c r="N544" i="6"/>
  <c r="A548" i="7" s="1"/>
  <c r="I564" i="6"/>
  <c r="L571" i="6"/>
  <c r="L591" i="6"/>
  <c r="M591" i="6"/>
  <c r="M826" i="6"/>
  <c r="N877" i="6"/>
  <c r="M881" i="6"/>
  <c r="M897" i="6"/>
  <c r="N897" i="6" s="1"/>
  <c r="A901" i="7" s="1"/>
  <c r="I936" i="6"/>
  <c r="I939" i="6"/>
  <c r="J31" i="6"/>
  <c r="I33" i="6"/>
  <c r="J35" i="6"/>
  <c r="K35" i="6" s="1"/>
  <c r="B39" i="7" s="1"/>
  <c r="I74" i="6"/>
  <c r="K74" i="6" s="1"/>
  <c r="B78" i="7" s="1"/>
  <c r="L86" i="6"/>
  <c r="N86" i="6" s="1"/>
  <c r="M93" i="6"/>
  <c r="J95" i="6"/>
  <c r="I97" i="6"/>
  <c r="J99" i="6"/>
  <c r="I120" i="6"/>
  <c r="I138" i="6"/>
  <c r="K138" i="6" s="1"/>
  <c r="B142" i="7" s="1"/>
  <c r="L153" i="6"/>
  <c r="J159" i="6"/>
  <c r="I161" i="6"/>
  <c r="J163" i="6"/>
  <c r="K163" i="6" s="1"/>
  <c r="B167" i="7" s="1"/>
  <c r="L167" i="6"/>
  <c r="N167" i="6" s="1"/>
  <c r="I173" i="6"/>
  <c r="I184" i="6"/>
  <c r="I202" i="6"/>
  <c r="I234" i="6"/>
  <c r="K234" i="6" s="1"/>
  <c r="B238" i="7" s="1"/>
  <c r="I266" i="6"/>
  <c r="J275" i="6"/>
  <c r="J282" i="6"/>
  <c r="K282" i="6" s="1"/>
  <c r="B286" i="7" s="1"/>
  <c r="L304" i="6"/>
  <c r="M321" i="6"/>
  <c r="M334" i="6"/>
  <c r="L338" i="6"/>
  <c r="N338" i="6" s="1"/>
  <c r="J344" i="6"/>
  <c r="K344" i="6" s="1"/>
  <c r="B348" i="7" s="1"/>
  <c r="L401" i="6"/>
  <c r="I406" i="6"/>
  <c r="I411" i="6"/>
  <c r="L423" i="6"/>
  <c r="L432" i="6"/>
  <c r="M432" i="6"/>
  <c r="M473" i="6"/>
  <c r="J480" i="6"/>
  <c r="J484" i="6"/>
  <c r="I536" i="6"/>
  <c r="L539" i="6"/>
  <c r="L564" i="6"/>
  <c r="I597" i="6"/>
  <c r="I634" i="6"/>
  <c r="K634" i="6" s="1"/>
  <c r="B638" i="7" s="1"/>
  <c r="I639" i="6"/>
  <c r="M644" i="6"/>
  <c r="L644" i="6"/>
  <c r="N644" i="6" s="1"/>
  <c r="I647" i="6"/>
  <c r="I667" i="6"/>
  <c r="J692" i="6"/>
  <c r="L722" i="6"/>
  <c r="N733" i="6"/>
  <c r="J737" i="6"/>
  <c r="I746" i="6"/>
  <c r="J773" i="6"/>
  <c r="J784" i="6"/>
  <c r="M812" i="6"/>
  <c r="M817" i="6"/>
  <c r="M821" i="6"/>
  <c r="M825" i="6"/>
  <c r="I5" i="6"/>
  <c r="I16" i="6"/>
  <c r="I34" i="6"/>
  <c r="L46" i="6"/>
  <c r="N46" i="6" s="1"/>
  <c r="L49" i="6"/>
  <c r="M53" i="6"/>
  <c r="J55" i="6"/>
  <c r="J56" i="6"/>
  <c r="I57" i="6"/>
  <c r="J58" i="6"/>
  <c r="J59" i="6"/>
  <c r="L63" i="6"/>
  <c r="N63" i="6" s="1"/>
  <c r="I69" i="6"/>
  <c r="I80" i="6"/>
  <c r="I98" i="6"/>
  <c r="L110" i="6"/>
  <c r="N110" i="6" s="1"/>
  <c r="L113" i="6"/>
  <c r="M117" i="6"/>
  <c r="N117" i="6" s="1"/>
  <c r="O117" i="6" s="1"/>
  <c r="J119" i="6"/>
  <c r="J120" i="6"/>
  <c r="I121" i="6"/>
  <c r="J122" i="6"/>
  <c r="J123" i="6"/>
  <c r="K123" i="6" s="1"/>
  <c r="B127" i="7" s="1"/>
  <c r="L127" i="6"/>
  <c r="N127" i="6" s="1"/>
  <c r="I133" i="6"/>
  <c r="K133" i="6" s="1"/>
  <c r="I144" i="6"/>
  <c r="I162" i="6"/>
  <c r="L174" i="6"/>
  <c r="N174" i="6" s="1"/>
  <c r="L177" i="6"/>
  <c r="M181" i="6"/>
  <c r="N181" i="6" s="1"/>
  <c r="J183" i="6"/>
  <c r="J184" i="6"/>
  <c r="I185" i="6"/>
  <c r="J186" i="6"/>
  <c r="J187" i="6"/>
  <c r="K187" i="6" s="1"/>
  <c r="B191" i="7" s="1"/>
  <c r="L191" i="6"/>
  <c r="N191" i="6" s="1"/>
  <c r="I197" i="6"/>
  <c r="J208" i="6"/>
  <c r="I215" i="6"/>
  <c r="J217" i="6"/>
  <c r="K217" i="6" s="1"/>
  <c r="B221" i="7" s="1"/>
  <c r="J218" i="6"/>
  <c r="K218" i="6" s="1"/>
  <c r="B222" i="7" s="1"/>
  <c r="J219" i="6"/>
  <c r="J220" i="6"/>
  <c r="J224" i="6"/>
  <c r="I231" i="6"/>
  <c r="J233" i="6"/>
  <c r="K233" i="6" s="1"/>
  <c r="B237" i="7" s="1"/>
  <c r="J234" i="6"/>
  <c r="J235" i="6"/>
  <c r="K235" i="6" s="1"/>
  <c r="B239" i="7" s="1"/>
  <c r="J236" i="6"/>
  <c r="J240" i="6"/>
  <c r="I247" i="6"/>
  <c r="J249" i="6"/>
  <c r="K249" i="6" s="1"/>
  <c r="B253" i="7" s="1"/>
  <c r="J250" i="6"/>
  <c r="J251" i="6"/>
  <c r="J252" i="6"/>
  <c r="J256" i="6"/>
  <c r="I263" i="6"/>
  <c r="J265" i="6"/>
  <c r="K265" i="6" s="1"/>
  <c r="B269" i="7" s="1"/>
  <c r="J266" i="6"/>
  <c r="J267" i="6"/>
  <c r="J268" i="6"/>
  <c r="J272" i="6"/>
  <c r="M273" i="6"/>
  <c r="N273" i="6" s="1"/>
  <c r="A277" i="7" s="1"/>
  <c r="I275" i="6"/>
  <c r="L303" i="6"/>
  <c r="N303" i="6" s="1"/>
  <c r="A307" i="7" s="1"/>
  <c r="L305" i="6"/>
  <c r="M310" i="6"/>
  <c r="J312" i="6"/>
  <c r="J315" i="6"/>
  <c r="J318" i="6"/>
  <c r="L320" i="6"/>
  <c r="M320" i="6"/>
  <c r="L333" i="6"/>
  <c r="N333" i="6" s="1"/>
  <c r="L336" i="6"/>
  <c r="N336" i="6" s="1"/>
  <c r="L343" i="6"/>
  <c r="N343" i="6" s="1"/>
  <c r="L346" i="6"/>
  <c r="J386" i="6"/>
  <c r="J387" i="6"/>
  <c r="N397" i="6"/>
  <c r="I408" i="6"/>
  <c r="I415" i="6"/>
  <c r="I420" i="6"/>
  <c r="K420" i="6" s="1"/>
  <c r="B424" i="7" s="1"/>
  <c r="M424" i="6"/>
  <c r="M430" i="6"/>
  <c r="M448" i="6"/>
  <c r="L456" i="6"/>
  <c r="N456" i="6" s="1"/>
  <c r="A460" i="7" s="1"/>
  <c r="J467" i="6"/>
  <c r="I468" i="6"/>
  <c r="L469" i="6"/>
  <c r="M469" i="6"/>
  <c r="M472" i="6"/>
  <c r="I515" i="6"/>
  <c r="J516" i="6"/>
  <c r="M552" i="6"/>
  <c r="N552" i="6" s="1"/>
  <c r="O552" i="6" s="1"/>
  <c r="K555" i="6"/>
  <c r="B559" i="7" s="1"/>
  <c r="J556" i="6"/>
  <c r="K556" i="6" s="1"/>
  <c r="B560" i="7" s="1"/>
  <c r="M563" i="6"/>
  <c r="L563" i="6"/>
  <c r="J575" i="6"/>
  <c r="L588" i="6"/>
  <c r="N588" i="6" s="1"/>
  <c r="I596" i="6"/>
  <c r="J597" i="6"/>
  <c r="N603" i="6"/>
  <c r="P603" i="6" s="1"/>
  <c r="Q603" i="6" s="1"/>
  <c r="I614" i="6"/>
  <c r="L618" i="6"/>
  <c r="I620" i="6"/>
  <c r="K620" i="6" s="1"/>
  <c r="B624" i="7" s="1"/>
  <c r="I646" i="6"/>
  <c r="L661" i="6"/>
  <c r="M661" i="6"/>
  <c r="J669" i="6"/>
  <c r="K669" i="6" s="1"/>
  <c r="B673" i="7" s="1"/>
  <c r="K670" i="6"/>
  <c r="B674" i="7" s="1"/>
  <c r="M672" i="6"/>
  <c r="N672" i="6" s="1"/>
  <c r="J691" i="6"/>
  <c r="M705" i="6"/>
  <c r="J712" i="6"/>
  <c r="M722" i="6"/>
  <c r="L848" i="6"/>
  <c r="N861" i="6"/>
  <c r="N927" i="6"/>
  <c r="A931" i="7" s="1"/>
  <c r="I932" i="6"/>
  <c r="I960" i="6"/>
  <c r="I961" i="6"/>
  <c r="M973" i="6"/>
  <c r="L973" i="6"/>
  <c r="I1000" i="6"/>
  <c r="L1001" i="6"/>
  <c r="N1001" i="6" s="1"/>
  <c r="N424" i="6"/>
  <c r="M446" i="6"/>
  <c r="L458" i="6"/>
  <c r="I466" i="6"/>
  <c r="I470" i="6"/>
  <c r="M471" i="6"/>
  <c r="L471" i="6"/>
  <c r="N471" i="6" s="1"/>
  <c r="I484" i="6"/>
  <c r="K484" i="6" s="1"/>
  <c r="B488" i="7" s="1"/>
  <c r="I507" i="6"/>
  <c r="I509" i="6"/>
  <c r="J518" i="6"/>
  <c r="K518" i="6" s="1"/>
  <c r="B522" i="7" s="1"/>
  <c r="J537" i="6"/>
  <c r="K537" i="6" s="1"/>
  <c r="B541" i="7" s="1"/>
  <c r="M539" i="6"/>
  <c r="N548" i="6"/>
  <c r="A552" i="7" s="1"/>
  <c r="M560" i="6"/>
  <c r="J568" i="6"/>
  <c r="J599" i="6"/>
  <c r="K599" i="6" s="1"/>
  <c r="B603" i="7" s="1"/>
  <c r="M636" i="6"/>
  <c r="L636" i="6"/>
  <c r="I648" i="6"/>
  <c r="I692" i="6"/>
  <c r="K692" i="6" s="1"/>
  <c r="B696" i="7" s="1"/>
  <c r="J738" i="6"/>
  <c r="M818" i="6"/>
  <c r="L872" i="6"/>
  <c r="I876" i="6"/>
  <c r="K883" i="6"/>
  <c r="B887" i="7" s="1"/>
  <c r="I10" i="6"/>
  <c r="L22" i="6"/>
  <c r="N22" i="6" s="1"/>
  <c r="A26" i="7" s="1"/>
  <c r="L25" i="6"/>
  <c r="M29" i="6"/>
  <c r="N29" i="6" s="1"/>
  <c r="J32" i="6"/>
  <c r="K32" i="6" s="1"/>
  <c r="B36" i="7" s="1"/>
  <c r="J34" i="6"/>
  <c r="L39" i="6"/>
  <c r="N39" i="6" s="1"/>
  <c r="O39" i="6" s="1"/>
  <c r="I45" i="6"/>
  <c r="K45" i="6" s="1"/>
  <c r="B49" i="7" s="1"/>
  <c r="I56" i="6"/>
  <c r="L89" i="6"/>
  <c r="J96" i="6"/>
  <c r="J98" i="6"/>
  <c r="L103" i="6"/>
  <c r="N103" i="6" s="1"/>
  <c r="I109" i="6"/>
  <c r="K109" i="6" s="1"/>
  <c r="B113" i="7" s="1"/>
  <c r="L150" i="6"/>
  <c r="N150" i="6" s="1"/>
  <c r="M157" i="6"/>
  <c r="N157" i="6" s="1"/>
  <c r="J160" i="6"/>
  <c r="J162" i="6"/>
  <c r="I218" i="6"/>
  <c r="I250" i="6"/>
  <c r="K250" i="6" s="1"/>
  <c r="B254" i="7" s="1"/>
  <c r="J274" i="6"/>
  <c r="I280" i="6"/>
  <c r="L293" i="6"/>
  <c r="N293" i="6" s="1"/>
  <c r="A297" i="7" s="1"/>
  <c r="L301" i="6"/>
  <c r="N301" i="6" s="1"/>
  <c r="J319" i="6"/>
  <c r="I339" i="6"/>
  <c r="I347" i="6"/>
  <c r="K347" i="6" s="1"/>
  <c r="B351" i="7" s="1"/>
  <c r="L400" i="6"/>
  <c r="M400" i="6"/>
  <c r="J407" i="6"/>
  <c r="L422" i="6"/>
  <c r="N422" i="6" s="1"/>
  <c r="A426" i="7" s="1"/>
  <c r="K428" i="6"/>
  <c r="B432" i="7" s="1"/>
  <c r="L433" i="6"/>
  <c r="L445" i="6"/>
  <c r="I479" i="6"/>
  <c r="K479" i="6" s="1"/>
  <c r="B483" i="7" s="1"/>
  <c r="J482" i="6"/>
  <c r="J483" i="6"/>
  <c r="K483" i="6" s="1"/>
  <c r="B487" i="7" s="1"/>
  <c r="J486" i="6"/>
  <c r="K486" i="6" s="1"/>
  <c r="B490" i="7" s="1"/>
  <c r="J517" i="6"/>
  <c r="J534" i="6"/>
  <c r="J598" i="6"/>
  <c r="L605" i="6"/>
  <c r="N610" i="6"/>
  <c r="N688" i="6"/>
  <c r="M739" i="6"/>
  <c r="L780" i="6"/>
  <c r="J811" i="6"/>
  <c r="I903" i="6"/>
  <c r="N954" i="6"/>
  <c r="L975" i="6"/>
  <c r="L6" i="6"/>
  <c r="N6" i="6" s="1"/>
  <c r="L9" i="6"/>
  <c r="M13" i="6"/>
  <c r="J15" i="6"/>
  <c r="J16" i="6"/>
  <c r="I17" i="6"/>
  <c r="J18" i="6"/>
  <c r="K18" i="6" s="1"/>
  <c r="B22" i="7" s="1"/>
  <c r="J19" i="6"/>
  <c r="L23" i="6"/>
  <c r="N23" i="6" s="1"/>
  <c r="O23" i="6" s="1"/>
  <c r="I29" i="6"/>
  <c r="I40" i="6"/>
  <c r="I58" i="6"/>
  <c r="L70" i="6"/>
  <c r="N70" i="6" s="1"/>
  <c r="A74" i="7" s="1"/>
  <c r="L73" i="6"/>
  <c r="M77" i="6"/>
  <c r="N77" i="6" s="1"/>
  <c r="J79" i="6"/>
  <c r="J80" i="6"/>
  <c r="I81" i="6"/>
  <c r="J82" i="6"/>
  <c r="K82" i="6" s="1"/>
  <c r="B86" i="7" s="1"/>
  <c r="J83" i="6"/>
  <c r="K83" i="6" s="1"/>
  <c r="B87" i="7" s="1"/>
  <c r="L87" i="6"/>
  <c r="N87" i="6" s="1"/>
  <c r="A91" i="7" s="1"/>
  <c r="I93" i="6"/>
  <c r="I104" i="6"/>
  <c r="K104" i="6" s="1"/>
  <c r="B108" i="7" s="1"/>
  <c r="I122" i="6"/>
  <c r="L134" i="6"/>
  <c r="N134" i="6" s="1"/>
  <c r="O134" i="6" s="1"/>
  <c r="L137" i="6"/>
  <c r="M141" i="6"/>
  <c r="J143" i="6"/>
  <c r="J144" i="6"/>
  <c r="I145" i="6"/>
  <c r="J146" i="6"/>
  <c r="K146" i="6" s="1"/>
  <c r="B150" i="7" s="1"/>
  <c r="J147" i="6"/>
  <c r="L151" i="6"/>
  <c r="N151" i="6" s="1"/>
  <c r="A155" i="7" s="1"/>
  <c r="I157" i="6"/>
  <c r="I168" i="6"/>
  <c r="K168" i="6" s="1"/>
  <c r="B172" i="7" s="1"/>
  <c r="I186" i="6"/>
  <c r="L198" i="6"/>
  <c r="L201" i="6"/>
  <c r="M205" i="6"/>
  <c r="J211" i="6"/>
  <c r="J212" i="6"/>
  <c r="J214" i="6"/>
  <c r="J215" i="6"/>
  <c r="I219" i="6"/>
  <c r="M221" i="6"/>
  <c r="J227" i="6"/>
  <c r="J228" i="6"/>
  <c r="K228" i="6" s="1"/>
  <c r="B232" i="7" s="1"/>
  <c r="J230" i="6"/>
  <c r="J231" i="6"/>
  <c r="I235" i="6"/>
  <c r="M237" i="6"/>
  <c r="J243" i="6"/>
  <c r="J244" i="6"/>
  <c r="K244" i="6" s="1"/>
  <c r="B248" i="7" s="1"/>
  <c r="J246" i="6"/>
  <c r="J247" i="6"/>
  <c r="I251" i="6"/>
  <c r="M253" i="6"/>
  <c r="J259" i="6"/>
  <c r="J260" i="6"/>
  <c r="J262" i="6"/>
  <c r="J263" i="6"/>
  <c r="I267" i="6"/>
  <c r="M269" i="6"/>
  <c r="L282" i="6"/>
  <c r="I283" i="6"/>
  <c r="J286" i="6"/>
  <c r="K286" i="6" s="1"/>
  <c r="B290" i="7" s="1"/>
  <c r="I288" i="6"/>
  <c r="J290" i="6"/>
  <c r="I300" i="6"/>
  <c r="I301" i="6"/>
  <c r="K301" i="6" s="1"/>
  <c r="B305" i="7" s="1"/>
  <c r="M304" i="6"/>
  <c r="I308" i="6"/>
  <c r="L309" i="6"/>
  <c r="L314" i="6"/>
  <c r="I315" i="6"/>
  <c r="M319" i="6"/>
  <c r="I324" i="6"/>
  <c r="K324" i="6" s="1"/>
  <c r="B328" i="7" s="1"/>
  <c r="J325" i="6"/>
  <c r="J326" i="6"/>
  <c r="K326" i="6" s="1"/>
  <c r="L335" i="6"/>
  <c r="N335" i="6" s="1"/>
  <c r="M350" i="6"/>
  <c r="L352" i="6"/>
  <c r="N352" i="6" s="1"/>
  <c r="A356" i="7" s="1"/>
  <c r="M353" i="6"/>
  <c r="J362" i="6"/>
  <c r="K362" i="6" s="1"/>
  <c r="B366" i="7" s="1"/>
  <c r="I365" i="6"/>
  <c r="K365" i="6" s="1"/>
  <c r="B369" i="7" s="1"/>
  <c r="I366" i="6"/>
  <c r="K366" i="6" s="1"/>
  <c r="B370" i="7" s="1"/>
  <c r="J367" i="6"/>
  <c r="J368" i="6"/>
  <c r="I371" i="6"/>
  <c r="I384" i="6"/>
  <c r="I387" i="6"/>
  <c r="M389" i="6"/>
  <c r="M390" i="6"/>
  <c r="L399" i="6"/>
  <c r="J408" i="6"/>
  <c r="L410" i="6"/>
  <c r="M410" i="6"/>
  <c r="N410" i="6" s="1"/>
  <c r="A414" i="7" s="1"/>
  <c r="I418" i="6"/>
  <c r="L429" i="6"/>
  <c r="N429" i="6" s="1"/>
  <c r="O429" i="6" s="1"/>
  <c r="I465" i="6"/>
  <c r="M468" i="6"/>
  <c r="L468" i="6"/>
  <c r="J499" i="6"/>
  <c r="I501" i="6"/>
  <c r="K501" i="6" s="1"/>
  <c r="B505" i="7" s="1"/>
  <c r="J502" i="6"/>
  <c r="I504" i="6"/>
  <c r="I506" i="6"/>
  <c r="K506" i="6" s="1"/>
  <c r="B510" i="7" s="1"/>
  <c r="J515" i="6"/>
  <c r="J543" i="6"/>
  <c r="J544" i="6"/>
  <c r="J546" i="6"/>
  <c r="J547" i="6"/>
  <c r="K547" i="6" s="1"/>
  <c r="B551" i="7" s="1"/>
  <c r="J548" i="6"/>
  <c r="J550" i="6"/>
  <c r="K550" i="6" s="1"/>
  <c r="B554" i="7" s="1"/>
  <c r="K552" i="6"/>
  <c r="B556" i="7" s="1"/>
  <c r="M564" i="6"/>
  <c r="I572" i="6"/>
  <c r="K573" i="6"/>
  <c r="B577" i="7" s="1"/>
  <c r="L576" i="6"/>
  <c r="N576" i="6" s="1"/>
  <c r="J585" i="6"/>
  <c r="I595" i="6"/>
  <c r="I629" i="6"/>
  <c r="K629" i="6" s="1"/>
  <c r="B633" i="7" s="1"/>
  <c r="M632" i="6"/>
  <c r="L632" i="6"/>
  <c r="N632" i="6" s="1"/>
  <c r="M642" i="6"/>
  <c r="L642" i="6"/>
  <c r="J648" i="6"/>
  <c r="J657" i="6"/>
  <c r="M659" i="6"/>
  <c r="N659" i="6" s="1"/>
  <c r="O659" i="6" s="1"/>
  <c r="M660" i="6"/>
  <c r="L660" i="6"/>
  <c r="J668" i="6"/>
  <c r="M670" i="6"/>
  <c r="L674" i="6"/>
  <c r="N674" i="6" s="1"/>
  <c r="J687" i="6"/>
  <c r="M687" i="6"/>
  <c r="I689" i="6"/>
  <c r="K689" i="6" s="1"/>
  <c r="B693" i="7" s="1"/>
  <c r="J690" i="6"/>
  <c r="I892" i="6"/>
  <c r="I893" i="6"/>
  <c r="I894" i="6"/>
  <c r="I895" i="6"/>
  <c r="M941" i="6"/>
  <c r="N941" i="6" s="1"/>
  <c r="I968" i="6"/>
  <c r="I969" i="6"/>
  <c r="K969" i="6" s="1"/>
  <c r="B973" i="7" s="1"/>
  <c r="M278" i="6"/>
  <c r="J280" i="6"/>
  <c r="J283" i="6"/>
  <c r="I290" i="6"/>
  <c r="L294" i="6"/>
  <c r="N294" i="6" s="1"/>
  <c r="L295" i="6"/>
  <c r="N295" i="6" s="1"/>
  <c r="J304" i="6"/>
  <c r="K304" i="6" s="1"/>
  <c r="B308" i="7" s="1"/>
  <c r="J307" i="6"/>
  <c r="K307" i="6" s="1"/>
  <c r="B311" i="7" s="1"/>
  <c r="J310" i="6"/>
  <c r="L317" i="6"/>
  <c r="N317" i="6" s="1"/>
  <c r="A321" i="7" s="1"/>
  <c r="J328" i="6"/>
  <c r="L344" i="6"/>
  <c r="N344" i="6" s="1"/>
  <c r="M345" i="6"/>
  <c r="I370" i="6"/>
  <c r="J372" i="6"/>
  <c r="K372" i="6" s="1"/>
  <c r="B376" i="7" s="1"/>
  <c r="I383" i="6"/>
  <c r="K383" i="6" s="1"/>
  <c r="B387" i="7" s="1"/>
  <c r="I396" i="6"/>
  <c r="I397" i="6"/>
  <c r="K397" i="6" s="1"/>
  <c r="B401" i="7" s="1"/>
  <c r="I404" i="6"/>
  <c r="K404" i="6" s="1"/>
  <c r="B408" i="7" s="1"/>
  <c r="L405" i="6"/>
  <c r="N405" i="6" s="1"/>
  <c r="A409" i="7" s="1"/>
  <c r="L408" i="6"/>
  <c r="M408" i="6"/>
  <c r="I416" i="6"/>
  <c r="J418" i="6"/>
  <c r="J419" i="6"/>
  <c r="J422" i="6"/>
  <c r="K422" i="6" s="1"/>
  <c r="B426" i="7" s="1"/>
  <c r="L431" i="6"/>
  <c r="I438" i="6"/>
  <c r="J439" i="6"/>
  <c r="I440" i="6"/>
  <c r="J442" i="6"/>
  <c r="I476" i="6"/>
  <c r="J479" i="6"/>
  <c r="I482" i="6"/>
  <c r="J485" i="6"/>
  <c r="J487" i="6"/>
  <c r="J488" i="6"/>
  <c r="K488" i="6" s="1"/>
  <c r="I503" i="6"/>
  <c r="J507" i="6"/>
  <c r="J509" i="6"/>
  <c r="I510" i="6"/>
  <c r="M511" i="6"/>
  <c r="J522" i="6"/>
  <c r="J523" i="6"/>
  <c r="I525" i="6"/>
  <c r="J526" i="6"/>
  <c r="K526" i="6" s="1"/>
  <c r="B530" i="7" s="1"/>
  <c r="J527" i="6"/>
  <c r="J528" i="6"/>
  <c r="K528" i="6" s="1"/>
  <c r="B532" i="7" s="1"/>
  <c r="I529" i="6"/>
  <c r="J533" i="6"/>
  <c r="K533" i="6" s="1"/>
  <c r="B537" i="7" s="1"/>
  <c r="I534" i="6"/>
  <c r="M535" i="6"/>
  <c r="N535" i="6" s="1"/>
  <c r="A539" i="7" s="1"/>
  <c r="L536" i="6"/>
  <c r="N536" i="6" s="1"/>
  <c r="A540" i="7" s="1"/>
  <c r="L565" i="6"/>
  <c r="N565" i="6" s="1"/>
  <c r="I566" i="6"/>
  <c r="M567" i="6"/>
  <c r="N567" i="6" s="1"/>
  <c r="A571" i="7" s="1"/>
  <c r="I568" i="6"/>
  <c r="M569" i="6"/>
  <c r="I576" i="6"/>
  <c r="L589" i="6"/>
  <c r="M592" i="6"/>
  <c r="L592" i="6"/>
  <c r="L593" i="6"/>
  <c r="J605" i="6"/>
  <c r="I606" i="6"/>
  <c r="M610" i="6"/>
  <c r="J613" i="6"/>
  <c r="J616" i="6"/>
  <c r="K616" i="6" s="1"/>
  <c r="J618" i="6"/>
  <c r="K618" i="6" s="1"/>
  <c r="B622" i="7" s="1"/>
  <c r="J621" i="6"/>
  <c r="K621" i="6" s="1"/>
  <c r="B625" i="7" s="1"/>
  <c r="M628" i="6"/>
  <c r="N628" i="6" s="1"/>
  <c r="O628" i="6" s="1"/>
  <c r="L637" i="6"/>
  <c r="L649" i="6"/>
  <c r="L650" i="6"/>
  <c r="I652" i="6"/>
  <c r="J662" i="6"/>
  <c r="I664" i="6"/>
  <c r="K664" i="6" s="1"/>
  <c r="B668" i="7" s="1"/>
  <c r="M667" i="6"/>
  <c r="J674" i="6"/>
  <c r="L684" i="6"/>
  <c r="I687" i="6"/>
  <c r="J688" i="6"/>
  <c r="N696" i="6"/>
  <c r="I700" i="6"/>
  <c r="K700" i="6" s="1"/>
  <c r="J701" i="6"/>
  <c r="J736" i="6"/>
  <c r="I755" i="6"/>
  <c r="K755" i="6" s="1"/>
  <c r="B759" i="7" s="1"/>
  <c r="J756" i="6"/>
  <c r="L794" i="6"/>
  <c r="I797" i="6"/>
  <c r="J816" i="6"/>
  <c r="J824" i="6"/>
  <c r="I855" i="6"/>
  <c r="L859" i="6"/>
  <c r="N859" i="6" s="1"/>
  <c r="I888" i="6"/>
  <c r="I889" i="6"/>
  <c r="I965" i="6"/>
  <c r="J966" i="6"/>
  <c r="I981" i="6"/>
  <c r="I984" i="6"/>
  <c r="L991" i="6"/>
  <c r="I319" i="6"/>
  <c r="M326" i="6"/>
  <c r="N326" i="6" s="1"/>
  <c r="L330" i="6"/>
  <c r="N330" i="6" s="1"/>
  <c r="I331" i="6"/>
  <c r="J334" i="6"/>
  <c r="L354" i="6"/>
  <c r="N354" i="6" s="1"/>
  <c r="A358" i="7" s="1"/>
  <c r="I367" i="6"/>
  <c r="K367" i="6" s="1"/>
  <c r="B371" i="7" s="1"/>
  <c r="I368" i="6"/>
  <c r="K368" i="6" s="1"/>
  <c r="B372" i="7" s="1"/>
  <c r="J370" i="6"/>
  <c r="J371" i="6"/>
  <c r="I394" i="6"/>
  <c r="K394" i="6" s="1"/>
  <c r="B398" i="7" s="1"/>
  <c r="I414" i="6"/>
  <c r="K414" i="6" s="1"/>
  <c r="B418" i="7" s="1"/>
  <c r="J415" i="6"/>
  <c r="I419" i="6"/>
  <c r="K419" i="6" s="1"/>
  <c r="B423" i="7" s="1"/>
  <c r="J438" i="6"/>
  <c r="K438" i="6" s="1"/>
  <c r="B442" i="7" s="1"/>
  <c r="J440" i="6"/>
  <c r="J443" i="6"/>
  <c r="I452" i="6"/>
  <c r="K452" i="6" s="1"/>
  <c r="B456" i="7" s="1"/>
  <c r="I475" i="6"/>
  <c r="K475" i="6" s="1"/>
  <c r="B479" i="7" s="1"/>
  <c r="J476" i="6"/>
  <c r="I477" i="6"/>
  <c r="K477" i="6" s="1"/>
  <c r="B481" i="7" s="1"/>
  <c r="L480" i="6"/>
  <c r="N480" i="6" s="1"/>
  <c r="A484" i="7" s="1"/>
  <c r="J503" i="6"/>
  <c r="I505" i="6"/>
  <c r="K505" i="6" s="1"/>
  <c r="B509" i="7" s="1"/>
  <c r="J506" i="6"/>
  <c r="L508" i="6"/>
  <c r="N508" i="6" s="1"/>
  <c r="O508" i="6" s="1"/>
  <c r="J521" i="6"/>
  <c r="J529" i="6"/>
  <c r="I530" i="6"/>
  <c r="I532" i="6"/>
  <c r="I543" i="6"/>
  <c r="I544" i="6"/>
  <c r="I548" i="6"/>
  <c r="K548" i="6" s="1"/>
  <c r="B552" i="7" s="1"/>
  <c r="M568" i="6"/>
  <c r="L568" i="6"/>
  <c r="I575" i="6"/>
  <c r="K575" i="6" s="1"/>
  <c r="B579" i="7" s="1"/>
  <c r="J576" i="6"/>
  <c r="I580" i="6"/>
  <c r="K580" i="6" s="1"/>
  <c r="M601" i="6"/>
  <c r="M606" i="6"/>
  <c r="L607" i="6"/>
  <c r="L609" i="6"/>
  <c r="M614" i="6"/>
  <c r="M620" i="6"/>
  <c r="N620" i="6" s="1"/>
  <c r="M622" i="6"/>
  <c r="L623" i="6"/>
  <c r="N623" i="6" s="1"/>
  <c r="O623" i="6" s="1"/>
  <c r="M624" i="6"/>
  <c r="L624" i="6"/>
  <c r="L625" i="6"/>
  <c r="J661" i="6"/>
  <c r="I662" i="6"/>
  <c r="L663" i="6"/>
  <c r="J672" i="6"/>
  <c r="M676" i="6"/>
  <c r="L676" i="6"/>
  <c r="N676" i="6" s="1"/>
  <c r="M684" i="6"/>
  <c r="I685" i="6"/>
  <c r="M725" i="6"/>
  <c r="J755" i="6"/>
  <c r="L775" i="6"/>
  <c r="J781" i="6"/>
  <c r="M839" i="6"/>
  <c r="L840" i="6"/>
  <c r="J855" i="6"/>
  <c r="N862" i="6"/>
  <c r="J865" i="6"/>
  <c r="L873" i="6"/>
  <c r="I875" i="6"/>
  <c r="M878" i="6"/>
  <c r="L878" i="6"/>
  <c r="N878" i="6" s="1"/>
  <c r="A882" i="7" s="1"/>
  <c r="I884" i="6"/>
  <c r="I885" i="6"/>
  <c r="I886" i="6"/>
  <c r="I887" i="6"/>
  <c r="L897" i="6"/>
  <c r="I912" i="6"/>
  <c r="I924" i="6"/>
  <c r="I927" i="6"/>
  <c r="I928" i="6"/>
  <c r="L929" i="6"/>
  <c r="N929" i="6" s="1"/>
  <c r="K935" i="6"/>
  <c r="B939" i="7" s="1"/>
  <c r="I940" i="6"/>
  <c r="M942" i="6"/>
  <c r="N942" i="6" s="1"/>
  <c r="L959" i="6"/>
  <c r="I964" i="6"/>
  <c r="M967" i="6"/>
  <c r="M976" i="6"/>
  <c r="N976" i="6" s="1"/>
  <c r="M991" i="6"/>
  <c r="L993" i="6"/>
  <c r="J355" i="6"/>
  <c r="L365" i="6"/>
  <c r="N365" i="6" s="1"/>
  <c r="L368" i="6"/>
  <c r="I376" i="6"/>
  <c r="K376" i="6" s="1"/>
  <c r="B380" i="7" s="1"/>
  <c r="J378" i="6"/>
  <c r="L389" i="6"/>
  <c r="L392" i="6"/>
  <c r="N392" i="6" s="1"/>
  <c r="M393" i="6"/>
  <c r="I400" i="6"/>
  <c r="J402" i="6"/>
  <c r="M414" i="6"/>
  <c r="L416" i="6"/>
  <c r="N416" i="6" s="1"/>
  <c r="A420" i="7" s="1"/>
  <c r="M417" i="6"/>
  <c r="J426" i="6"/>
  <c r="K426" i="6" s="1"/>
  <c r="B430" i="7" s="1"/>
  <c r="I429" i="6"/>
  <c r="K429" i="6" s="1"/>
  <c r="B433" i="7" s="1"/>
  <c r="I436" i="6"/>
  <c r="K436" i="6" s="1"/>
  <c r="B440" i="7" s="1"/>
  <c r="L437" i="6"/>
  <c r="N437" i="6" s="1"/>
  <c r="L442" i="6"/>
  <c r="I443" i="6"/>
  <c r="J446" i="6"/>
  <c r="I448" i="6"/>
  <c r="J450" i="6"/>
  <c r="K450" i="6" s="1"/>
  <c r="B454" i="7" s="1"/>
  <c r="J451" i="6"/>
  <c r="K451" i="6" s="1"/>
  <c r="B455" i="7" s="1"/>
  <c r="J452" i="6"/>
  <c r="J454" i="6"/>
  <c r="K454" i="6" s="1"/>
  <c r="B458" i="7" s="1"/>
  <c r="I456" i="6"/>
  <c r="I459" i="6"/>
  <c r="J460" i="6"/>
  <c r="K460" i="6" s="1"/>
  <c r="B464" i="7" s="1"/>
  <c r="I463" i="6"/>
  <c r="L475" i="6"/>
  <c r="M478" i="6"/>
  <c r="M482" i="6"/>
  <c r="N482" i="6" s="1"/>
  <c r="M486" i="6"/>
  <c r="N486" i="6" s="1"/>
  <c r="A490" i="7" s="1"/>
  <c r="I489" i="6"/>
  <c r="J490" i="6"/>
  <c r="K490" i="6" s="1"/>
  <c r="B494" i="7" s="1"/>
  <c r="I491" i="6"/>
  <c r="K491" i="6" s="1"/>
  <c r="B495" i="7" s="1"/>
  <c r="J492" i="6"/>
  <c r="K492" i="6" s="1"/>
  <c r="B496" i="7" s="1"/>
  <c r="M507" i="6"/>
  <c r="M510" i="6"/>
  <c r="L513" i="6"/>
  <c r="M518" i="6"/>
  <c r="M542" i="6"/>
  <c r="M546" i="6"/>
  <c r="M550" i="6"/>
  <c r="J553" i="6"/>
  <c r="K553" i="6" s="1"/>
  <c r="B557" i="7" s="1"/>
  <c r="J557" i="6"/>
  <c r="K557" i="6" s="1"/>
  <c r="B561" i="7" s="1"/>
  <c r="I561" i="6"/>
  <c r="K561" i="6" s="1"/>
  <c r="B565" i="7" s="1"/>
  <c r="J563" i="6"/>
  <c r="K563" i="6" s="1"/>
  <c r="B567" i="7" s="1"/>
  <c r="M574" i="6"/>
  <c r="I578" i="6"/>
  <c r="J581" i="6"/>
  <c r="J583" i="6"/>
  <c r="K583" i="6" s="1"/>
  <c r="B587" i="7" s="1"/>
  <c r="J584" i="6"/>
  <c r="K584" i="6" s="1"/>
  <c r="B588" i="7" s="1"/>
  <c r="I598" i="6"/>
  <c r="I600" i="6"/>
  <c r="J601" i="6"/>
  <c r="I602" i="6"/>
  <c r="J610" i="6"/>
  <c r="I612" i="6"/>
  <c r="I631" i="6"/>
  <c r="I640" i="6"/>
  <c r="K640" i="6" s="1"/>
  <c r="B644" i="7" s="1"/>
  <c r="I644" i="6"/>
  <c r="M664" i="6"/>
  <c r="N664" i="6" s="1"/>
  <c r="A668" i="7" s="1"/>
  <c r="I679" i="6"/>
  <c r="J680" i="6"/>
  <c r="I681" i="6"/>
  <c r="K681" i="6" s="1"/>
  <c r="B685" i="7" s="1"/>
  <c r="J684" i="6"/>
  <c r="L685" i="6"/>
  <c r="N685" i="6" s="1"/>
  <c r="O685" i="6" s="1"/>
  <c r="J705" i="6"/>
  <c r="K705" i="6" s="1"/>
  <c r="B709" i="7" s="1"/>
  <c r="I731" i="6"/>
  <c r="K731" i="6" s="1"/>
  <c r="B735" i="7" s="1"/>
  <c r="I733" i="6"/>
  <c r="J735" i="6"/>
  <c r="J759" i="6"/>
  <c r="L764" i="6"/>
  <c r="I767" i="6"/>
  <c r="J769" i="6"/>
  <c r="M771" i="6"/>
  <c r="L777" i="6"/>
  <c r="J817" i="6"/>
  <c r="I829" i="6"/>
  <c r="J833" i="6"/>
  <c r="J841" i="6"/>
  <c r="J852" i="6"/>
  <c r="I861" i="6"/>
  <c r="L869" i="6"/>
  <c r="I871" i="6"/>
  <c r="K871" i="6" s="1"/>
  <c r="B875" i="7" s="1"/>
  <c r="I881" i="6"/>
  <c r="J883" i="6"/>
  <c r="I897" i="6"/>
  <c r="L901" i="6"/>
  <c r="I913" i="6"/>
  <c r="I914" i="6"/>
  <c r="I918" i="6"/>
  <c r="I921" i="6"/>
  <c r="I922" i="6"/>
  <c r="I925" i="6"/>
  <c r="L933" i="6"/>
  <c r="J969" i="6"/>
  <c r="M989" i="6"/>
  <c r="I355" i="6"/>
  <c r="J358" i="6"/>
  <c r="K358" i="6" s="1"/>
  <c r="B362" i="7" s="1"/>
  <c r="L367" i="6"/>
  <c r="N367" i="6" s="1"/>
  <c r="L369" i="6"/>
  <c r="M374" i="6"/>
  <c r="J376" i="6"/>
  <c r="J379" i="6"/>
  <c r="I386" i="6"/>
  <c r="L390" i="6"/>
  <c r="L391" i="6"/>
  <c r="N391" i="6" s="1"/>
  <c r="O391" i="6" s="1"/>
  <c r="J400" i="6"/>
  <c r="J403" i="6"/>
  <c r="K403" i="6" s="1"/>
  <c r="B407" i="7" s="1"/>
  <c r="J406" i="6"/>
  <c r="L413" i="6"/>
  <c r="N413" i="6" s="1"/>
  <c r="J424" i="6"/>
  <c r="L440" i="6"/>
  <c r="N440" i="6" s="1"/>
  <c r="O440" i="6" s="1"/>
  <c r="M441" i="6"/>
  <c r="I450" i="6"/>
  <c r="J455" i="6"/>
  <c r="K455" i="6" s="1"/>
  <c r="B459" i="7" s="1"/>
  <c r="J456" i="6"/>
  <c r="I457" i="6"/>
  <c r="J458" i="6"/>
  <c r="J459" i="6"/>
  <c r="I461" i="6"/>
  <c r="J462" i="6"/>
  <c r="K462" i="6" s="1"/>
  <c r="B466" i="7" s="1"/>
  <c r="J463" i="6"/>
  <c r="J464" i="6"/>
  <c r="K464" i="6" s="1"/>
  <c r="B468" i="7" s="1"/>
  <c r="I467" i="6"/>
  <c r="K467" i="6" s="1"/>
  <c r="B471" i="7" s="1"/>
  <c r="L477" i="6"/>
  <c r="L481" i="6"/>
  <c r="J489" i="6"/>
  <c r="J491" i="6"/>
  <c r="I493" i="6"/>
  <c r="K493" i="6" s="1"/>
  <c r="B497" i="7" s="1"/>
  <c r="J494" i="6"/>
  <c r="K494" i="6" s="1"/>
  <c r="B498" i="7" s="1"/>
  <c r="I495" i="6"/>
  <c r="K495" i="6" s="1"/>
  <c r="B499" i="7" s="1"/>
  <c r="I499" i="6"/>
  <c r="K499" i="6" s="1"/>
  <c r="B503" i="7" s="1"/>
  <c r="L509" i="6"/>
  <c r="J519" i="6"/>
  <c r="J520" i="6"/>
  <c r="I523" i="6"/>
  <c r="J524" i="6"/>
  <c r="K524" i="6" s="1"/>
  <c r="B528" i="7" s="1"/>
  <c r="I527" i="6"/>
  <c r="K527" i="6" s="1"/>
  <c r="B531" i="7" s="1"/>
  <c r="I531" i="6"/>
  <c r="K531" i="6" s="1"/>
  <c r="M537" i="6"/>
  <c r="L541" i="6"/>
  <c r="L545" i="6"/>
  <c r="L559" i="6"/>
  <c r="J561" i="6"/>
  <c r="I565" i="6"/>
  <c r="K565" i="6" s="1"/>
  <c r="B569" i="7" s="1"/>
  <c r="M578" i="6"/>
  <c r="N578" i="6" s="1"/>
  <c r="M582" i="6"/>
  <c r="N582" i="6" s="1"/>
  <c r="I585" i="6"/>
  <c r="K585" i="6" s="1"/>
  <c r="B589" i="7" s="1"/>
  <c r="J586" i="6"/>
  <c r="I587" i="6"/>
  <c r="J588" i="6"/>
  <c r="I591" i="6"/>
  <c r="K591" i="6" s="1"/>
  <c r="B595" i="7" s="1"/>
  <c r="L597" i="6"/>
  <c r="N597" i="6" s="1"/>
  <c r="I605" i="6"/>
  <c r="J606" i="6"/>
  <c r="I610" i="6"/>
  <c r="K610" i="6" s="1"/>
  <c r="I627" i="6"/>
  <c r="J632" i="6"/>
  <c r="I633" i="6"/>
  <c r="J640" i="6"/>
  <c r="J642" i="6"/>
  <c r="K642" i="6" s="1"/>
  <c r="B646" i="7" s="1"/>
  <c r="J644" i="6"/>
  <c r="J646" i="6"/>
  <c r="M665" i="6"/>
  <c r="J678" i="6"/>
  <c r="K678" i="6" s="1"/>
  <c r="B682" i="7" s="1"/>
  <c r="J681" i="6"/>
  <c r="L689" i="6"/>
  <c r="N689" i="6" s="1"/>
  <c r="J704" i="6"/>
  <c r="L709" i="6"/>
  <c r="I715" i="6"/>
  <c r="K715" i="6" s="1"/>
  <c r="B719" i="7" s="1"/>
  <c r="J716" i="6"/>
  <c r="L718" i="6"/>
  <c r="I730" i="6"/>
  <c r="J731" i="6"/>
  <c r="I757" i="6"/>
  <c r="K757" i="6" s="1"/>
  <c r="B761" i="7" s="1"/>
  <c r="J758" i="6"/>
  <c r="J767" i="6"/>
  <c r="L785" i="6"/>
  <c r="N785" i="6" s="1"/>
  <c r="M786" i="6"/>
  <c r="J795" i="6"/>
  <c r="J796" i="6"/>
  <c r="L799" i="6"/>
  <c r="M799" i="6"/>
  <c r="N799" i="6" s="1"/>
  <c r="J807" i="6"/>
  <c r="L821" i="6"/>
  <c r="L826" i="6"/>
  <c r="J829" i="6"/>
  <c r="J840" i="6"/>
  <c r="I841" i="6"/>
  <c r="J843" i="6"/>
  <c r="L856" i="6"/>
  <c r="I859" i="6"/>
  <c r="L863" i="6"/>
  <c r="M863" i="6"/>
  <c r="N863" i="6" s="1"/>
  <c r="P863" i="6" s="1"/>
  <c r="Q863" i="6" s="1"/>
  <c r="M869" i="6"/>
  <c r="J881" i="6"/>
  <c r="M895" i="6"/>
  <c r="N895" i="6" s="1"/>
  <c r="J913" i="6"/>
  <c r="I966" i="6"/>
  <c r="K966" i="6" s="1"/>
  <c r="B970" i="7" s="1"/>
  <c r="I982" i="6"/>
  <c r="I989" i="6"/>
  <c r="I990" i="6"/>
  <c r="I998" i="6"/>
  <c r="J656" i="6"/>
  <c r="K656" i="6" s="1"/>
  <c r="B660" i="7" s="1"/>
  <c r="J683" i="6"/>
  <c r="J689" i="6"/>
  <c r="I693" i="6"/>
  <c r="J694" i="6"/>
  <c r="J698" i="6"/>
  <c r="L701" i="6"/>
  <c r="L706" i="6"/>
  <c r="N706" i="6" s="1"/>
  <c r="L715" i="6"/>
  <c r="N715" i="6" s="1"/>
  <c r="M741" i="6"/>
  <c r="L751" i="6"/>
  <c r="L760" i="6"/>
  <c r="M766" i="6"/>
  <c r="I773" i="6"/>
  <c r="K773" i="6" s="1"/>
  <c r="B777" i="7" s="1"/>
  <c r="I774" i="6"/>
  <c r="I775" i="6"/>
  <c r="K775" i="6" s="1"/>
  <c r="B779" i="7" s="1"/>
  <c r="L784" i="6"/>
  <c r="M785" i="6"/>
  <c r="J820" i="6"/>
  <c r="I821" i="6"/>
  <c r="M822" i="6"/>
  <c r="N822" i="6" s="1"/>
  <c r="I825" i="6"/>
  <c r="M834" i="6"/>
  <c r="N834" i="6" s="1"/>
  <c r="M835" i="6"/>
  <c r="M845" i="6"/>
  <c r="N845" i="6" s="1"/>
  <c r="O845" i="6" s="1"/>
  <c r="M850" i="6"/>
  <c r="J856" i="6"/>
  <c r="I857" i="6"/>
  <c r="I858" i="6"/>
  <c r="J859" i="6"/>
  <c r="L879" i="6"/>
  <c r="I905" i="6"/>
  <c r="K905" i="6" s="1"/>
  <c r="B909" i="7" s="1"/>
  <c r="I908" i="6"/>
  <c r="J942" i="6"/>
  <c r="J943" i="6"/>
  <c r="I945" i="6"/>
  <c r="I947" i="6"/>
  <c r="I950" i="6"/>
  <c r="I951" i="6"/>
  <c r="I953" i="6"/>
  <c r="K953" i="6" s="1"/>
  <c r="B957" i="7" s="1"/>
  <c r="I959" i="6"/>
  <c r="L965" i="6"/>
  <c r="L970" i="6"/>
  <c r="I976" i="6"/>
  <c r="I978" i="6"/>
  <c r="J982" i="6"/>
  <c r="I985" i="6"/>
  <c r="I986" i="6"/>
  <c r="I987" i="6"/>
  <c r="M993" i="6"/>
  <c r="I994" i="6"/>
  <c r="I1001" i="6"/>
  <c r="K1001" i="6" s="1"/>
  <c r="B1005" i="7" s="1"/>
  <c r="L629" i="6"/>
  <c r="M629" i="6"/>
  <c r="N629" i="6" s="1"/>
  <c r="A633" i="7" s="1"/>
  <c r="I680" i="6"/>
  <c r="K680" i="6" s="1"/>
  <c r="B684" i="7" s="1"/>
  <c r="L687" i="6"/>
  <c r="N687" i="6" s="1"/>
  <c r="L749" i="6"/>
  <c r="N749" i="6" s="1"/>
  <c r="L757" i="6"/>
  <c r="N757" i="6" s="1"/>
  <c r="L758" i="6"/>
  <c r="N758" i="6" s="1"/>
  <c r="O758" i="6" s="1"/>
  <c r="J760" i="6"/>
  <c r="I761" i="6"/>
  <c r="J774" i="6"/>
  <c r="L781" i="6"/>
  <c r="I807" i="6"/>
  <c r="K807" i="6" s="1"/>
  <c r="B811" i="7" s="1"/>
  <c r="L810" i="6"/>
  <c r="N810" i="6" s="1"/>
  <c r="L813" i="6"/>
  <c r="L818" i="6"/>
  <c r="I822" i="6"/>
  <c r="K822" i="6" s="1"/>
  <c r="B826" i="7" s="1"/>
  <c r="I823" i="6"/>
  <c r="K823" i="6" s="1"/>
  <c r="B827" i="7" s="1"/>
  <c r="M828" i="6"/>
  <c r="J847" i="6"/>
  <c r="M865" i="6"/>
  <c r="I867" i="6"/>
  <c r="K867" i="6" s="1"/>
  <c r="B871" i="7" s="1"/>
  <c r="L885" i="6"/>
  <c r="L889" i="6"/>
  <c r="M893" i="6"/>
  <c r="N893" i="6" s="1"/>
  <c r="I901" i="6"/>
  <c r="I902" i="6"/>
  <c r="K902" i="6" s="1"/>
  <c r="B906" i="7" s="1"/>
  <c r="I907" i="6"/>
  <c r="L916" i="6"/>
  <c r="L921" i="6"/>
  <c r="N921" i="6" s="1"/>
  <c r="L927" i="6"/>
  <c r="I937" i="6"/>
  <c r="I943" i="6"/>
  <c r="J945" i="6"/>
  <c r="J947" i="6"/>
  <c r="J950" i="6"/>
  <c r="K950" i="6" s="1"/>
  <c r="B954" i="7" s="1"/>
  <c r="J951" i="6"/>
  <c r="I956" i="6"/>
  <c r="L969" i="6"/>
  <c r="I973" i="6"/>
  <c r="I977" i="6"/>
  <c r="J979" i="6"/>
  <c r="I980" i="6"/>
  <c r="J985" i="6"/>
  <c r="J987" i="6"/>
  <c r="I991" i="6"/>
  <c r="I993" i="6"/>
  <c r="K993" i="6" s="1"/>
  <c r="B997" i="7" s="1"/>
  <c r="J1001" i="6"/>
  <c r="J612" i="6"/>
  <c r="J614" i="6"/>
  <c r="M634" i="6"/>
  <c r="M635" i="6"/>
  <c r="M638" i="6"/>
  <c r="J649" i="6"/>
  <c r="J653" i="6"/>
  <c r="K653" i="6" s="1"/>
  <c r="B657" i="7" s="1"/>
  <c r="I657" i="6"/>
  <c r="I661" i="6"/>
  <c r="I668" i="6"/>
  <c r="I672" i="6"/>
  <c r="K672" i="6" s="1"/>
  <c r="B676" i="7" s="1"/>
  <c r="L681" i="6"/>
  <c r="L697" i="6"/>
  <c r="N697" i="6" s="1"/>
  <c r="A701" i="7" s="1"/>
  <c r="L704" i="6"/>
  <c r="N704" i="6" s="1"/>
  <c r="M706" i="6"/>
  <c r="M711" i="6"/>
  <c r="M714" i="6"/>
  <c r="I722" i="6"/>
  <c r="J725" i="6"/>
  <c r="J727" i="6"/>
  <c r="K727" i="6" s="1"/>
  <c r="B731" i="7" s="1"/>
  <c r="L730" i="6"/>
  <c r="N730" i="6" s="1"/>
  <c r="L741" i="6"/>
  <c r="N741" i="6" s="1"/>
  <c r="A745" i="7" s="1"/>
  <c r="I743" i="6"/>
  <c r="K743" i="6" s="1"/>
  <c r="B747" i="7" s="1"/>
  <c r="J746" i="6"/>
  <c r="L767" i="6"/>
  <c r="J768" i="6"/>
  <c r="M777" i="6"/>
  <c r="L786" i="6"/>
  <c r="I789" i="6"/>
  <c r="K789" i="6" s="1"/>
  <c r="B793" i="7" s="1"/>
  <c r="I793" i="6"/>
  <c r="M794" i="6"/>
  <c r="J799" i="6"/>
  <c r="J800" i="6"/>
  <c r="L825" i="6"/>
  <c r="M829" i="6"/>
  <c r="N829" i="6" s="1"/>
  <c r="M830" i="6"/>
  <c r="I831" i="6"/>
  <c r="K831" i="6" s="1"/>
  <c r="B835" i="7" s="1"/>
  <c r="I835" i="6"/>
  <c r="J838" i="6"/>
  <c r="L854" i="6"/>
  <c r="N854" i="6" s="1"/>
  <c r="J857" i="6"/>
  <c r="J860" i="6"/>
  <c r="L865" i="6"/>
  <c r="I896" i="6"/>
  <c r="L903" i="6"/>
  <c r="M913" i="6"/>
  <c r="N913" i="6" s="1"/>
  <c r="M921" i="6"/>
  <c r="I929" i="6"/>
  <c r="I931" i="6"/>
  <c r="K931" i="6" s="1"/>
  <c r="B935" i="7" s="1"/>
  <c r="J934" i="6"/>
  <c r="M936" i="6"/>
  <c r="N936" i="6" s="1"/>
  <c r="O936" i="6" s="1"/>
  <c r="L943" i="6"/>
  <c r="N943" i="6" s="1"/>
  <c r="I974" i="6"/>
  <c r="K974" i="6" s="1"/>
  <c r="B978" i="7" s="1"/>
  <c r="J977" i="6"/>
  <c r="I988" i="6"/>
  <c r="J993" i="6"/>
  <c r="I996" i="6"/>
  <c r="O79" i="6"/>
  <c r="N129" i="6"/>
  <c r="A329" i="7"/>
  <c r="O325" i="6"/>
  <c r="O352" i="6"/>
  <c r="O484" i="6"/>
  <c r="O599" i="6"/>
  <c r="O22" i="6"/>
  <c r="P22" i="6"/>
  <c r="Q22" i="6" s="1"/>
  <c r="A43" i="7"/>
  <c r="O86" i="6"/>
  <c r="A107" i="7"/>
  <c r="O103" i="6"/>
  <c r="A154" i="7"/>
  <c r="O150" i="6"/>
  <c r="P150" i="6"/>
  <c r="Q150" i="6" s="1"/>
  <c r="A171" i="7"/>
  <c r="O167" i="6"/>
  <c r="P548" i="6"/>
  <c r="Q548" i="6" s="1"/>
  <c r="A866" i="7"/>
  <c r="O862" i="6"/>
  <c r="O897" i="6"/>
  <c r="A10" i="7"/>
  <c r="O6" i="6"/>
  <c r="A27" i="7"/>
  <c r="O285" i="6"/>
  <c r="O333" i="6"/>
  <c r="O456" i="6"/>
  <c r="A98" i="7"/>
  <c r="O94" i="6"/>
  <c r="A339" i="7"/>
  <c r="P335" i="6"/>
  <c r="Q335" i="6" s="1"/>
  <c r="O335" i="6"/>
  <c r="P359" i="6"/>
  <c r="Q359" i="6" s="1"/>
  <c r="A524" i="7"/>
  <c r="A535" i="7"/>
  <c r="O531" i="6"/>
  <c r="F5" i="4"/>
  <c r="E5" i="4"/>
  <c r="G5" i="4" s="1"/>
  <c r="D13" i="10" s="1"/>
  <c r="O136" i="6"/>
  <c r="P182" i="6"/>
  <c r="Q182" i="6" s="1"/>
  <c r="A203" i="7"/>
  <c r="O199" i="6"/>
  <c r="A204" i="7"/>
  <c r="P200" i="6"/>
  <c r="Q200" i="6" s="1"/>
  <c r="O200" i="6"/>
  <c r="O293" i="6"/>
  <c r="A300" i="7"/>
  <c r="O296" i="6"/>
  <c r="A503" i="7"/>
  <c r="A50" i="7"/>
  <c r="O46" i="6"/>
  <c r="P46" i="6"/>
  <c r="Q46" i="6" s="1"/>
  <c r="O110" i="6"/>
  <c r="A178" i="7"/>
  <c r="O174" i="6"/>
  <c r="P174" i="6"/>
  <c r="Q174" i="6" s="1"/>
  <c r="A805" i="7"/>
  <c r="O801" i="6"/>
  <c r="O87" i="6"/>
  <c r="A138" i="7"/>
  <c r="A340" i="7"/>
  <c r="O336" i="6"/>
  <c r="A388" i="7"/>
  <c r="O384" i="6"/>
  <c r="A115" i="7"/>
  <c r="A116" i="7"/>
  <c r="O112" i="6"/>
  <c r="A162" i="7"/>
  <c r="O158" i="6"/>
  <c r="A385" i="7"/>
  <c r="O381" i="6"/>
  <c r="I5" i="5"/>
  <c r="H5" i="5"/>
  <c r="A18" i="7"/>
  <c r="O32" i="6"/>
  <c r="O95" i="6"/>
  <c r="P160" i="6"/>
  <c r="Q160" i="6" s="1"/>
  <c r="A226" i="7"/>
  <c r="O222" i="6"/>
  <c r="A242" i="7"/>
  <c r="O365" i="6"/>
  <c r="A369" i="7"/>
  <c r="A396" i="7"/>
  <c r="P410" i="6"/>
  <c r="Q410" i="6" s="1"/>
  <c r="O410" i="6"/>
  <c r="O416" i="6"/>
  <c r="A438" i="7"/>
  <c r="A441" i="7"/>
  <c r="O437" i="6"/>
  <c r="N830" i="6"/>
  <c r="O833" i="6"/>
  <c r="A837" i="7"/>
  <c r="A305" i="7"/>
  <c r="O301" i="6"/>
  <c r="O394" i="6"/>
  <c r="A693" i="7"/>
  <c r="P689" i="6"/>
  <c r="Q689" i="6" s="1"/>
  <c r="O689" i="6"/>
  <c r="P303" i="6"/>
  <c r="Q303" i="6" s="1"/>
  <c r="O303" i="6"/>
  <c r="A425" i="7"/>
  <c r="O421" i="6"/>
  <c r="O544" i="6"/>
  <c r="O700" i="6"/>
  <c r="O63" i="6"/>
  <c r="A67" i="7"/>
  <c r="A195" i="7"/>
  <c r="O191" i="6"/>
  <c r="A284" i="7"/>
  <c r="O280" i="6"/>
  <c r="A492" i="7"/>
  <c r="O488" i="6"/>
  <c r="A556" i="7"/>
  <c r="P552" i="6"/>
  <c r="Q552" i="6" s="1"/>
  <c r="A663" i="7"/>
  <c r="A773" i="7"/>
  <c r="O769" i="6"/>
  <c r="O151" i="6"/>
  <c r="A380" i="7"/>
  <c r="P376" i="6"/>
  <c r="Q376" i="6" s="1"/>
  <c r="A612" i="7"/>
  <c r="O608" i="6"/>
  <c r="A616" i="7"/>
  <c r="O612" i="6"/>
  <c r="A627" i="7"/>
  <c r="A801" i="7"/>
  <c r="O797" i="6"/>
  <c r="A362" i="7"/>
  <c r="O358" i="6"/>
  <c r="O55" i="6"/>
  <c r="O56" i="6"/>
  <c r="A106" i="7"/>
  <c r="O119" i="6"/>
  <c r="A124" i="7"/>
  <c r="P166" i="6"/>
  <c r="Q166" i="6" s="1"/>
  <c r="A217" i="7"/>
  <c r="O213" i="6"/>
  <c r="A417" i="7"/>
  <c r="O413" i="6"/>
  <c r="O503" i="6"/>
  <c r="A689" i="7"/>
  <c r="I10" i="5"/>
  <c r="H10" i="5"/>
  <c r="A153" i="7"/>
  <c r="O149" i="6"/>
  <c r="L457" i="6"/>
  <c r="M457" i="6"/>
  <c r="M515" i="6"/>
  <c r="L515" i="6"/>
  <c r="N515" i="6" s="1"/>
  <c r="A547" i="7"/>
  <c r="O543" i="6"/>
  <c r="L549" i="6"/>
  <c r="M549" i="6"/>
  <c r="L583" i="6"/>
  <c r="M583" i="6"/>
  <c r="A624" i="7"/>
  <c r="O620" i="6"/>
  <c r="M693" i="6"/>
  <c r="L693" i="6"/>
  <c r="N693" i="6" s="1"/>
  <c r="N780" i="6"/>
  <c r="L787" i="6"/>
  <c r="M787" i="6"/>
  <c r="A858" i="7"/>
  <c r="O854" i="6"/>
  <c r="M866" i="6"/>
  <c r="L866" i="6"/>
  <c r="O882" i="6"/>
  <c r="L963" i="6"/>
  <c r="M963" i="6"/>
  <c r="M4" i="6"/>
  <c r="L4" i="6"/>
  <c r="N4" i="6" s="1"/>
  <c r="M20" i="6"/>
  <c r="L20" i="6"/>
  <c r="M28" i="6"/>
  <c r="L28" i="6"/>
  <c r="M36" i="6"/>
  <c r="L36" i="6"/>
  <c r="M44" i="6"/>
  <c r="L44" i="6"/>
  <c r="N44" i="6" s="1"/>
  <c r="M60" i="6"/>
  <c r="L60" i="6"/>
  <c r="M76" i="6"/>
  <c r="L76" i="6"/>
  <c r="M84" i="6"/>
  <c r="L84" i="6"/>
  <c r="M116" i="6"/>
  <c r="L116" i="6"/>
  <c r="N116" i="6" s="1"/>
  <c r="M156" i="6"/>
  <c r="L156" i="6"/>
  <c r="M164" i="6"/>
  <c r="L164" i="6"/>
  <c r="M172" i="6"/>
  <c r="L172" i="6"/>
  <c r="M180" i="6"/>
  <c r="L180" i="6"/>
  <c r="N180" i="6" s="1"/>
  <c r="M188" i="6"/>
  <c r="L188" i="6"/>
  <c r="M204" i="6"/>
  <c r="L204" i="6"/>
  <c r="K266" i="6"/>
  <c r="B270" i="7" s="1"/>
  <c r="L287" i="6"/>
  <c r="M292" i="6"/>
  <c r="L292" i="6"/>
  <c r="M299" i="6"/>
  <c r="L299" i="6"/>
  <c r="N299" i="6" s="1"/>
  <c r="L319" i="6"/>
  <c r="M324" i="6"/>
  <c r="L324" i="6"/>
  <c r="M331" i="6"/>
  <c r="L331" i="6"/>
  <c r="L351" i="6"/>
  <c r="N351" i="6" s="1"/>
  <c r="M356" i="6"/>
  <c r="L356" i="6"/>
  <c r="L415" i="6"/>
  <c r="N415" i="6" s="1"/>
  <c r="M420" i="6"/>
  <c r="L420" i="6"/>
  <c r="L447" i="6"/>
  <c r="N447" i="6" s="1"/>
  <c r="L453" i="6"/>
  <c r="M453" i="6"/>
  <c r="M470" i="6"/>
  <c r="L470" i="6"/>
  <c r="M474" i="6"/>
  <c r="L474" i="6"/>
  <c r="L487" i="6"/>
  <c r="M487" i="6"/>
  <c r="A528" i="7"/>
  <c r="O524" i="6"/>
  <c r="K546" i="6"/>
  <c r="B550" i="7" s="1"/>
  <c r="L617" i="6"/>
  <c r="M617" i="6"/>
  <c r="M626" i="6"/>
  <c r="L626" i="6"/>
  <c r="N626" i="6" s="1"/>
  <c r="M630" i="6"/>
  <c r="L630" i="6"/>
  <c r="M686" i="6"/>
  <c r="L686" i="6"/>
  <c r="M732" i="6"/>
  <c r="L732" i="6"/>
  <c r="K917" i="6"/>
  <c r="B921" i="7" s="1"/>
  <c r="N957" i="6"/>
  <c r="L999" i="6"/>
  <c r="N999" i="6" s="1"/>
  <c r="M999" i="6"/>
  <c r="H8" i="3"/>
  <c r="J8" i="3" s="1"/>
  <c r="K2" i="6"/>
  <c r="K26" i="6"/>
  <c r="B30" i="7" s="1"/>
  <c r="K34" i="6"/>
  <c r="B38" i="7" s="1"/>
  <c r="M41" i="6"/>
  <c r="M49" i="6"/>
  <c r="M57" i="6"/>
  <c r="N57" i="6" s="1"/>
  <c r="M97" i="6"/>
  <c r="N97" i="6" s="1"/>
  <c r="K114" i="6"/>
  <c r="B118" i="7" s="1"/>
  <c r="K122" i="6"/>
  <c r="B126" i="7" s="1"/>
  <c r="M145" i="6"/>
  <c r="N145" i="6" s="1"/>
  <c r="K154" i="6"/>
  <c r="B158" i="7" s="1"/>
  <c r="M177" i="6"/>
  <c r="N177" i="6" s="1"/>
  <c r="K186" i="6"/>
  <c r="B190" i="7" s="1"/>
  <c r="M193" i="6"/>
  <c r="N193" i="6" s="1"/>
  <c r="M201" i="6"/>
  <c r="L220" i="6"/>
  <c r="M220" i="6"/>
  <c r="L236" i="6"/>
  <c r="M236" i="6"/>
  <c r="K243" i="6"/>
  <c r="B247" i="7" s="1"/>
  <c r="L268" i="6"/>
  <c r="M268" i="6"/>
  <c r="L302" i="6"/>
  <c r="N302" i="6" s="1"/>
  <c r="L334" i="6"/>
  <c r="N334" i="6" s="1"/>
  <c r="L398" i="6"/>
  <c r="N398" i="6" s="1"/>
  <c r="L430" i="6"/>
  <c r="N430" i="6" s="1"/>
  <c r="K435" i="6"/>
  <c r="B439" i="7" s="1"/>
  <c r="M481" i="6"/>
  <c r="N481" i="6" s="1"/>
  <c r="M555" i="6"/>
  <c r="L555" i="6"/>
  <c r="N555" i="6" s="1"/>
  <c r="M579" i="6"/>
  <c r="L579" i="6"/>
  <c r="L613" i="6"/>
  <c r="M613" i="6"/>
  <c r="K632" i="6"/>
  <c r="L641" i="6"/>
  <c r="M641" i="6"/>
  <c r="N649" i="6"/>
  <c r="M671" i="6"/>
  <c r="L671" i="6"/>
  <c r="L679" i="6"/>
  <c r="M679" i="6"/>
  <c r="G7" i="3"/>
  <c r="J7" i="3" s="1"/>
  <c r="E6" i="4"/>
  <c r="G6" i="4" s="1"/>
  <c r="D14" i="10" s="1"/>
  <c r="M208" i="6"/>
  <c r="L208" i="6"/>
  <c r="I220" i="6"/>
  <c r="K220" i="6" s="1"/>
  <c r="B224" i="7" s="1"/>
  <c r="M224" i="6"/>
  <c r="L224" i="6"/>
  <c r="I236" i="6"/>
  <c r="L278" i="6"/>
  <c r="K315" i="6"/>
  <c r="B319" i="7" s="1"/>
  <c r="L342" i="6"/>
  <c r="N342" i="6" s="1"/>
  <c r="L374" i="6"/>
  <c r="N374" i="6" s="1"/>
  <c r="M619" i="6"/>
  <c r="L619" i="6"/>
  <c r="M695" i="6"/>
  <c r="M709" i="6"/>
  <c r="L761" i="6"/>
  <c r="N761" i="6" s="1"/>
  <c r="A769" i="7"/>
  <c r="O765" i="6"/>
  <c r="A890" i="7"/>
  <c r="O886" i="6"/>
  <c r="L949" i="6"/>
  <c r="M949" i="6"/>
  <c r="N970" i="6"/>
  <c r="M972" i="6"/>
  <c r="L972" i="6"/>
  <c r="L974" i="6"/>
  <c r="M974" i="6"/>
  <c r="K153" i="6"/>
  <c r="B157" i="7" s="1"/>
  <c r="L217" i="6"/>
  <c r="I226" i="6"/>
  <c r="K226" i="6" s="1"/>
  <c r="B230" i="7" s="1"/>
  <c r="L233" i="6"/>
  <c r="N233" i="6" s="1"/>
  <c r="I242" i="6"/>
  <c r="K242" i="6" s="1"/>
  <c r="B246" i="7" s="1"/>
  <c r="L249" i="6"/>
  <c r="I258" i="6"/>
  <c r="L265" i="6"/>
  <c r="I274" i="6"/>
  <c r="M276" i="6"/>
  <c r="L276" i="6"/>
  <c r="N276" i="6" s="1"/>
  <c r="M283" i="6"/>
  <c r="L283" i="6"/>
  <c r="I285" i="6"/>
  <c r="K285" i="6" s="1"/>
  <c r="B289" i="7" s="1"/>
  <c r="L289" i="6"/>
  <c r="N289" i="6" s="1"/>
  <c r="L489" i="6"/>
  <c r="M489" i="6"/>
  <c r="M498" i="6"/>
  <c r="L498" i="6"/>
  <c r="N498" i="6" s="1"/>
  <c r="K502" i="6"/>
  <c r="B506" i="7" s="1"/>
  <c r="K510" i="6"/>
  <c r="B514" i="7" s="1"/>
  <c r="M523" i="6"/>
  <c r="L523" i="6"/>
  <c r="L526" i="6"/>
  <c r="N526" i="6" s="1"/>
  <c r="M547" i="6"/>
  <c r="L547" i="6"/>
  <c r="N547" i="6" s="1"/>
  <c r="M571" i="6"/>
  <c r="N571" i="6" s="1"/>
  <c r="L575" i="6"/>
  <c r="N575" i="6" s="1"/>
  <c r="L581" i="6"/>
  <c r="M581" i="6"/>
  <c r="M598" i="6"/>
  <c r="L598" i="6"/>
  <c r="N598" i="6" s="1"/>
  <c r="M602" i="6"/>
  <c r="L602" i="6"/>
  <c r="O604" i="6"/>
  <c r="L615" i="6"/>
  <c r="M615" i="6"/>
  <c r="L645" i="6"/>
  <c r="M645" i="6"/>
  <c r="L673" i="6"/>
  <c r="M673" i="6"/>
  <c r="A692" i="7"/>
  <c r="O688" i="6"/>
  <c r="M690" i="6"/>
  <c r="L690" i="6"/>
  <c r="N690" i="6" s="1"/>
  <c r="I709" i="6"/>
  <c r="K709" i="6" s="1"/>
  <c r="B713" i="7" s="1"/>
  <c r="A741" i="7"/>
  <c r="O737" i="6"/>
  <c r="O741" i="6"/>
  <c r="M798" i="6"/>
  <c r="L798" i="6"/>
  <c r="N798" i="6" s="1"/>
  <c r="M809" i="6"/>
  <c r="N809" i="6" s="1"/>
  <c r="M810" i="6"/>
  <c r="M813" i="6"/>
  <c r="N813" i="6" s="1"/>
  <c r="J813" i="6"/>
  <c r="A849" i="7"/>
  <c r="L858" i="6"/>
  <c r="M858" i="6"/>
  <c r="O878" i="6"/>
  <c r="M889" i="6"/>
  <c r="N889" i="6" s="1"/>
  <c r="L911" i="6"/>
  <c r="M911" i="6"/>
  <c r="M934" i="6"/>
  <c r="L934" i="6"/>
  <c r="N934" i="6" s="1"/>
  <c r="K943" i="6"/>
  <c r="B947" i="7" s="1"/>
  <c r="H6" i="5"/>
  <c r="L3" i="6"/>
  <c r="M3" i="6"/>
  <c r="J9" i="6"/>
  <c r="L11" i="6"/>
  <c r="M11" i="6"/>
  <c r="J17" i="6"/>
  <c r="L19" i="6"/>
  <c r="M19" i="6"/>
  <c r="J25" i="6"/>
  <c r="L27" i="6"/>
  <c r="M27" i="6"/>
  <c r="J33" i="6"/>
  <c r="K33" i="6" s="1"/>
  <c r="B37" i="7" s="1"/>
  <c r="L35" i="6"/>
  <c r="M35" i="6"/>
  <c r="J41" i="6"/>
  <c r="K41" i="6" s="1"/>
  <c r="B45" i="7" s="1"/>
  <c r="L43" i="6"/>
  <c r="M43" i="6"/>
  <c r="J49" i="6"/>
  <c r="L51" i="6"/>
  <c r="M51" i="6"/>
  <c r="J57" i="6"/>
  <c r="L59" i="6"/>
  <c r="M59" i="6"/>
  <c r="J65" i="6"/>
  <c r="K65" i="6" s="1"/>
  <c r="B69" i="7" s="1"/>
  <c r="L67" i="6"/>
  <c r="M67" i="6"/>
  <c r="J73" i="6"/>
  <c r="K73" i="6" s="1"/>
  <c r="B77" i="7" s="1"/>
  <c r="L75" i="6"/>
  <c r="M75" i="6"/>
  <c r="J81" i="6"/>
  <c r="L83" i="6"/>
  <c r="M83" i="6"/>
  <c r="J89" i="6"/>
  <c r="L91" i="6"/>
  <c r="M91" i="6"/>
  <c r="J97" i="6"/>
  <c r="K97" i="6" s="1"/>
  <c r="B101" i="7" s="1"/>
  <c r="L99" i="6"/>
  <c r="M99" i="6"/>
  <c r="J105" i="6"/>
  <c r="K105" i="6" s="1"/>
  <c r="B109" i="7" s="1"/>
  <c r="L107" i="6"/>
  <c r="M107" i="6"/>
  <c r="J113" i="6"/>
  <c r="K113" i="6" s="1"/>
  <c r="B117" i="7" s="1"/>
  <c r="L115" i="6"/>
  <c r="M115" i="6"/>
  <c r="J121" i="6"/>
  <c r="L123" i="6"/>
  <c r="M123" i="6"/>
  <c r="J129" i="6"/>
  <c r="K129" i="6" s="1"/>
  <c r="B133" i="7" s="1"/>
  <c r="L131" i="6"/>
  <c r="M131" i="6"/>
  <c r="J137" i="6"/>
  <c r="L139" i="6"/>
  <c r="M139" i="6"/>
  <c r="J145" i="6"/>
  <c r="L147" i="6"/>
  <c r="M147" i="6"/>
  <c r="J153" i="6"/>
  <c r="L155" i="6"/>
  <c r="M155" i="6"/>
  <c r="J161" i="6"/>
  <c r="L163" i="6"/>
  <c r="M163" i="6"/>
  <c r="J169" i="6"/>
  <c r="K169" i="6" s="1"/>
  <c r="B173" i="7" s="1"/>
  <c r="L171" i="6"/>
  <c r="M171" i="6"/>
  <c r="J177" i="6"/>
  <c r="K177" i="6" s="1"/>
  <c r="B181" i="7" s="1"/>
  <c r="L179" i="6"/>
  <c r="M179" i="6"/>
  <c r="J185" i="6"/>
  <c r="L187" i="6"/>
  <c r="M187" i="6"/>
  <c r="J193" i="6"/>
  <c r="K193" i="6" s="1"/>
  <c r="B197" i="7" s="1"/>
  <c r="L195" i="6"/>
  <c r="M195" i="6"/>
  <c r="J201" i="6"/>
  <c r="K201" i="6" s="1"/>
  <c r="B205" i="7" s="1"/>
  <c r="L203" i="6"/>
  <c r="M203" i="6"/>
  <c r="I207" i="6"/>
  <c r="L212" i="6"/>
  <c r="M212" i="6"/>
  <c r="I223" i="6"/>
  <c r="L228" i="6"/>
  <c r="M228" i="6"/>
  <c r="I239" i="6"/>
  <c r="L244" i="6"/>
  <c r="M244" i="6"/>
  <c r="I255" i="6"/>
  <c r="L260" i="6"/>
  <c r="M260" i="6"/>
  <c r="K267" i="6"/>
  <c r="B271" i="7" s="1"/>
  <c r="I271" i="6"/>
  <c r="L286" i="6"/>
  <c r="N286" i="6" s="1"/>
  <c r="J288" i="6"/>
  <c r="K291" i="6"/>
  <c r="B295" i="7" s="1"/>
  <c r="L318" i="6"/>
  <c r="J320" i="6"/>
  <c r="L350" i="6"/>
  <c r="N350" i="6" s="1"/>
  <c r="J352" i="6"/>
  <c r="K355" i="6"/>
  <c r="B359" i="7" s="1"/>
  <c r="L382" i="6"/>
  <c r="N382" i="6" s="1"/>
  <c r="J384" i="6"/>
  <c r="L414" i="6"/>
  <c r="J416" i="6"/>
  <c r="K416" i="6" s="1"/>
  <c r="L446" i="6"/>
  <c r="J448" i="6"/>
  <c r="M451" i="6"/>
  <c r="L451" i="6"/>
  <c r="J457" i="6"/>
  <c r="K457" i="6" s="1"/>
  <c r="B461" i="7" s="1"/>
  <c r="N461" i="6"/>
  <c r="M475" i="6"/>
  <c r="L479" i="6"/>
  <c r="N479" i="6" s="1"/>
  <c r="L485" i="6"/>
  <c r="M485" i="6"/>
  <c r="M502" i="6"/>
  <c r="L502" i="6"/>
  <c r="N502" i="6" s="1"/>
  <c r="M506" i="6"/>
  <c r="L506" i="6"/>
  <c r="I508" i="6"/>
  <c r="I512" i="6"/>
  <c r="L519" i="6"/>
  <c r="M519" i="6"/>
  <c r="J525" i="6"/>
  <c r="J549" i="6"/>
  <c r="N556" i="6"/>
  <c r="J566" i="6"/>
  <c r="K566" i="6" s="1"/>
  <c r="B570" i="7" s="1"/>
  <c r="J570" i="6"/>
  <c r="J574" i="6"/>
  <c r="K578" i="6"/>
  <c r="B582" i="7" s="1"/>
  <c r="K593" i="6"/>
  <c r="B597" i="7" s="1"/>
  <c r="J600" i="6"/>
  <c r="J604" i="6"/>
  <c r="K604" i="6" s="1"/>
  <c r="M605" i="6"/>
  <c r="J608" i="6"/>
  <c r="K608" i="6" s="1"/>
  <c r="B612" i="7" s="1"/>
  <c r="M609" i="6"/>
  <c r="I617" i="6"/>
  <c r="K617" i="6" s="1"/>
  <c r="B621" i="7" s="1"/>
  <c r="I636" i="6"/>
  <c r="O656" i="6"/>
  <c r="L667" i="6"/>
  <c r="M675" i="6"/>
  <c r="L675" i="6"/>
  <c r="J677" i="6"/>
  <c r="M701" i="6"/>
  <c r="M717" i="6"/>
  <c r="L717" i="6"/>
  <c r="N717" i="6" s="1"/>
  <c r="K739" i="6"/>
  <c r="B743" i="7" s="1"/>
  <c r="A754" i="7"/>
  <c r="O750" i="6"/>
  <c r="I763" i="6"/>
  <c r="L779" i="6"/>
  <c r="M779" i="6"/>
  <c r="J787" i="6"/>
  <c r="K793" i="6"/>
  <c r="B797" i="7" s="1"/>
  <c r="J837" i="6"/>
  <c r="M838" i="6"/>
  <c r="L838" i="6"/>
  <c r="M873" i="6"/>
  <c r="N894" i="6"/>
  <c r="L915" i="6"/>
  <c r="M915" i="6"/>
  <c r="M938" i="6"/>
  <c r="L938" i="6"/>
  <c r="N991" i="6"/>
  <c r="O21" i="6"/>
  <c r="A105" i="7"/>
  <c r="O101" i="6"/>
  <c r="A113" i="7"/>
  <c r="P109" i="6"/>
  <c r="Q109" i="6" s="1"/>
  <c r="A137" i="7"/>
  <c r="O133" i="6"/>
  <c r="A169" i="7"/>
  <c r="O165" i="6"/>
  <c r="O173" i="6"/>
  <c r="A201" i="7"/>
  <c r="O197" i="6"/>
  <c r="M216" i="6"/>
  <c r="L216" i="6"/>
  <c r="N216" i="6" s="1"/>
  <c r="L232" i="6"/>
  <c r="M232" i="6"/>
  <c r="M248" i="6"/>
  <c r="L248" i="6"/>
  <c r="M264" i="6"/>
  <c r="L264" i="6"/>
  <c r="A294" i="7"/>
  <c r="M466" i="6"/>
  <c r="L466" i="6"/>
  <c r="K470" i="6"/>
  <c r="B474" i="7" s="1"/>
  <c r="M491" i="6"/>
  <c r="L491" i="6"/>
  <c r="O532" i="6"/>
  <c r="M566" i="6"/>
  <c r="L566" i="6"/>
  <c r="M570" i="6"/>
  <c r="L570" i="6"/>
  <c r="L677" i="6"/>
  <c r="M677" i="6"/>
  <c r="A695" i="7"/>
  <c r="O691" i="6"/>
  <c r="N701" i="6"/>
  <c r="A899" i="7"/>
  <c r="O895" i="6"/>
  <c r="L917" i="6"/>
  <c r="M917" i="6"/>
  <c r="L958" i="6"/>
  <c r="M958" i="6"/>
  <c r="M12" i="6"/>
  <c r="L12" i="6"/>
  <c r="M52" i="6"/>
  <c r="L52" i="6"/>
  <c r="M68" i="6"/>
  <c r="L68" i="6"/>
  <c r="M92" i="6"/>
  <c r="L92" i="6"/>
  <c r="M100" i="6"/>
  <c r="L100" i="6"/>
  <c r="M108" i="6"/>
  <c r="L108" i="6"/>
  <c r="M124" i="6"/>
  <c r="L124" i="6"/>
  <c r="M132" i="6"/>
  <c r="L132" i="6"/>
  <c r="M140" i="6"/>
  <c r="L140" i="6"/>
  <c r="M148" i="6"/>
  <c r="L148" i="6"/>
  <c r="M196" i="6"/>
  <c r="L196" i="6"/>
  <c r="A245" i="7"/>
  <c r="O241" i="6"/>
  <c r="P241" i="6"/>
  <c r="Q241" i="6" s="1"/>
  <c r="A261" i="7"/>
  <c r="O257" i="6"/>
  <c r="P257" i="6"/>
  <c r="Q257" i="6" s="1"/>
  <c r="M363" i="6"/>
  <c r="L363" i="6"/>
  <c r="L383" i="6"/>
  <c r="N383" i="6" s="1"/>
  <c r="O386" i="6"/>
  <c r="M388" i="6"/>
  <c r="L388" i="6"/>
  <c r="M395" i="6"/>
  <c r="L395" i="6"/>
  <c r="M427" i="6"/>
  <c r="L427" i="6"/>
  <c r="M654" i="6"/>
  <c r="L654" i="6"/>
  <c r="N654" i="6" s="1"/>
  <c r="K666" i="6"/>
  <c r="B670" i="7" s="1"/>
  <c r="M806" i="6"/>
  <c r="L806" i="6"/>
  <c r="L827" i="6"/>
  <c r="M827" i="6"/>
  <c r="A833" i="7"/>
  <c r="O829" i="6"/>
  <c r="M870" i="6"/>
  <c r="L870" i="6"/>
  <c r="O918" i="6"/>
  <c r="L923" i="6"/>
  <c r="M923" i="6"/>
  <c r="L995" i="6"/>
  <c r="M995" i="6"/>
  <c r="M9" i="6"/>
  <c r="N9" i="6" s="1"/>
  <c r="M17" i="6"/>
  <c r="N17" i="6" s="1"/>
  <c r="M25" i="6"/>
  <c r="M33" i="6"/>
  <c r="K50" i="6"/>
  <c r="B54" i="7" s="1"/>
  <c r="M65" i="6"/>
  <c r="N65" i="6" s="1"/>
  <c r="M73" i="6"/>
  <c r="M81" i="6"/>
  <c r="N81" i="6" s="1"/>
  <c r="M89" i="6"/>
  <c r="M105" i="6"/>
  <c r="N105" i="6" s="1"/>
  <c r="M113" i="6"/>
  <c r="M121" i="6"/>
  <c r="N121" i="6" s="1"/>
  <c r="M129" i="6"/>
  <c r="M137" i="6"/>
  <c r="N137" i="6" s="1"/>
  <c r="M153" i="6"/>
  <c r="M161" i="6"/>
  <c r="N161" i="6" s="1"/>
  <c r="M169" i="6"/>
  <c r="N169" i="6" s="1"/>
  <c r="M185" i="6"/>
  <c r="N185" i="6" s="1"/>
  <c r="L252" i="6"/>
  <c r="M252" i="6"/>
  <c r="K275" i="6"/>
  <c r="B279" i="7" s="1"/>
  <c r="L366" i="6"/>
  <c r="M477" i="6"/>
  <c r="N477" i="6" s="1"/>
  <c r="L507" i="6"/>
  <c r="L521" i="6"/>
  <c r="M521" i="6"/>
  <c r="M530" i="6"/>
  <c r="L530" i="6"/>
  <c r="O536" i="6"/>
  <c r="M669" i="6"/>
  <c r="N669" i="6" s="1"/>
  <c r="J700" i="6"/>
  <c r="L707" i="6"/>
  <c r="M707" i="6"/>
  <c r="L710" i="6"/>
  <c r="M710" i="6"/>
  <c r="L756" i="6"/>
  <c r="M762" i="6"/>
  <c r="L762" i="6"/>
  <c r="L791" i="6"/>
  <c r="N791" i="6" s="1"/>
  <c r="M791" i="6"/>
  <c r="L841" i="6"/>
  <c r="M841" i="6"/>
  <c r="L898" i="6"/>
  <c r="N898" i="6" s="1"/>
  <c r="M906" i="6"/>
  <c r="L906" i="6"/>
  <c r="N906" i="6" s="1"/>
  <c r="L907" i="6"/>
  <c r="M907" i="6"/>
  <c r="A929" i="7"/>
  <c r="M926" i="6"/>
  <c r="L926" i="6"/>
  <c r="H11" i="5"/>
  <c r="M2" i="6"/>
  <c r="L2" i="6"/>
  <c r="M10" i="6"/>
  <c r="L10" i="6"/>
  <c r="N10" i="6" s="1"/>
  <c r="M18" i="6"/>
  <c r="L18" i="6"/>
  <c r="M26" i="6"/>
  <c r="L26" i="6"/>
  <c r="M34" i="6"/>
  <c r="L34" i="6"/>
  <c r="M42" i="6"/>
  <c r="L42" i="6"/>
  <c r="N42" i="6" s="1"/>
  <c r="M50" i="6"/>
  <c r="L50" i="6"/>
  <c r="M58" i="6"/>
  <c r="L58" i="6"/>
  <c r="M66" i="6"/>
  <c r="L66" i="6"/>
  <c r="M74" i="6"/>
  <c r="L74" i="6"/>
  <c r="N74" i="6" s="1"/>
  <c r="M82" i="6"/>
  <c r="L82" i="6"/>
  <c r="M90" i="6"/>
  <c r="L90" i="6"/>
  <c r="M98" i="6"/>
  <c r="L98" i="6"/>
  <c r="M106" i="6"/>
  <c r="L106" i="6"/>
  <c r="N106" i="6" s="1"/>
  <c r="M114" i="6"/>
  <c r="L114" i="6"/>
  <c r="M122" i="6"/>
  <c r="L122" i="6"/>
  <c r="M130" i="6"/>
  <c r="L130" i="6"/>
  <c r="M138" i="6"/>
  <c r="L138" i="6"/>
  <c r="N138" i="6" s="1"/>
  <c r="M146" i="6"/>
  <c r="L146" i="6"/>
  <c r="M154" i="6"/>
  <c r="L154" i="6"/>
  <c r="M162" i="6"/>
  <c r="L162" i="6"/>
  <c r="M170" i="6"/>
  <c r="L170" i="6"/>
  <c r="N170" i="6" s="1"/>
  <c r="M178" i="6"/>
  <c r="L178" i="6"/>
  <c r="M186" i="6"/>
  <c r="L186" i="6"/>
  <c r="M194" i="6"/>
  <c r="L194" i="6"/>
  <c r="M202" i="6"/>
  <c r="L202" i="6"/>
  <c r="N202" i="6" s="1"/>
  <c r="I206" i="6"/>
  <c r="K206" i="6" s="1"/>
  <c r="B210" i="7" s="1"/>
  <c r="M207" i="6"/>
  <c r="M211" i="6"/>
  <c r="L211" i="6"/>
  <c r="I222" i="6"/>
  <c r="K222" i="6" s="1"/>
  <c r="B226" i="7" s="1"/>
  <c r="M223" i="6"/>
  <c r="N223" i="6" s="1"/>
  <c r="M227" i="6"/>
  <c r="L227" i="6"/>
  <c r="N227" i="6" s="1"/>
  <c r="I238" i="6"/>
  <c r="M239" i="6"/>
  <c r="N239" i="6" s="1"/>
  <c r="M243" i="6"/>
  <c r="L243" i="6"/>
  <c r="I254" i="6"/>
  <c r="K254" i="6" s="1"/>
  <c r="M255" i="6"/>
  <c r="M259" i="6"/>
  <c r="L259" i="6"/>
  <c r="N259" i="6" s="1"/>
  <c r="I270" i="6"/>
  <c r="M271" i="6"/>
  <c r="N271" i="6" s="1"/>
  <c r="M275" i="6"/>
  <c r="L275" i="6"/>
  <c r="I277" i="6"/>
  <c r="K277" i="6" s="1"/>
  <c r="B281" i="7" s="1"/>
  <c r="L281" i="6"/>
  <c r="M300" i="6"/>
  <c r="L300" i="6"/>
  <c r="N300" i="6" s="1"/>
  <c r="M307" i="6"/>
  <c r="L307" i="6"/>
  <c r="I309" i="6"/>
  <c r="L313" i="6"/>
  <c r="N313" i="6" s="1"/>
  <c r="M332" i="6"/>
  <c r="L332" i="6"/>
  <c r="M339" i="6"/>
  <c r="L339" i="6"/>
  <c r="N339" i="6" s="1"/>
  <c r="I341" i="6"/>
  <c r="K341" i="6" s="1"/>
  <c r="B345" i="7" s="1"/>
  <c r="L345" i="6"/>
  <c r="M364" i="6"/>
  <c r="L364" i="6"/>
  <c r="M371" i="6"/>
  <c r="L371" i="6"/>
  <c r="I373" i="6"/>
  <c r="K373" i="6" s="1"/>
  <c r="B377" i="7" s="1"/>
  <c r="L377" i="6"/>
  <c r="N377" i="6" s="1"/>
  <c r="M396" i="6"/>
  <c r="L396" i="6"/>
  <c r="M403" i="6"/>
  <c r="L403" i="6"/>
  <c r="I405" i="6"/>
  <c r="K405" i="6" s="1"/>
  <c r="L409" i="6"/>
  <c r="N409" i="6" s="1"/>
  <c r="M428" i="6"/>
  <c r="L428" i="6"/>
  <c r="N428" i="6" s="1"/>
  <c r="M435" i="6"/>
  <c r="L435" i="6"/>
  <c r="I437" i="6"/>
  <c r="K437" i="6" s="1"/>
  <c r="L441" i="6"/>
  <c r="N441" i="6" s="1"/>
  <c r="N449" i="6"/>
  <c r="M459" i="6"/>
  <c r="L459" i="6"/>
  <c r="L462" i="6"/>
  <c r="N462" i="6" s="1"/>
  <c r="M483" i="6"/>
  <c r="L483" i="6"/>
  <c r="N483" i="6" s="1"/>
  <c r="L511" i="6"/>
  <c r="L517" i="6"/>
  <c r="M517" i="6"/>
  <c r="M534" i="6"/>
  <c r="L534" i="6"/>
  <c r="M538" i="6"/>
  <c r="L538" i="6"/>
  <c r="L551" i="6"/>
  <c r="M551" i="6"/>
  <c r="L635" i="6"/>
  <c r="M643" i="6"/>
  <c r="L643" i="6"/>
  <c r="L695" i="6"/>
  <c r="N695" i="6" s="1"/>
  <c r="O696" i="6"/>
  <c r="A700" i="7"/>
  <c r="A708" i="7"/>
  <c r="J722" i="6"/>
  <c r="L728" i="6"/>
  <c r="M740" i="6"/>
  <c r="L740" i="6"/>
  <c r="O757" i="6"/>
  <c r="A761" i="7"/>
  <c r="A762" i="7"/>
  <c r="A794" i="7"/>
  <c r="L805" i="6"/>
  <c r="L846" i="6"/>
  <c r="M846" i="6"/>
  <c r="M874" i="6"/>
  <c r="L874" i="6"/>
  <c r="K879" i="6"/>
  <c r="B883" i="7" s="1"/>
  <c r="L891" i="6"/>
  <c r="M891" i="6"/>
  <c r="J897" i="6"/>
  <c r="K897" i="6" s="1"/>
  <c r="M240" i="6"/>
  <c r="L240" i="6"/>
  <c r="I252" i="6"/>
  <c r="M256" i="6"/>
  <c r="L256" i="6"/>
  <c r="I268" i="6"/>
  <c r="K268" i="6" s="1"/>
  <c r="B272" i="7" s="1"/>
  <c r="M272" i="6"/>
  <c r="L272" i="6"/>
  <c r="N272" i="6" s="1"/>
  <c r="K283" i="6"/>
  <c r="B287" i="7" s="1"/>
  <c r="L310" i="6"/>
  <c r="K379" i="6"/>
  <c r="B383" i="7" s="1"/>
  <c r="L406" i="6"/>
  <c r="N406" i="6" s="1"/>
  <c r="K411" i="6"/>
  <c r="B415" i="7" s="1"/>
  <c r="L438" i="6"/>
  <c r="N438" i="6" s="1"/>
  <c r="K443" i="6"/>
  <c r="B447" i="7" s="1"/>
  <c r="L455" i="6"/>
  <c r="M455" i="6"/>
  <c r="K514" i="6"/>
  <c r="M541" i="6"/>
  <c r="N541" i="6" s="1"/>
  <c r="M545" i="6"/>
  <c r="N545" i="6" s="1"/>
  <c r="L585" i="6"/>
  <c r="M585" i="6"/>
  <c r="M594" i="6"/>
  <c r="L594" i="6"/>
  <c r="O600" i="6"/>
  <c r="K602" i="6"/>
  <c r="B606" i="7" s="1"/>
  <c r="L622" i="6"/>
  <c r="N622" i="6" s="1"/>
  <c r="K638" i="6"/>
  <c r="B642" i="7" s="1"/>
  <c r="M662" i="6"/>
  <c r="L662" i="6"/>
  <c r="M699" i="6"/>
  <c r="L699" i="6"/>
  <c r="N699" i="6" s="1"/>
  <c r="L766" i="6"/>
  <c r="N766" i="6" s="1"/>
  <c r="M770" i="6"/>
  <c r="L770" i="6"/>
  <c r="L795" i="6"/>
  <c r="M795" i="6"/>
  <c r="M890" i="6"/>
  <c r="L890" i="6"/>
  <c r="O925" i="6"/>
  <c r="O927" i="6"/>
  <c r="M930" i="6"/>
  <c r="L930" i="6"/>
  <c r="I210" i="6"/>
  <c r="K210" i="6" s="1"/>
  <c r="B214" i="7" s="1"/>
  <c r="M308" i="6"/>
  <c r="L308" i="6"/>
  <c r="M315" i="6"/>
  <c r="L315" i="6"/>
  <c r="I317" i="6"/>
  <c r="K317" i="6" s="1"/>
  <c r="B321" i="7" s="1"/>
  <c r="L321" i="6"/>
  <c r="N321" i="6" s="1"/>
  <c r="M340" i="6"/>
  <c r="L340" i="6"/>
  <c r="M347" i="6"/>
  <c r="L347" i="6"/>
  <c r="N347" i="6" s="1"/>
  <c r="I349" i="6"/>
  <c r="L353" i="6"/>
  <c r="M372" i="6"/>
  <c r="L372" i="6"/>
  <c r="M379" i="6"/>
  <c r="L379" i="6"/>
  <c r="I381" i="6"/>
  <c r="K381" i="6" s="1"/>
  <c r="B385" i="7" s="1"/>
  <c r="L385" i="6"/>
  <c r="N385" i="6" s="1"/>
  <c r="M404" i="6"/>
  <c r="L404" i="6"/>
  <c r="N404" i="6" s="1"/>
  <c r="M411" i="6"/>
  <c r="L411" i="6"/>
  <c r="I413" i="6"/>
  <c r="K413" i="6" s="1"/>
  <c r="B417" i="7" s="1"/>
  <c r="L417" i="6"/>
  <c r="M436" i="6"/>
  <c r="L436" i="6"/>
  <c r="M443" i="6"/>
  <c r="L443" i="6"/>
  <c r="N443" i="6" s="1"/>
  <c r="I445" i="6"/>
  <c r="K445" i="6" s="1"/>
  <c r="K448" i="6"/>
  <c r="B452" i="7" s="1"/>
  <c r="M449" i="6"/>
  <c r="F7" i="4"/>
  <c r="E7" i="4"/>
  <c r="G7" i="4" s="1"/>
  <c r="D15" i="10" s="1"/>
  <c r="I7" i="6"/>
  <c r="I15" i="6"/>
  <c r="I23" i="6"/>
  <c r="K23" i="6" s="1"/>
  <c r="I31" i="6"/>
  <c r="K31" i="6" s="1"/>
  <c r="B35" i="7" s="1"/>
  <c r="I39" i="6"/>
  <c r="K39" i="6" s="1"/>
  <c r="B43" i="7" s="1"/>
  <c r="I47" i="6"/>
  <c r="I55" i="6"/>
  <c r="K55" i="6" s="1"/>
  <c r="B59" i="7" s="1"/>
  <c r="I63" i="6"/>
  <c r="K63" i="6" s="1"/>
  <c r="B67" i="7" s="1"/>
  <c r="I71" i="6"/>
  <c r="I79" i="6"/>
  <c r="K79" i="6" s="1"/>
  <c r="I87" i="6"/>
  <c r="K87" i="6" s="1"/>
  <c r="B91" i="7" s="1"/>
  <c r="I95" i="6"/>
  <c r="K95" i="6" s="1"/>
  <c r="B99" i="7" s="1"/>
  <c r="I103" i="6"/>
  <c r="I111" i="6"/>
  <c r="I119" i="6"/>
  <c r="K119" i="6" s="1"/>
  <c r="B123" i="7" s="1"/>
  <c r="I127" i="6"/>
  <c r="K127" i="6" s="1"/>
  <c r="B131" i="7" s="1"/>
  <c r="I135" i="6"/>
  <c r="I143" i="6"/>
  <c r="I151" i="6"/>
  <c r="K151" i="6" s="1"/>
  <c r="B155" i="7" s="1"/>
  <c r="I159" i="6"/>
  <c r="K159" i="6" s="1"/>
  <c r="B163" i="7" s="1"/>
  <c r="I167" i="6"/>
  <c r="K167" i="6" s="1"/>
  <c r="I175" i="6"/>
  <c r="K175" i="6" s="1"/>
  <c r="B179" i="7" s="1"/>
  <c r="I183" i="6"/>
  <c r="K183" i="6" s="1"/>
  <c r="B187" i="7" s="1"/>
  <c r="I191" i="6"/>
  <c r="K191" i="6" s="1"/>
  <c r="B195" i="7" s="1"/>
  <c r="I199" i="6"/>
  <c r="J207" i="6"/>
  <c r="I214" i="6"/>
  <c r="K214" i="6" s="1"/>
  <c r="M215" i="6"/>
  <c r="N215" i="6" s="1"/>
  <c r="M219" i="6"/>
  <c r="L219" i="6"/>
  <c r="J223" i="6"/>
  <c r="I230" i="6"/>
  <c r="K230" i="6" s="1"/>
  <c r="B234" i="7" s="1"/>
  <c r="M231" i="6"/>
  <c r="M235" i="6"/>
  <c r="L235" i="6"/>
  <c r="J239" i="6"/>
  <c r="I246" i="6"/>
  <c r="M247" i="6"/>
  <c r="M251" i="6"/>
  <c r="L251" i="6"/>
  <c r="J255" i="6"/>
  <c r="I262" i="6"/>
  <c r="M263" i="6"/>
  <c r="N263" i="6" s="1"/>
  <c r="M267" i="6"/>
  <c r="L267" i="6"/>
  <c r="J271" i="6"/>
  <c r="M284" i="6"/>
  <c r="L284" i="6"/>
  <c r="M291" i="6"/>
  <c r="L291" i="6"/>
  <c r="I293" i="6"/>
  <c r="K293" i="6" s="1"/>
  <c r="B297" i="7" s="1"/>
  <c r="I296" i="6"/>
  <c r="K296" i="6" s="1"/>
  <c r="L297" i="6"/>
  <c r="N297" i="6" s="1"/>
  <c r="J299" i="6"/>
  <c r="M305" i="6"/>
  <c r="N305" i="6" s="1"/>
  <c r="P311" i="6"/>
  <c r="Q311" i="6" s="1"/>
  <c r="O311" i="6"/>
  <c r="M316" i="6"/>
  <c r="L316" i="6"/>
  <c r="M323" i="6"/>
  <c r="L323" i="6"/>
  <c r="I325" i="6"/>
  <c r="I328" i="6"/>
  <c r="K328" i="6" s="1"/>
  <c r="L329" i="6"/>
  <c r="N329" i="6" s="1"/>
  <c r="J331" i="6"/>
  <c r="M337" i="6"/>
  <c r="A347" i="7"/>
  <c r="M348" i="6"/>
  <c r="L348" i="6"/>
  <c r="M355" i="6"/>
  <c r="L355" i="6"/>
  <c r="I357" i="6"/>
  <c r="K357" i="6" s="1"/>
  <c r="B361" i="7" s="1"/>
  <c r="I360" i="6"/>
  <c r="K360" i="6" s="1"/>
  <c r="B364" i="7" s="1"/>
  <c r="L361" i="6"/>
  <c r="N361" i="6" s="1"/>
  <c r="J363" i="6"/>
  <c r="K363" i="6" s="1"/>
  <c r="B367" i="7" s="1"/>
  <c r="M369" i="6"/>
  <c r="A379" i="7"/>
  <c r="P375" i="6"/>
  <c r="Q375" i="6" s="1"/>
  <c r="O375" i="6"/>
  <c r="M380" i="6"/>
  <c r="L380" i="6"/>
  <c r="M387" i="6"/>
  <c r="L387" i="6"/>
  <c r="I389" i="6"/>
  <c r="I392" i="6"/>
  <c r="K392" i="6" s="1"/>
  <c r="B396" i="7" s="1"/>
  <c r="L393" i="6"/>
  <c r="N393" i="6" s="1"/>
  <c r="J395" i="6"/>
  <c r="K395" i="6" s="1"/>
  <c r="B399" i="7" s="1"/>
  <c r="M401" i="6"/>
  <c r="N401" i="6" s="1"/>
  <c r="M412" i="6"/>
  <c r="L412" i="6"/>
  <c r="M419" i="6"/>
  <c r="L419" i="6"/>
  <c r="I421" i="6"/>
  <c r="K421" i="6" s="1"/>
  <c r="I424" i="6"/>
  <c r="K424" i="6" s="1"/>
  <c r="B428" i="7" s="1"/>
  <c r="L425" i="6"/>
  <c r="N425" i="6" s="1"/>
  <c r="J427" i="6"/>
  <c r="K427" i="6" s="1"/>
  <c r="B431" i="7" s="1"/>
  <c r="M433" i="6"/>
  <c r="A443" i="7"/>
  <c r="M444" i="6"/>
  <c r="L444" i="6"/>
  <c r="J453" i="6"/>
  <c r="J470" i="6"/>
  <c r="J474" i="6"/>
  <c r="J478" i="6"/>
  <c r="K478" i="6" s="1"/>
  <c r="B482" i="7" s="1"/>
  <c r="K497" i="6"/>
  <c r="B501" i="7" s="1"/>
  <c r="J504" i="6"/>
  <c r="K504" i="6" s="1"/>
  <c r="B508" i="7" s="1"/>
  <c r="J508" i="6"/>
  <c r="M509" i="6"/>
  <c r="N509" i="6" s="1"/>
  <c r="J512" i="6"/>
  <c r="M513" i="6"/>
  <c r="N513" i="6" s="1"/>
  <c r="I521" i="6"/>
  <c r="L553" i="6"/>
  <c r="M553" i="6"/>
  <c r="M558" i="6"/>
  <c r="N558" i="6" s="1"/>
  <c r="M562" i="6"/>
  <c r="L562" i="6"/>
  <c r="N562" i="6" s="1"/>
  <c r="L573" i="6"/>
  <c r="N573" i="6" s="1"/>
  <c r="K574" i="6"/>
  <c r="B578" i="7" s="1"/>
  <c r="L577" i="6"/>
  <c r="N577" i="6" s="1"/>
  <c r="M587" i="6"/>
  <c r="L587" i="6"/>
  <c r="N587" i="6" s="1"/>
  <c r="I589" i="6"/>
  <c r="K589" i="6" s="1"/>
  <c r="B593" i="7" s="1"/>
  <c r="L590" i="6"/>
  <c r="N590" i="6" s="1"/>
  <c r="K600" i="6"/>
  <c r="B604" i="7" s="1"/>
  <c r="M607" i="6"/>
  <c r="N607" i="6" s="1"/>
  <c r="M611" i="6"/>
  <c r="L611" i="6"/>
  <c r="J617" i="6"/>
  <c r="A632" i="7"/>
  <c r="J630" i="6"/>
  <c r="K630" i="6" s="1"/>
  <c r="B634" i="7" s="1"/>
  <c r="J636" i="6"/>
  <c r="M637" i="6"/>
  <c r="N637" i="6" s="1"/>
  <c r="M639" i="6"/>
  <c r="L639" i="6"/>
  <c r="N639" i="6" s="1"/>
  <c r="L647" i="6"/>
  <c r="M647" i="6"/>
  <c r="I649" i="6"/>
  <c r="M658" i="6"/>
  <c r="L658" i="6"/>
  <c r="M683" i="6"/>
  <c r="L683" i="6"/>
  <c r="J686" i="6"/>
  <c r="J696" i="6"/>
  <c r="J763" i="6"/>
  <c r="I769" i="6"/>
  <c r="M773" i="6"/>
  <c r="J777" i="6"/>
  <c r="L778" i="6"/>
  <c r="M778" i="6"/>
  <c r="L783" i="6"/>
  <c r="M783" i="6"/>
  <c r="A803" i="7"/>
  <c r="O799" i="6"/>
  <c r="M802" i="6"/>
  <c r="L802" i="6"/>
  <c r="A861" i="7"/>
  <c r="O857" i="6"/>
  <c r="N881" i="6"/>
  <c r="K887" i="6"/>
  <c r="B891" i="7" s="1"/>
  <c r="N914" i="6"/>
  <c r="J923" i="6"/>
  <c r="N937" i="6"/>
  <c r="A954" i="7"/>
  <c r="O950" i="6"/>
  <c r="A958" i="7"/>
  <c r="O954" i="6"/>
  <c r="N981" i="6"/>
  <c r="L983" i="6"/>
  <c r="M983" i="6"/>
  <c r="M708" i="6"/>
  <c r="L708" i="6"/>
  <c r="L753" i="6"/>
  <c r="J793" i="6"/>
  <c r="M805" i="6"/>
  <c r="I809" i="6"/>
  <c r="K809" i="6" s="1"/>
  <c r="B813" i="7" s="1"/>
  <c r="L811" i="6"/>
  <c r="M811" i="6"/>
  <c r="I818" i="6"/>
  <c r="L819" i="6"/>
  <c r="M819" i="6"/>
  <c r="I837" i="6"/>
  <c r="L849" i="6"/>
  <c r="L853" i="6"/>
  <c r="N853" i="6" s="1"/>
  <c r="I865" i="6"/>
  <c r="K865" i="6" s="1"/>
  <c r="B869" i="7" s="1"/>
  <c r="I869" i="6"/>
  <c r="L919" i="6"/>
  <c r="M919" i="6"/>
  <c r="M977" i="6"/>
  <c r="N977" i="6" s="1"/>
  <c r="L979" i="6"/>
  <c r="M979" i="6"/>
  <c r="K294" i="6"/>
  <c r="B298" i="7" s="1"/>
  <c r="I695" i="6"/>
  <c r="M742" i="6"/>
  <c r="L742" i="6"/>
  <c r="L746" i="6"/>
  <c r="M746" i="6"/>
  <c r="M753" i="6"/>
  <c r="I786" i="6"/>
  <c r="I790" i="6"/>
  <c r="M792" i="6"/>
  <c r="L792" i="6"/>
  <c r="M824" i="6"/>
  <c r="N824" i="6" s="1"/>
  <c r="L855" i="6"/>
  <c r="M855" i="6"/>
  <c r="E9" i="3"/>
  <c r="I208" i="6"/>
  <c r="I216" i="6"/>
  <c r="K216" i="6" s="1"/>
  <c r="B220" i="7" s="1"/>
  <c r="I224" i="6"/>
  <c r="I232" i="6"/>
  <c r="K232" i="6" s="1"/>
  <c r="B236" i="7" s="1"/>
  <c r="I240" i="6"/>
  <c r="K240" i="6" s="1"/>
  <c r="B244" i="7" s="1"/>
  <c r="I248" i="6"/>
  <c r="K248" i="6" s="1"/>
  <c r="B252" i="7" s="1"/>
  <c r="I256" i="6"/>
  <c r="I264" i="6"/>
  <c r="K264" i="6" s="1"/>
  <c r="B268" i="7" s="1"/>
  <c r="I272" i="6"/>
  <c r="I281" i="6"/>
  <c r="I289" i="6"/>
  <c r="I297" i="6"/>
  <c r="I305" i="6"/>
  <c r="I313" i="6"/>
  <c r="I321" i="6"/>
  <c r="I329" i="6"/>
  <c r="I337" i="6"/>
  <c r="I345" i="6"/>
  <c r="I353" i="6"/>
  <c r="I361" i="6"/>
  <c r="I369" i="6"/>
  <c r="I377" i="6"/>
  <c r="I385" i="6"/>
  <c r="I393" i="6"/>
  <c r="I401" i="6"/>
  <c r="I409" i="6"/>
  <c r="I417" i="6"/>
  <c r="I425" i="6"/>
  <c r="I433" i="6"/>
  <c r="I441" i="6"/>
  <c r="I449" i="6"/>
  <c r="M461" i="6"/>
  <c r="I481" i="6"/>
  <c r="M493" i="6"/>
  <c r="N493" i="6" s="1"/>
  <c r="I513" i="6"/>
  <c r="M525" i="6"/>
  <c r="I545" i="6"/>
  <c r="M557" i="6"/>
  <c r="N557" i="6" s="1"/>
  <c r="I577" i="6"/>
  <c r="M589" i="6"/>
  <c r="I609" i="6"/>
  <c r="M621" i="6"/>
  <c r="N621" i="6" s="1"/>
  <c r="L634" i="6"/>
  <c r="I641" i="6"/>
  <c r="L651" i="6"/>
  <c r="N651" i="6" s="1"/>
  <c r="M653" i="6"/>
  <c r="N653" i="6" s="1"/>
  <c r="L666" i="6"/>
  <c r="N666" i="6" s="1"/>
  <c r="I673" i="6"/>
  <c r="M682" i="6"/>
  <c r="L682" i="6"/>
  <c r="N682" i="6" s="1"/>
  <c r="M703" i="6"/>
  <c r="L703" i="6"/>
  <c r="J710" i="6"/>
  <c r="L714" i="6"/>
  <c r="N714" i="6" s="1"/>
  <c r="M715" i="6"/>
  <c r="L719" i="6"/>
  <c r="M719" i="6"/>
  <c r="L721" i="6"/>
  <c r="N721" i="6" s="1"/>
  <c r="L725" i="6"/>
  <c r="M729" i="6"/>
  <c r="N729" i="6" s="1"/>
  <c r="M730" i="6"/>
  <c r="I737" i="6"/>
  <c r="I741" i="6"/>
  <c r="L743" i="6"/>
  <c r="M743" i="6"/>
  <c r="M745" i="6"/>
  <c r="N745" i="6" s="1"/>
  <c r="I750" i="6"/>
  <c r="L759" i="6"/>
  <c r="M759" i="6"/>
  <c r="M760" i="6"/>
  <c r="N760" i="6" s="1"/>
  <c r="I799" i="6"/>
  <c r="K799" i="6" s="1"/>
  <c r="B803" i="7" s="1"/>
  <c r="I806" i="6"/>
  <c r="M807" i="6"/>
  <c r="N807" i="6" s="1"/>
  <c r="M808" i="6"/>
  <c r="J831" i="6"/>
  <c r="J834" i="6"/>
  <c r="M840" i="6"/>
  <c r="I842" i="6"/>
  <c r="M844" i="6"/>
  <c r="L844" i="6"/>
  <c r="N844" i="6" s="1"/>
  <c r="I846" i="6"/>
  <c r="I850" i="6"/>
  <c r="M868" i="6"/>
  <c r="L868" i="6"/>
  <c r="N868" i="6" s="1"/>
  <c r="I874" i="6"/>
  <c r="M879" i="6"/>
  <c r="J882" i="6"/>
  <c r="J886" i="6"/>
  <c r="K886" i="6" s="1"/>
  <c r="B890" i="7" s="1"/>
  <c r="J898" i="6"/>
  <c r="K899" i="6"/>
  <c r="B903" i="7" s="1"/>
  <c r="M903" i="6"/>
  <c r="J906" i="6"/>
  <c r="M910" i="6"/>
  <c r="L910" i="6"/>
  <c r="L951" i="6"/>
  <c r="M951" i="6"/>
  <c r="M956" i="6"/>
  <c r="N956" i="6" s="1"/>
  <c r="N961" i="6"/>
  <c r="J963" i="6"/>
  <c r="I706" i="6"/>
  <c r="L713" i="6"/>
  <c r="N713" i="6" s="1"/>
  <c r="L763" i="6"/>
  <c r="M763" i="6"/>
  <c r="I777" i="6"/>
  <c r="I826" i="6"/>
  <c r="M832" i="6"/>
  <c r="L832" i="6"/>
  <c r="L871" i="6"/>
  <c r="M871" i="6"/>
  <c r="J921" i="6"/>
  <c r="M945" i="6"/>
  <c r="N945" i="6" s="1"/>
  <c r="H5" i="3"/>
  <c r="H11" i="3" s="1"/>
  <c r="B19" i="3" s="1"/>
  <c r="D8" i="10" s="1"/>
  <c r="G6" i="3"/>
  <c r="E8" i="3"/>
  <c r="K302" i="6"/>
  <c r="B306" i="7" s="1"/>
  <c r="K318" i="6"/>
  <c r="B322" i="7" s="1"/>
  <c r="K334" i="6"/>
  <c r="B338" i="7" s="1"/>
  <c r="K342" i="6"/>
  <c r="B346" i="7" s="1"/>
  <c r="K350" i="6"/>
  <c r="B354" i="7" s="1"/>
  <c r="K382" i="6"/>
  <c r="B386" i="7" s="1"/>
  <c r="K390" i="6"/>
  <c r="K398" i="6"/>
  <c r="B402" i="7" s="1"/>
  <c r="K430" i="6"/>
  <c r="B434" i="7" s="1"/>
  <c r="K446" i="6"/>
  <c r="B450" i="7" s="1"/>
  <c r="J685" i="6"/>
  <c r="K685" i="6" s="1"/>
  <c r="M738" i="6"/>
  <c r="L738" i="6"/>
  <c r="I794" i="6"/>
  <c r="K794" i="6" s="1"/>
  <c r="B798" i="7" s="1"/>
  <c r="J801" i="6"/>
  <c r="K801" i="6" s="1"/>
  <c r="J818" i="6"/>
  <c r="J825" i="6"/>
  <c r="L847" i="6"/>
  <c r="M847" i="6"/>
  <c r="L851" i="6"/>
  <c r="M851" i="6"/>
  <c r="J861" i="6"/>
  <c r="K861" i="6" s="1"/>
  <c r="J869" i="6"/>
  <c r="M876" i="6"/>
  <c r="M888" i="6"/>
  <c r="N888" i="6" s="1"/>
  <c r="M892" i="6"/>
  <c r="N892" i="6" s="1"/>
  <c r="M896" i="6"/>
  <c r="L896" i="6"/>
  <c r="M900" i="6"/>
  <c r="L900" i="6"/>
  <c r="N900" i="6" s="1"/>
  <c r="M904" i="6"/>
  <c r="L904" i="6"/>
  <c r="J910" i="6"/>
  <c r="K910" i="6" s="1"/>
  <c r="B914" i="7" s="1"/>
  <c r="M920" i="6"/>
  <c r="L920" i="6"/>
  <c r="N920" i="6" s="1"/>
  <c r="J929" i="6"/>
  <c r="K929" i="6" s="1"/>
  <c r="B933" i="7" s="1"/>
  <c r="M933" i="6"/>
  <c r="N933" i="6" s="1"/>
  <c r="L939" i="6"/>
  <c r="M939" i="6"/>
  <c r="M940" i="6"/>
  <c r="N940" i="6" s="1"/>
  <c r="L947" i="6"/>
  <c r="M947" i="6"/>
  <c r="L955" i="6"/>
  <c r="M955" i="6"/>
  <c r="N959" i="6"/>
  <c r="N969" i="6"/>
  <c r="M988" i="6"/>
  <c r="L988" i="6"/>
  <c r="C5" i="3"/>
  <c r="F5" i="3" s="1"/>
  <c r="C6" i="3"/>
  <c r="F6" i="3" s="1"/>
  <c r="C7" i="3"/>
  <c r="C8" i="3"/>
  <c r="C9" i="3"/>
  <c r="L210" i="6"/>
  <c r="N210" i="6" s="1"/>
  <c r="L218" i="6"/>
  <c r="L226" i="6"/>
  <c r="N226" i="6" s="1"/>
  <c r="L234" i="6"/>
  <c r="L242" i="6"/>
  <c r="N242" i="6" s="1"/>
  <c r="L250" i="6"/>
  <c r="N250" i="6" s="1"/>
  <c r="L258" i="6"/>
  <c r="N258" i="6" s="1"/>
  <c r="L266" i="6"/>
  <c r="N266" i="6" s="1"/>
  <c r="L274" i="6"/>
  <c r="N274" i="6" s="1"/>
  <c r="M649" i="6"/>
  <c r="M681" i="6"/>
  <c r="I683" i="6"/>
  <c r="K683" i="6" s="1"/>
  <c r="B687" i="7" s="1"/>
  <c r="M694" i="6"/>
  <c r="L694" i="6"/>
  <c r="N694" i="6" s="1"/>
  <c r="I704" i="6"/>
  <c r="K704" i="6" s="1"/>
  <c r="B708" i="7" s="1"/>
  <c r="K710" i="6"/>
  <c r="B714" i="7" s="1"/>
  <c r="K713" i="6"/>
  <c r="B717" i="7" s="1"/>
  <c r="M718" i="6"/>
  <c r="M749" i="6"/>
  <c r="J749" i="6"/>
  <c r="N751" i="6"/>
  <c r="K761" i="6"/>
  <c r="B765" i="7" s="1"/>
  <c r="M764" i="6"/>
  <c r="N764" i="6" s="1"/>
  <c r="M768" i="6"/>
  <c r="L768" i="6"/>
  <c r="N768" i="6" s="1"/>
  <c r="M772" i="6"/>
  <c r="L772" i="6"/>
  <c r="M776" i="6"/>
  <c r="L776" i="6"/>
  <c r="N776" i="6" s="1"/>
  <c r="J782" i="6"/>
  <c r="K782" i="6" s="1"/>
  <c r="B786" i="7" s="1"/>
  <c r="J790" i="6"/>
  <c r="M800" i="6"/>
  <c r="L800" i="6"/>
  <c r="N800" i="6" s="1"/>
  <c r="L812" i="6"/>
  <c r="L828" i="6"/>
  <c r="M836" i="6"/>
  <c r="L836" i="6"/>
  <c r="N836" i="6" s="1"/>
  <c r="K841" i="6"/>
  <c r="B845" i="7" s="1"/>
  <c r="K853" i="6"/>
  <c r="B857" i="7" s="1"/>
  <c r="M860" i="6"/>
  <c r="L860" i="6"/>
  <c r="J878" i="6"/>
  <c r="K878" i="6" s="1"/>
  <c r="B882" i="7" s="1"/>
  <c r="L887" i="6"/>
  <c r="M887" i="6"/>
  <c r="J918" i="6"/>
  <c r="M928" i="6"/>
  <c r="L928" i="6"/>
  <c r="J946" i="6"/>
  <c r="K946" i="6" s="1"/>
  <c r="M953" i="6"/>
  <c r="N953" i="6" s="1"/>
  <c r="M959" i="6"/>
  <c r="N960" i="6"/>
  <c r="L966" i="6"/>
  <c r="M966" i="6"/>
  <c r="M975" i="6"/>
  <c r="N975" i="6" s="1"/>
  <c r="L998" i="6"/>
  <c r="M998" i="6"/>
  <c r="F8" i="3"/>
  <c r="F9" i="3"/>
  <c r="J281" i="6"/>
  <c r="J289" i="6"/>
  <c r="J297" i="6"/>
  <c r="J305" i="6"/>
  <c r="J313" i="6"/>
  <c r="J321" i="6"/>
  <c r="J329" i="6"/>
  <c r="J337" i="6"/>
  <c r="J345" i="6"/>
  <c r="J353" i="6"/>
  <c r="J361" i="6"/>
  <c r="J369" i="6"/>
  <c r="J377" i="6"/>
  <c r="J385" i="6"/>
  <c r="J393" i="6"/>
  <c r="J401" i="6"/>
  <c r="J409" i="6"/>
  <c r="J417" i="6"/>
  <c r="J425" i="6"/>
  <c r="J433" i="6"/>
  <c r="J441" i="6"/>
  <c r="J449" i="6"/>
  <c r="I453" i="6"/>
  <c r="M458" i="6"/>
  <c r="M465" i="6"/>
  <c r="N465" i="6" s="1"/>
  <c r="J466" i="6"/>
  <c r="K466" i="6" s="1"/>
  <c r="B470" i="7" s="1"/>
  <c r="J468" i="6"/>
  <c r="L473" i="6"/>
  <c r="L478" i="6"/>
  <c r="J481" i="6"/>
  <c r="I485" i="6"/>
  <c r="K485" i="6" s="1"/>
  <c r="B489" i="7" s="1"/>
  <c r="M490" i="6"/>
  <c r="N490" i="6" s="1"/>
  <c r="M497" i="6"/>
  <c r="N497" i="6" s="1"/>
  <c r="J498" i="6"/>
  <c r="K498" i="6" s="1"/>
  <c r="B502" i="7" s="1"/>
  <c r="J500" i="6"/>
  <c r="K500" i="6" s="1"/>
  <c r="L505" i="6"/>
  <c r="N505" i="6" s="1"/>
  <c r="L510" i="6"/>
  <c r="J513" i="6"/>
  <c r="I517" i="6"/>
  <c r="M522" i="6"/>
  <c r="M529" i="6"/>
  <c r="N529" i="6" s="1"/>
  <c r="J530" i="6"/>
  <c r="K530" i="6" s="1"/>
  <c r="B534" i="7" s="1"/>
  <c r="J532" i="6"/>
  <c r="L537" i="6"/>
  <c r="L542" i="6"/>
  <c r="N542" i="6" s="1"/>
  <c r="J545" i="6"/>
  <c r="I549" i="6"/>
  <c r="M554" i="6"/>
  <c r="N554" i="6" s="1"/>
  <c r="M561" i="6"/>
  <c r="N561" i="6" s="1"/>
  <c r="J562" i="6"/>
  <c r="K562" i="6" s="1"/>
  <c r="B566" i="7" s="1"/>
  <c r="J564" i="6"/>
  <c r="K564" i="6" s="1"/>
  <c r="L569" i="6"/>
  <c r="L574" i="6"/>
  <c r="N574" i="6" s="1"/>
  <c r="J577" i="6"/>
  <c r="I581" i="6"/>
  <c r="K581" i="6" s="1"/>
  <c r="B585" i="7" s="1"/>
  <c r="M586" i="6"/>
  <c r="N586" i="6" s="1"/>
  <c r="M593" i="6"/>
  <c r="N593" i="6" s="1"/>
  <c r="J594" i="6"/>
  <c r="K594" i="6" s="1"/>
  <c r="B598" i="7" s="1"/>
  <c r="J596" i="6"/>
  <c r="K596" i="6" s="1"/>
  <c r="L601" i="6"/>
  <c r="L606" i="6"/>
  <c r="J609" i="6"/>
  <c r="I613" i="6"/>
  <c r="K613" i="6" s="1"/>
  <c r="B617" i="7" s="1"/>
  <c r="M618" i="6"/>
  <c r="M625" i="6"/>
  <c r="N625" i="6" s="1"/>
  <c r="J626" i="6"/>
  <c r="J628" i="6"/>
  <c r="K628" i="6" s="1"/>
  <c r="L633" i="6"/>
  <c r="N633" i="6" s="1"/>
  <c r="L638" i="6"/>
  <c r="J641" i="6"/>
  <c r="I645" i="6"/>
  <c r="K645" i="6" s="1"/>
  <c r="B649" i="7" s="1"/>
  <c r="M650" i="6"/>
  <c r="M657" i="6"/>
  <c r="N657" i="6" s="1"/>
  <c r="J658" i="6"/>
  <c r="K658" i="6" s="1"/>
  <c r="B662" i="7" s="1"/>
  <c r="J660" i="6"/>
  <c r="K660" i="6" s="1"/>
  <c r="B664" i="7" s="1"/>
  <c r="L665" i="6"/>
  <c r="L670" i="6"/>
  <c r="N670" i="6" s="1"/>
  <c r="J673" i="6"/>
  <c r="I677" i="6"/>
  <c r="I691" i="6"/>
  <c r="K693" i="6"/>
  <c r="B697" i="7" s="1"/>
  <c r="I696" i="6"/>
  <c r="M698" i="6"/>
  <c r="L698" i="6"/>
  <c r="M716" i="6"/>
  <c r="L716" i="6"/>
  <c r="N716" i="6" s="1"/>
  <c r="J717" i="6"/>
  <c r="K717" i="6" s="1"/>
  <c r="B721" i="7" s="1"/>
  <c r="L723" i="6"/>
  <c r="M723" i="6"/>
  <c r="L727" i="6"/>
  <c r="M727" i="6"/>
  <c r="J733" i="6"/>
  <c r="J741" i="6"/>
  <c r="M748" i="6"/>
  <c r="J750" i="6"/>
  <c r="I758" i="6"/>
  <c r="K758" i="6" s="1"/>
  <c r="B762" i="7" s="1"/>
  <c r="K767" i="6"/>
  <c r="J770" i="6"/>
  <c r="K771" i="6"/>
  <c r="B775" i="7" s="1"/>
  <c r="M775" i="6"/>
  <c r="N775" i="6" s="1"/>
  <c r="J778" i="6"/>
  <c r="M782" i="6"/>
  <c r="L782" i="6"/>
  <c r="I787" i="6"/>
  <c r="I795" i="6"/>
  <c r="J806" i="6"/>
  <c r="J812" i="6"/>
  <c r="J828" i="6"/>
  <c r="I838" i="6"/>
  <c r="K838" i="6" s="1"/>
  <c r="B842" i="7" s="1"/>
  <c r="J842" i="6"/>
  <c r="M843" i="6"/>
  <c r="N843" i="6" s="1"/>
  <c r="J850" i="6"/>
  <c r="J866" i="6"/>
  <c r="N872" i="6"/>
  <c r="J874" i="6"/>
  <c r="L876" i="6"/>
  <c r="I891" i="6"/>
  <c r="K891" i="6" s="1"/>
  <c r="B895" i="7" s="1"/>
  <c r="N901" i="6"/>
  <c r="I915" i="6"/>
  <c r="I923" i="6"/>
  <c r="J927" i="6"/>
  <c r="K934" i="6"/>
  <c r="B938" i="7" s="1"/>
  <c r="M935" i="6"/>
  <c r="N935" i="6" s="1"/>
  <c r="M952" i="6"/>
  <c r="N952" i="6" s="1"/>
  <c r="J953" i="6"/>
  <c r="M965" i="6"/>
  <c r="N965" i="6" s="1"/>
  <c r="M969" i="6"/>
  <c r="L982" i="6"/>
  <c r="M982" i="6"/>
  <c r="J995" i="6"/>
  <c r="M997" i="6"/>
  <c r="N997" i="6" s="1"/>
  <c r="J607" i="6"/>
  <c r="K607" i="6" s="1"/>
  <c r="B611" i="7" s="1"/>
  <c r="J611" i="6"/>
  <c r="K611" i="6" s="1"/>
  <c r="B615" i="7" s="1"/>
  <c r="J615" i="6"/>
  <c r="K615" i="6" s="1"/>
  <c r="B619" i="7" s="1"/>
  <c r="J619" i="6"/>
  <c r="K619" i="6" s="1"/>
  <c r="B623" i="7" s="1"/>
  <c r="J623" i="6"/>
  <c r="K623" i="6" s="1"/>
  <c r="J627" i="6"/>
  <c r="K627" i="6" s="1"/>
  <c r="B631" i="7" s="1"/>
  <c r="J631" i="6"/>
  <c r="K631" i="6" s="1"/>
  <c r="J635" i="6"/>
  <c r="K635" i="6" s="1"/>
  <c r="B639" i="7" s="1"/>
  <c r="J639" i="6"/>
  <c r="K639" i="6" s="1"/>
  <c r="B643" i="7" s="1"/>
  <c r="J643" i="6"/>
  <c r="K643" i="6" s="1"/>
  <c r="B647" i="7" s="1"/>
  <c r="J647" i="6"/>
  <c r="J651" i="6"/>
  <c r="K651" i="6" s="1"/>
  <c r="B655" i="7" s="1"/>
  <c r="J655" i="6"/>
  <c r="K655" i="6" s="1"/>
  <c r="J659" i="6"/>
  <c r="K659" i="6" s="1"/>
  <c r="J663" i="6"/>
  <c r="K663" i="6" s="1"/>
  <c r="B667" i="7" s="1"/>
  <c r="J667" i="6"/>
  <c r="J671" i="6"/>
  <c r="K671" i="6" s="1"/>
  <c r="B675" i="7" s="1"/>
  <c r="J675" i="6"/>
  <c r="K675" i="6" s="1"/>
  <c r="B679" i="7" s="1"/>
  <c r="J679" i="6"/>
  <c r="K679" i="6" s="1"/>
  <c r="B683" i="7" s="1"/>
  <c r="I684" i="6"/>
  <c r="J693" i="6"/>
  <c r="I697" i="6"/>
  <c r="I699" i="6"/>
  <c r="K699" i="6" s="1"/>
  <c r="B703" i="7" s="1"/>
  <c r="M702" i="6"/>
  <c r="L702" i="6"/>
  <c r="L705" i="6"/>
  <c r="I707" i="6"/>
  <c r="J718" i="6"/>
  <c r="K718" i="6" s="1"/>
  <c r="B722" i="7" s="1"/>
  <c r="M721" i="6"/>
  <c r="I723" i="6"/>
  <c r="K723" i="6" s="1"/>
  <c r="B727" i="7" s="1"/>
  <c r="I726" i="6"/>
  <c r="M736" i="6"/>
  <c r="L736" i="6"/>
  <c r="I742" i="6"/>
  <c r="I745" i="6"/>
  <c r="K745" i="6" s="1"/>
  <c r="B749" i="7" s="1"/>
  <c r="J761" i="6"/>
  <c r="M781" i="6"/>
  <c r="J786" i="6"/>
  <c r="L789" i="6"/>
  <c r="N789" i="6" s="1"/>
  <c r="I791" i="6"/>
  <c r="M796" i="6"/>
  <c r="N796" i="6" s="1"/>
  <c r="J797" i="6"/>
  <c r="J802" i="6"/>
  <c r="I805" i="6"/>
  <c r="K805" i="6" s="1"/>
  <c r="B809" i="7" s="1"/>
  <c r="J810" i="6"/>
  <c r="K810" i="6" s="1"/>
  <c r="B814" i="7" s="1"/>
  <c r="L815" i="6"/>
  <c r="N815" i="6" s="1"/>
  <c r="K821" i="6"/>
  <c r="B825" i="7" s="1"/>
  <c r="I827" i="6"/>
  <c r="K835" i="6"/>
  <c r="B839" i="7" s="1"/>
  <c r="L839" i="6"/>
  <c r="J846" i="6"/>
  <c r="M849" i="6"/>
  <c r="I851" i="6"/>
  <c r="K851" i="6" s="1"/>
  <c r="B855" i="7" s="1"/>
  <c r="I854" i="6"/>
  <c r="M864" i="6"/>
  <c r="L864" i="6"/>
  <c r="N864" i="6" s="1"/>
  <c r="I870" i="6"/>
  <c r="K870" i="6" s="1"/>
  <c r="B874" i="7" s="1"/>
  <c r="I873" i="6"/>
  <c r="N885" i="6"/>
  <c r="J889" i="6"/>
  <c r="J895" i="6"/>
  <c r="M909" i="6"/>
  <c r="N909" i="6" s="1"/>
  <c r="J911" i="6"/>
  <c r="J914" i="6"/>
  <c r="I919" i="6"/>
  <c r="M924" i="6"/>
  <c r="N924" i="6" s="1"/>
  <c r="J930" i="6"/>
  <c r="J938" i="6"/>
  <c r="K938" i="6" s="1"/>
  <c r="B942" i="7" s="1"/>
  <c r="I955" i="6"/>
  <c r="J961" i="6"/>
  <c r="K961" i="6" s="1"/>
  <c r="B965" i="7" s="1"/>
  <c r="K962" i="6"/>
  <c r="B966" i="7" s="1"/>
  <c r="N967" i="6"/>
  <c r="J971" i="6"/>
  <c r="K971" i="6" s="1"/>
  <c r="B975" i="7" s="1"/>
  <c r="M986" i="6"/>
  <c r="N986" i="6" s="1"/>
  <c r="N992" i="6"/>
  <c r="M1001" i="6"/>
  <c r="I688" i="6"/>
  <c r="J697" i="6"/>
  <c r="I701" i="6"/>
  <c r="K701" i="6" s="1"/>
  <c r="B705" i="7" s="1"/>
  <c r="I703" i="6"/>
  <c r="K703" i="6" s="1"/>
  <c r="B707" i="7" s="1"/>
  <c r="J707" i="6"/>
  <c r="L711" i="6"/>
  <c r="N711" i="6" s="1"/>
  <c r="I712" i="6"/>
  <c r="K712" i="6" s="1"/>
  <c r="I714" i="6"/>
  <c r="J726" i="6"/>
  <c r="M728" i="6"/>
  <c r="K729" i="6"/>
  <c r="B733" i="7" s="1"/>
  <c r="I735" i="6"/>
  <c r="K735" i="6" s="1"/>
  <c r="B739" i="7" s="1"/>
  <c r="J742" i="6"/>
  <c r="M744" i="6"/>
  <c r="N744" i="6" s="1"/>
  <c r="L747" i="6"/>
  <c r="I754" i="6"/>
  <c r="L755" i="6"/>
  <c r="M755" i="6"/>
  <c r="I762" i="6"/>
  <c r="I765" i="6"/>
  <c r="K765" i="6" s="1"/>
  <c r="B769" i="7" s="1"/>
  <c r="M774" i="6"/>
  <c r="L774" i="6"/>
  <c r="I778" i="6"/>
  <c r="M780" i="6"/>
  <c r="J791" i="6"/>
  <c r="M804" i="6"/>
  <c r="L804" i="6"/>
  <c r="N804" i="6" s="1"/>
  <c r="J808" i="6"/>
  <c r="I814" i="6"/>
  <c r="K814" i="6" s="1"/>
  <c r="B818" i="7" s="1"/>
  <c r="L817" i="6"/>
  <c r="L823" i="6"/>
  <c r="M823" i="6"/>
  <c r="J827" i="6"/>
  <c r="I833" i="6"/>
  <c r="K833" i="6" s="1"/>
  <c r="B837" i="7" s="1"/>
  <c r="J844" i="6"/>
  <c r="J854" i="6"/>
  <c r="M856" i="6"/>
  <c r="N856" i="6" s="1"/>
  <c r="I863" i="6"/>
  <c r="K863" i="6" s="1"/>
  <c r="B867" i="7" s="1"/>
  <c r="J870" i="6"/>
  <c r="M872" i="6"/>
  <c r="L875" i="6"/>
  <c r="M875" i="6"/>
  <c r="I882" i="6"/>
  <c r="K882" i="6" s="1"/>
  <c r="B886" i="7" s="1"/>
  <c r="L883" i="6"/>
  <c r="N883" i="6" s="1"/>
  <c r="M883" i="6"/>
  <c r="M902" i="6"/>
  <c r="L902" i="6"/>
  <c r="I906" i="6"/>
  <c r="M908" i="6"/>
  <c r="N908" i="6" s="1"/>
  <c r="J919" i="6"/>
  <c r="M932" i="6"/>
  <c r="L932" i="6"/>
  <c r="K942" i="6"/>
  <c r="J955" i="6"/>
  <c r="M970" i="6"/>
  <c r="K982" i="6"/>
  <c r="B986" i="7" s="1"/>
  <c r="M985" i="6"/>
  <c r="N985" i="6" s="1"/>
  <c r="N989" i="6"/>
  <c r="L990" i="6"/>
  <c r="N990" i="6" s="1"/>
  <c r="N993" i="6"/>
  <c r="J998" i="6"/>
  <c r="J706" i="6"/>
  <c r="I711" i="6"/>
  <c r="K711" i="6" s="1"/>
  <c r="B715" i="7" s="1"/>
  <c r="J714" i="6"/>
  <c r="I719" i="6"/>
  <c r="K719" i="6" s="1"/>
  <c r="B723" i="7" s="1"/>
  <c r="J730" i="6"/>
  <c r="K730" i="6" s="1"/>
  <c r="B734" i="7" s="1"/>
  <c r="I734" i="6"/>
  <c r="M720" i="6"/>
  <c r="N720" i="6" s="1"/>
  <c r="I747" i="6"/>
  <c r="I749" i="6"/>
  <c r="M752" i="6"/>
  <c r="N752" i="6" s="1"/>
  <c r="J762" i="6"/>
  <c r="I766" i="6"/>
  <c r="K766" i="6" s="1"/>
  <c r="B770" i="7" s="1"/>
  <c r="I779" i="6"/>
  <c r="K779" i="6" s="1"/>
  <c r="B783" i="7" s="1"/>
  <c r="I781" i="6"/>
  <c r="M784" i="6"/>
  <c r="J794" i="6"/>
  <c r="I798" i="6"/>
  <c r="I811" i="6"/>
  <c r="I813" i="6"/>
  <c r="M816" i="6"/>
  <c r="N816" i="6" s="1"/>
  <c r="J826" i="6"/>
  <c r="I830" i="6"/>
  <c r="I843" i="6"/>
  <c r="K843" i="6" s="1"/>
  <c r="B847" i="7" s="1"/>
  <c r="I845" i="6"/>
  <c r="K845" i="6" s="1"/>
  <c r="B849" i="7" s="1"/>
  <c r="M848" i="6"/>
  <c r="N848" i="6" s="1"/>
  <c r="J858" i="6"/>
  <c r="K858" i="6" s="1"/>
  <c r="B862" i="7" s="1"/>
  <c r="I862" i="6"/>
  <c r="J873" i="6"/>
  <c r="M880" i="6"/>
  <c r="N880" i="6" s="1"/>
  <c r="J890" i="6"/>
  <c r="K890" i="6" s="1"/>
  <c r="B894" i="7" s="1"/>
  <c r="J905" i="6"/>
  <c r="M912" i="6"/>
  <c r="N912" i="6" s="1"/>
  <c r="J922" i="6"/>
  <c r="J937" i="6"/>
  <c r="K937" i="6" s="1"/>
  <c r="B941" i="7" s="1"/>
  <c r="M944" i="6"/>
  <c r="N944" i="6" s="1"/>
  <c r="J954" i="6"/>
  <c r="K954" i="6" s="1"/>
  <c r="M964" i="6"/>
  <c r="L964" i="6"/>
  <c r="L971" i="6"/>
  <c r="M971" i="6"/>
  <c r="M980" i="6"/>
  <c r="L980" i="6"/>
  <c r="N980" i="6" s="1"/>
  <c r="L987" i="6"/>
  <c r="M987" i="6"/>
  <c r="M996" i="6"/>
  <c r="L996" i="6"/>
  <c r="I682" i="6"/>
  <c r="K682" i="6" s="1"/>
  <c r="B686" i="7" s="1"/>
  <c r="I686" i="6"/>
  <c r="I690" i="6"/>
  <c r="I694" i="6"/>
  <c r="K694" i="6" s="1"/>
  <c r="B698" i="7" s="1"/>
  <c r="I698" i="6"/>
  <c r="K698" i="6" s="1"/>
  <c r="B702" i="7" s="1"/>
  <c r="I702" i="6"/>
  <c r="K702" i="6" s="1"/>
  <c r="B706" i="7" s="1"/>
  <c r="I708" i="6"/>
  <c r="K708" i="6" s="1"/>
  <c r="B712" i="7" s="1"/>
  <c r="I716" i="6"/>
  <c r="I721" i="6"/>
  <c r="K721" i="6" s="1"/>
  <c r="B725" i="7" s="1"/>
  <c r="M724" i="6"/>
  <c r="N724" i="6" s="1"/>
  <c r="J734" i="6"/>
  <c r="I738" i="6"/>
  <c r="L739" i="6"/>
  <c r="N739" i="6" s="1"/>
  <c r="I751" i="6"/>
  <c r="I753" i="6"/>
  <c r="K753" i="6" s="1"/>
  <c r="B757" i="7" s="1"/>
  <c r="M756" i="6"/>
  <c r="J766" i="6"/>
  <c r="I770" i="6"/>
  <c r="L771" i="6"/>
  <c r="I783" i="6"/>
  <c r="K783" i="6" s="1"/>
  <c r="B787" i="7" s="1"/>
  <c r="I785" i="6"/>
  <c r="K785" i="6" s="1"/>
  <c r="B789" i="7" s="1"/>
  <c r="M788" i="6"/>
  <c r="N788" i="6" s="1"/>
  <c r="J798" i="6"/>
  <c r="I802" i="6"/>
  <c r="L803" i="6"/>
  <c r="I815" i="6"/>
  <c r="K815" i="6" s="1"/>
  <c r="B819" i="7" s="1"/>
  <c r="I817" i="6"/>
  <c r="M820" i="6"/>
  <c r="N820" i="6" s="1"/>
  <c r="J830" i="6"/>
  <c r="I834" i="6"/>
  <c r="L835" i="6"/>
  <c r="I847" i="6"/>
  <c r="I849" i="6"/>
  <c r="K849" i="6" s="1"/>
  <c r="B853" i="7" s="1"/>
  <c r="M852" i="6"/>
  <c r="J862" i="6"/>
  <c r="I866" i="6"/>
  <c r="L867" i="6"/>
  <c r="N867" i="6" s="1"/>
  <c r="J875" i="6"/>
  <c r="K875" i="6" s="1"/>
  <c r="B879" i="7" s="1"/>
  <c r="M884" i="6"/>
  <c r="N884" i="6" s="1"/>
  <c r="J894" i="6"/>
  <c r="K894" i="6" s="1"/>
  <c r="B898" i="7" s="1"/>
  <c r="I898" i="6"/>
  <c r="L899" i="6"/>
  <c r="M899" i="6"/>
  <c r="J907" i="6"/>
  <c r="M916" i="6"/>
  <c r="J926" i="6"/>
  <c r="K926" i="6" s="1"/>
  <c r="B930" i="7" s="1"/>
  <c r="I930" i="6"/>
  <c r="L931" i="6"/>
  <c r="M931" i="6"/>
  <c r="J939" i="6"/>
  <c r="K939" i="6" s="1"/>
  <c r="B943" i="7" s="1"/>
  <c r="M948" i="6"/>
  <c r="N948" i="6" s="1"/>
  <c r="J958" i="6"/>
  <c r="K958" i="6" s="1"/>
  <c r="B962" i="7" s="1"/>
  <c r="I963" i="6"/>
  <c r="N968" i="6"/>
  <c r="J974" i="6"/>
  <c r="I979" i="6"/>
  <c r="J990" i="6"/>
  <c r="I995" i="6"/>
  <c r="N1000" i="6"/>
  <c r="I720" i="6"/>
  <c r="I724" i="6"/>
  <c r="K724" i="6" s="1"/>
  <c r="B728" i="7" s="1"/>
  <c r="I728" i="6"/>
  <c r="K728" i="6" s="1"/>
  <c r="B732" i="7" s="1"/>
  <c r="I732" i="6"/>
  <c r="K732" i="6" s="1"/>
  <c r="B736" i="7" s="1"/>
  <c r="I736" i="6"/>
  <c r="I740" i="6"/>
  <c r="I744" i="6"/>
  <c r="K744" i="6" s="1"/>
  <c r="B748" i="7" s="1"/>
  <c r="I748" i="6"/>
  <c r="K748" i="6" s="1"/>
  <c r="B752" i="7" s="1"/>
  <c r="I752" i="6"/>
  <c r="K752" i="6" s="1"/>
  <c r="B756" i="7" s="1"/>
  <c r="I756" i="6"/>
  <c r="K756" i="6" s="1"/>
  <c r="B760" i="7" s="1"/>
  <c r="I760" i="6"/>
  <c r="I764" i="6"/>
  <c r="K764" i="6" s="1"/>
  <c r="B768" i="7" s="1"/>
  <c r="I768" i="6"/>
  <c r="I772" i="6"/>
  <c r="I776" i="6"/>
  <c r="K776" i="6" s="1"/>
  <c r="B780" i="7" s="1"/>
  <c r="I780" i="6"/>
  <c r="K780" i="6" s="1"/>
  <c r="B784" i="7" s="1"/>
  <c r="I784" i="6"/>
  <c r="K784" i="6" s="1"/>
  <c r="B788" i="7" s="1"/>
  <c r="I788" i="6"/>
  <c r="K788" i="6" s="1"/>
  <c r="B792" i="7" s="1"/>
  <c r="I792" i="6"/>
  <c r="K792" i="6" s="1"/>
  <c r="B796" i="7" s="1"/>
  <c r="I796" i="6"/>
  <c r="K796" i="6" s="1"/>
  <c r="B800" i="7" s="1"/>
  <c r="I800" i="6"/>
  <c r="K800" i="6" s="1"/>
  <c r="B804" i="7" s="1"/>
  <c r="I804" i="6"/>
  <c r="K804" i="6" s="1"/>
  <c r="B808" i="7" s="1"/>
  <c r="I808" i="6"/>
  <c r="I812" i="6"/>
  <c r="I816" i="6"/>
  <c r="K816" i="6" s="1"/>
  <c r="B820" i="7" s="1"/>
  <c r="I820" i="6"/>
  <c r="K820" i="6" s="1"/>
  <c r="B824" i="7" s="1"/>
  <c r="I824" i="6"/>
  <c r="K824" i="6" s="1"/>
  <c r="B828" i="7" s="1"/>
  <c r="I828" i="6"/>
  <c r="I832" i="6"/>
  <c r="K832" i="6" s="1"/>
  <c r="B836" i="7" s="1"/>
  <c r="I836" i="6"/>
  <c r="K836" i="6" s="1"/>
  <c r="B840" i="7" s="1"/>
  <c r="I840" i="6"/>
  <c r="I844" i="6"/>
  <c r="I848" i="6"/>
  <c r="K848" i="6" s="1"/>
  <c r="B852" i="7" s="1"/>
  <c r="I852" i="6"/>
  <c r="K852" i="6" s="1"/>
  <c r="B856" i="7" s="1"/>
  <c r="I856" i="6"/>
  <c r="K856" i="6" s="1"/>
  <c r="B860" i="7" s="1"/>
  <c r="I860" i="6"/>
  <c r="I864" i="6"/>
  <c r="K864" i="6" s="1"/>
  <c r="B868" i="7" s="1"/>
  <c r="I868" i="6"/>
  <c r="K868" i="6" s="1"/>
  <c r="B872" i="7" s="1"/>
  <c r="I872" i="6"/>
  <c r="K872" i="6" s="1"/>
  <c r="B876" i="7" s="1"/>
  <c r="J962" i="6"/>
  <c r="J970" i="6"/>
  <c r="K970" i="6" s="1"/>
  <c r="B974" i="7" s="1"/>
  <c r="J978" i="6"/>
  <c r="J986" i="6"/>
  <c r="J994" i="6"/>
  <c r="K994" i="6" s="1"/>
  <c r="B998" i="7" s="1"/>
  <c r="J876" i="6"/>
  <c r="J880" i="6"/>
  <c r="K880" i="6" s="1"/>
  <c r="B884" i="7" s="1"/>
  <c r="J884" i="6"/>
  <c r="J888" i="6"/>
  <c r="K888" i="6" s="1"/>
  <c r="B892" i="7" s="1"/>
  <c r="J892" i="6"/>
  <c r="J896" i="6"/>
  <c r="K896" i="6" s="1"/>
  <c r="B900" i="7" s="1"/>
  <c r="J900" i="6"/>
  <c r="K900" i="6" s="1"/>
  <c r="B904" i="7" s="1"/>
  <c r="J904" i="6"/>
  <c r="K904" i="6" s="1"/>
  <c r="B908" i="7" s="1"/>
  <c r="J908" i="6"/>
  <c r="J912" i="6"/>
  <c r="K912" i="6" s="1"/>
  <c r="B916" i="7" s="1"/>
  <c r="J916" i="6"/>
  <c r="K916" i="6" s="1"/>
  <c r="B920" i="7" s="1"/>
  <c r="J920" i="6"/>
  <c r="K920" i="6" s="1"/>
  <c r="B924" i="7" s="1"/>
  <c r="J924" i="6"/>
  <c r="J928" i="6"/>
  <c r="J932" i="6"/>
  <c r="J936" i="6"/>
  <c r="K936" i="6" s="1"/>
  <c r="J940" i="6"/>
  <c r="K940" i="6" s="1"/>
  <c r="B944" i="7" s="1"/>
  <c r="J944" i="6"/>
  <c r="K944" i="6" s="1"/>
  <c r="B948" i="7" s="1"/>
  <c r="J948" i="6"/>
  <c r="J952" i="6"/>
  <c r="K952" i="6" s="1"/>
  <c r="B956" i="7" s="1"/>
  <c r="J956" i="6"/>
  <c r="J959" i="6"/>
  <c r="K959" i="6" s="1"/>
  <c r="B963" i="7" s="1"/>
  <c r="J967" i="6"/>
  <c r="K967" i="6" s="1"/>
  <c r="B971" i="7" s="1"/>
  <c r="J975" i="6"/>
  <c r="K975" i="6" s="1"/>
  <c r="B979" i="7" s="1"/>
  <c r="J983" i="6"/>
  <c r="K983" i="6" s="1"/>
  <c r="B987" i="7" s="1"/>
  <c r="J991" i="6"/>
  <c r="J999" i="6"/>
  <c r="K999" i="6" s="1"/>
  <c r="B1003" i="7" s="1"/>
  <c r="J960" i="6"/>
  <c r="J964" i="6"/>
  <c r="J968" i="6"/>
  <c r="K968" i="6" s="1"/>
  <c r="B972" i="7" s="1"/>
  <c r="J972" i="6"/>
  <c r="K972" i="6" s="1"/>
  <c r="B976" i="7" s="1"/>
  <c r="J976" i="6"/>
  <c r="K976" i="6" s="1"/>
  <c r="B980" i="7" s="1"/>
  <c r="J980" i="6"/>
  <c r="J984" i="6"/>
  <c r="J988" i="6"/>
  <c r="K988" i="6" s="1"/>
  <c r="B992" i="7" s="1"/>
  <c r="J992" i="6"/>
  <c r="K992" i="6" s="1"/>
  <c r="B996" i="7" s="1"/>
  <c r="J996" i="6"/>
  <c r="K996" i="6" s="1"/>
  <c r="B1000" i="7" s="1"/>
  <c r="J1000" i="6"/>
  <c r="K1000" i="6" s="1"/>
  <c r="B1004" i="7" s="1"/>
  <c r="J877" i="6"/>
  <c r="K877" i="6" s="1"/>
  <c r="B881" i="7" s="1"/>
  <c r="J885" i="6"/>
  <c r="J893" i="6"/>
  <c r="K893" i="6" s="1"/>
  <c r="B897" i="7" s="1"/>
  <c r="J901" i="6"/>
  <c r="J909" i="6"/>
  <c r="K909" i="6" s="1"/>
  <c r="B913" i="7" s="1"/>
  <c r="J917" i="6"/>
  <c r="J925" i="6"/>
  <c r="K925" i="6" s="1"/>
  <c r="J933" i="6"/>
  <c r="K933" i="6" s="1"/>
  <c r="B937" i="7" s="1"/>
  <c r="J941" i="6"/>
  <c r="K941" i="6" s="1"/>
  <c r="B945" i="7" s="1"/>
  <c r="J949" i="6"/>
  <c r="K949" i="6" s="1"/>
  <c r="B953" i="7" s="1"/>
  <c r="J957" i="6"/>
  <c r="K957" i="6" s="1"/>
  <c r="B961" i="7" s="1"/>
  <c r="J965" i="6"/>
  <c r="J973" i="6"/>
  <c r="K973" i="6" s="1"/>
  <c r="J981" i="6"/>
  <c r="J989" i="6"/>
  <c r="J997" i="6"/>
  <c r="K997" i="6" s="1"/>
  <c r="B1001" i="7" s="1"/>
  <c r="N903" i="6" l="1"/>
  <c r="B218" i="7"/>
  <c r="P214" i="6"/>
  <c r="Q214" i="6" s="1"/>
  <c r="K532" i="6"/>
  <c r="B536" i="7" s="1"/>
  <c r="O176" i="6"/>
  <c r="A180" i="7"/>
  <c r="A140" i="7"/>
  <c r="P136" i="6"/>
  <c r="Q136" i="6" s="1"/>
  <c r="A146" i="7"/>
  <c r="O142" i="6"/>
  <c r="B153" i="7"/>
  <c r="P149" i="6"/>
  <c r="Q149" i="6" s="1"/>
  <c r="O71" i="6"/>
  <c r="A75" i="7"/>
  <c r="O360" i="6"/>
  <c r="A364" i="7"/>
  <c r="A672" i="7"/>
  <c r="O668" i="6"/>
  <c r="N808" i="6"/>
  <c r="N738" i="6"/>
  <c r="N403" i="6"/>
  <c r="N364" i="6"/>
  <c r="O364" i="6" s="1"/>
  <c r="N275" i="6"/>
  <c r="O275" i="6" s="1"/>
  <c r="N243" i="6"/>
  <c r="P243" i="6" s="1"/>
  <c r="Q243" i="6" s="1"/>
  <c r="N211" i="6"/>
  <c r="N186" i="6"/>
  <c r="N154" i="6"/>
  <c r="N122" i="6"/>
  <c r="N90" i="6"/>
  <c r="O90" i="6" s="1"/>
  <c r="N58" i="6"/>
  <c r="A62" i="7" s="1"/>
  <c r="N26" i="6"/>
  <c r="O26" i="6" s="1"/>
  <c r="N530" i="6"/>
  <c r="A534" i="7" s="1"/>
  <c r="N566" i="6"/>
  <c r="N318" i="6"/>
  <c r="O697" i="6"/>
  <c r="P527" i="6"/>
  <c r="Q527" i="6" s="1"/>
  <c r="O527" i="6"/>
  <c r="O439" i="6"/>
  <c r="K237" i="6"/>
  <c r="B241" i="7" s="1"/>
  <c r="A179" i="7"/>
  <c r="O175" i="6"/>
  <c r="A100" i="7"/>
  <c r="O96" i="6"/>
  <c r="A361" i="7"/>
  <c r="O357" i="6"/>
  <c r="B535" i="7"/>
  <c r="P531" i="6"/>
  <c r="Q531" i="6" s="1"/>
  <c r="A371" i="7"/>
  <c r="P367" i="6"/>
  <c r="Q367" i="6" s="1"/>
  <c r="O367" i="6"/>
  <c r="O676" i="6"/>
  <c r="P676" i="6"/>
  <c r="Q676" i="6" s="1"/>
  <c r="A680" i="7"/>
  <c r="A11" i="7"/>
  <c r="O7" i="6"/>
  <c r="O692" i="6"/>
  <c r="A696" i="7"/>
  <c r="O648" i="6"/>
  <c r="A652" i="7"/>
  <c r="P648" i="6"/>
  <c r="Q648" i="6" s="1"/>
  <c r="B27" i="7"/>
  <c r="P23" i="6"/>
  <c r="Q23" i="6" s="1"/>
  <c r="O78" i="6"/>
  <c r="A82" i="7"/>
  <c r="P118" i="6"/>
  <c r="Q118" i="6" s="1"/>
  <c r="O118" i="6"/>
  <c r="A122" i="7"/>
  <c r="P189" i="6"/>
  <c r="Q189" i="6" s="1"/>
  <c r="O189" i="6"/>
  <c r="O341" i="6"/>
  <c r="A345" i="7"/>
  <c r="A353" i="7"/>
  <c r="O349" i="6"/>
  <c r="K928" i="6"/>
  <c r="B932" i="7" s="1"/>
  <c r="A446" i="7"/>
  <c r="O442" i="6"/>
  <c r="B105" i="7"/>
  <c r="P101" i="6"/>
  <c r="Q101" i="6" s="1"/>
  <c r="B441" i="7"/>
  <c r="P437" i="6"/>
  <c r="Q437" i="6" s="1"/>
  <c r="N283" i="6"/>
  <c r="N41" i="6"/>
  <c r="O859" i="6"/>
  <c r="A863" i="7"/>
  <c r="N592" i="6"/>
  <c r="A569" i="7"/>
  <c r="O565" i="6"/>
  <c r="P565" i="6"/>
  <c r="Q565" i="6" s="1"/>
  <c r="K503" i="6"/>
  <c r="B507" i="7" s="1"/>
  <c r="N408" i="6"/>
  <c r="A412" i="7" s="1"/>
  <c r="A299" i="7"/>
  <c r="N205" i="6"/>
  <c r="A209" i="7" s="1"/>
  <c r="P77" i="6"/>
  <c r="Q77" i="6" s="1"/>
  <c r="A81" i="7"/>
  <c r="N636" i="6"/>
  <c r="A337" i="7"/>
  <c r="P333" i="6"/>
  <c r="Q333" i="6" s="1"/>
  <c r="B137" i="7"/>
  <c r="P133" i="6"/>
  <c r="Q133" i="6" s="1"/>
  <c r="A132" i="7"/>
  <c r="P128" i="6"/>
  <c r="Q128" i="6" s="1"/>
  <c r="O128" i="6"/>
  <c r="A292" i="7"/>
  <c r="O288" i="6"/>
  <c r="N994" i="6"/>
  <c r="O8" i="6"/>
  <c r="A12" i="7"/>
  <c r="O143" i="6"/>
  <c r="A147" i="7"/>
  <c r="P48" i="6"/>
  <c r="Q48" i="6" s="1"/>
  <c r="A52" i="7"/>
  <c r="O48" i="6"/>
  <c r="B946" i="7"/>
  <c r="P942" i="6"/>
  <c r="Q942" i="6" s="1"/>
  <c r="N736" i="6"/>
  <c r="A740" i="7" s="1"/>
  <c r="N702" i="6"/>
  <c r="A706" i="7" s="1"/>
  <c r="N698" i="6"/>
  <c r="P698" i="6" s="1"/>
  <c r="Q698" i="6" s="1"/>
  <c r="N601" i="6"/>
  <c r="P601" i="6" s="1"/>
  <c r="Q601" i="6" s="1"/>
  <c r="N708" i="6"/>
  <c r="N267" i="6"/>
  <c r="B171" i="7"/>
  <c r="P167" i="6"/>
  <c r="Q167" i="6" s="1"/>
  <c r="K103" i="6"/>
  <c r="B107" i="7" s="1"/>
  <c r="N930" i="6"/>
  <c r="A934" i="7" s="1"/>
  <c r="N870" i="6"/>
  <c r="O870" i="6" s="1"/>
  <c r="O535" i="6"/>
  <c r="A193" i="7"/>
  <c r="A452" i="7"/>
  <c r="O704" i="6"/>
  <c r="P704" i="6"/>
  <c r="Q704" i="6" s="1"/>
  <c r="O921" i="6"/>
  <c r="A925" i="7"/>
  <c r="K987" i="6"/>
  <c r="B991" i="7" s="1"/>
  <c r="N784" i="6"/>
  <c r="O784" i="6" s="1"/>
  <c r="O392" i="6"/>
  <c r="P392" i="6"/>
  <c r="Q392" i="6" s="1"/>
  <c r="A933" i="7"/>
  <c r="O929" i="6"/>
  <c r="N624" i="6"/>
  <c r="B492" i="7"/>
  <c r="P488" i="6"/>
  <c r="Q488" i="6" s="1"/>
  <c r="O294" i="6"/>
  <c r="A298" i="7"/>
  <c r="O672" i="6"/>
  <c r="A676" i="7"/>
  <c r="O127" i="6"/>
  <c r="A131" i="7"/>
  <c r="A114" i="7"/>
  <c r="P110" i="6"/>
  <c r="Q110" i="6" s="1"/>
  <c r="O733" i="6"/>
  <c r="A737" i="7"/>
  <c r="O262" i="6"/>
  <c r="A266" i="7"/>
  <c r="K956" i="6"/>
  <c r="B960" i="7" s="1"/>
  <c r="N916" i="6"/>
  <c r="N163" i="6"/>
  <c r="O163" i="6" s="1"/>
  <c r="K57" i="6"/>
  <c r="B61" i="7" s="1"/>
  <c r="N786" i="6"/>
  <c r="K918" i="6"/>
  <c r="K981" i="6"/>
  <c r="B985" i="7" s="1"/>
  <c r="K960" i="6"/>
  <c r="B964" i="7" s="1"/>
  <c r="K895" i="6"/>
  <c r="B899" i="7" s="1"/>
  <c r="K691" i="6"/>
  <c r="B695" i="7" s="1"/>
  <c r="K806" i="6"/>
  <c r="B810" i="7" s="1"/>
  <c r="N865" i="6"/>
  <c r="A869" i="7" s="1"/>
  <c r="K571" i="6"/>
  <c r="B575" i="7" s="1"/>
  <c r="K884" i="6"/>
  <c r="B888" i="7" s="1"/>
  <c r="K915" i="6"/>
  <c r="B919" i="7" s="1"/>
  <c r="K549" i="6"/>
  <c r="B553" i="7" s="1"/>
  <c r="K769" i="6"/>
  <c r="O528" i="6"/>
  <c r="A854" i="7"/>
  <c r="N446" i="6"/>
  <c r="P446" i="6" s="1"/>
  <c r="Q446" i="6" s="1"/>
  <c r="K9" i="6"/>
  <c r="B13" i="7" s="1"/>
  <c r="N265" i="6"/>
  <c r="N709" i="6"/>
  <c r="K236" i="6"/>
  <c r="B240" i="7" s="1"/>
  <c r="O354" i="6"/>
  <c r="O72" i="6"/>
  <c r="O516" i="6"/>
  <c r="O15" i="6"/>
  <c r="K40" i="6"/>
  <c r="A603" i="7"/>
  <c r="P599" i="6"/>
  <c r="Q599" i="6" s="1"/>
  <c r="O426" i="6"/>
  <c r="P426" i="6"/>
  <c r="Q426" i="6" s="1"/>
  <c r="A35" i="7"/>
  <c r="O31" i="6"/>
  <c r="A186" i="7"/>
  <c r="O182" i="6"/>
  <c r="K156" i="6"/>
  <c r="B160" i="7" s="1"/>
  <c r="K795" i="6"/>
  <c r="B799" i="7" s="1"/>
  <c r="N958" i="6"/>
  <c r="K76" i="6"/>
  <c r="B80" i="7" s="1"/>
  <c r="P950" i="6"/>
  <c r="Q950" i="6" s="1"/>
  <c r="K907" i="6"/>
  <c r="B911" i="7" s="1"/>
  <c r="K787" i="6"/>
  <c r="B791" i="7" s="1"/>
  <c r="N458" i="6"/>
  <c r="O405" i="6"/>
  <c r="K948" i="6"/>
  <c r="B952" i="7" s="1"/>
  <c r="O863" i="6"/>
  <c r="N234" i="6"/>
  <c r="A238" i="7" s="1"/>
  <c r="K984" i="6"/>
  <c r="B988" i="7" s="1"/>
  <c r="K772" i="6"/>
  <c r="B776" i="7" s="1"/>
  <c r="K740" i="6"/>
  <c r="B744" i="7" s="1"/>
  <c r="K990" i="6"/>
  <c r="B994" i="7" s="1"/>
  <c r="K770" i="6"/>
  <c r="B774" i="7" s="1"/>
  <c r="K686" i="6"/>
  <c r="B690" i="7" s="1"/>
  <c r="K798" i="6"/>
  <c r="B802" i="7" s="1"/>
  <c r="N902" i="6"/>
  <c r="A906" i="7" s="1"/>
  <c r="N747" i="6"/>
  <c r="P747" i="6" s="1"/>
  <c r="Q747" i="6" s="1"/>
  <c r="A867" i="7"/>
  <c r="N879" i="6"/>
  <c r="O879" i="6" s="1"/>
  <c r="K737" i="6"/>
  <c r="B741" i="7" s="1"/>
  <c r="K837" i="6"/>
  <c r="B841" i="7" s="1"/>
  <c r="A982" i="7"/>
  <c r="N419" i="6"/>
  <c r="K389" i="6"/>
  <c r="B393" i="7" s="1"/>
  <c r="A283" i="7"/>
  <c r="N417" i="6"/>
  <c r="O417" i="6" s="1"/>
  <c r="N340" i="6"/>
  <c r="A344" i="7" s="1"/>
  <c r="N459" i="6"/>
  <c r="O922" i="6"/>
  <c r="N148" i="6"/>
  <c r="N108" i="6"/>
  <c r="N52" i="6"/>
  <c r="A56" i="7" s="1"/>
  <c r="N915" i="6"/>
  <c r="A919" i="7" s="1"/>
  <c r="N838" i="6"/>
  <c r="A842" i="7" s="1"/>
  <c r="K508" i="6"/>
  <c r="B512" i="7" s="1"/>
  <c r="K258" i="6"/>
  <c r="B262" i="7" s="1"/>
  <c r="N686" i="6"/>
  <c r="N292" i="6"/>
  <c r="P209" i="6"/>
  <c r="Q209" i="6" s="1"/>
  <c r="O312" i="6"/>
  <c r="N767" i="6"/>
  <c r="N314" i="6"/>
  <c r="A318" i="7" s="1"/>
  <c r="K157" i="6"/>
  <c r="B161" i="7" s="1"/>
  <c r="N400" i="6"/>
  <c r="A404" i="7" s="1"/>
  <c r="N346" i="6"/>
  <c r="K312" i="6"/>
  <c r="B316" i="7" s="1"/>
  <c r="K158" i="6"/>
  <c r="K407" i="6"/>
  <c r="B411" i="7" s="1"/>
  <c r="N183" i="6"/>
  <c r="N144" i="6"/>
  <c r="O144" i="6" s="1"/>
  <c r="N504" i="6"/>
  <c r="K963" i="6"/>
  <c r="B967" i="7" s="1"/>
  <c r="K185" i="6"/>
  <c r="B189" i="7" s="1"/>
  <c r="N99" i="6"/>
  <c r="N35" i="6"/>
  <c r="A39" i="7" s="1"/>
  <c r="N217" i="6"/>
  <c r="A221" i="7" s="1"/>
  <c r="K378" i="6"/>
  <c r="B382" i="7" s="1"/>
  <c r="N618" i="6"/>
  <c r="O618" i="6" s="1"/>
  <c r="N589" i="6"/>
  <c r="K352" i="6"/>
  <c r="B356" i="7" s="1"/>
  <c r="N583" i="6"/>
  <c r="P524" i="6"/>
  <c r="Q524" i="6" s="1"/>
  <c r="N771" i="6"/>
  <c r="K754" i="6"/>
  <c r="B758" i="7" s="1"/>
  <c r="K677" i="6"/>
  <c r="B681" i="7" s="1"/>
  <c r="K517" i="6"/>
  <c r="B521" i="7" s="1"/>
  <c r="K921" i="6"/>
  <c r="K256" i="6"/>
  <c r="B260" i="7" s="1"/>
  <c r="N728" i="6"/>
  <c r="K876" i="6"/>
  <c r="B880" i="7" s="1"/>
  <c r="K898" i="6"/>
  <c r="B902" i="7" s="1"/>
  <c r="N803" i="6"/>
  <c r="P803" i="6" s="1"/>
  <c r="Q803" i="6" s="1"/>
  <c r="K747" i="6"/>
  <c r="B751" i="7" s="1"/>
  <c r="N839" i="6"/>
  <c r="A843" i="7" s="1"/>
  <c r="N638" i="6"/>
  <c r="N606" i="6"/>
  <c r="N928" i="6"/>
  <c r="N860" i="6"/>
  <c r="N218" i="6"/>
  <c r="N840" i="6"/>
  <c r="A844" i="7" s="1"/>
  <c r="N742" i="6"/>
  <c r="N658" i="6"/>
  <c r="A662" i="7" s="1"/>
  <c r="N316" i="6"/>
  <c r="N219" i="6"/>
  <c r="K111" i="6"/>
  <c r="B115" i="7" s="1"/>
  <c r="N643" i="6"/>
  <c r="N371" i="6"/>
  <c r="A375" i="7" s="1"/>
  <c r="N332" i="6"/>
  <c r="O332" i="6" s="1"/>
  <c r="N281" i="6"/>
  <c r="O281" i="6" s="1"/>
  <c r="N194" i="6"/>
  <c r="O194" i="6" s="1"/>
  <c r="N162" i="6"/>
  <c r="N130" i="6"/>
  <c r="N98" i="6"/>
  <c r="N66" i="6"/>
  <c r="N34" i="6"/>
  <c r="A38" i="7" s="1"/>
  <c r="N2" i="6"/>
  <c r="E12" i="7" s="1"/>
  <c r="N113" i="6"/>
  <c r="A117" i="7" s="1"/>
  <c r="N33" i="6"/>
  <c r="P33" i="6" s="1"/>
  <c r="Q33" i="6" s="1"/>
  <c r="N806" i="6"/>
  <c r="N667" i="6"/>
  <c r="K89" i="6"/>
  <c r="B93" i="7" s="1"/>
  <c r="A607" i="7"/>
  <c r="N331" i="6"/>
  <c r="O209" i="6"/>
  <c r="O652" i="6"/>
  <c r="P358" i="6"/>
  <c r="Q358" i="6" s="1"/>
  <c r="O373" i="6"/>
  <c r="O30" i="6"/>
  <c r="N609" i="6"/>
  <c r="N684" i="6"/>
  <c r="P684" i="6" s="1"/>
  <c r="Q684" i="6" s="1"/>
  <c r="K595" i="6"/>
  <c r="B599" i="7" s="1"/>
  <c r="K212" i="6"/>
  <c r="B216" i="7" s="1"/>
  <c r="P343" i="6"/>
  <c r="Q343" i="6" s="1"/>
  <c r="K247" i="6"/>
  <c r="B251" i="7" s="1"/>
  <c r="K59" i="6"/>
  <c r="B63" i="7" s="1"/>
  <c r="O644" i="6"/>
  <c r="A648" i="7"/>
  <c r="K406" i="6"/>
  <c r="B410" i="7" s="1"/>
  <c r="K51" i="6"/>
  <c r="B55" i="7" s="1"/>
  <c r="A398" i="7"/>
  <c r="P394" i="6"/>
  <c r="Q394" i="6" s="1"/>
  <c r="K259" i="6"/>
  <c r="B263" i="7" s="1"/>
  <c r="N269" i="6"/>
  <c r="P269" i="6" s="1"/>
  <c r="Q269" i="6" s="1"/>
  <c r="A363" i="7"/>
  <c r="O359" i="6"/>
  <c r="K625" i="6"/>
  <c r="B629" i="7" s="1"/>
  <c r="K91" i="6"/>
  <c r="B95" i="7" s="1"/>
  <c r="N550" i="6"/>
  <c r="P550" i="6" s="1"/>
  <c r="Q550" i="6" s="1"/>
  <c r="O480" i="6"/>
  <c r="N287" i="6"/>
  <c r="P119" i="6"/>
  <c r="Q119" i="6" s="1"/>
  <c r="A430" i="7"/>
  <c r="O616" i="6"/>
  <c r="A34" i="7"/>
  <c r="K674" i="6"/>
  <c r="B678" i="7" s="1"/>
  <c r="N282" i="6"/>
  <c r="A286" i="7" s="1"/>
  <c r="N469" i="6"/>
  <c r="P469" i="6" s="1"/>
  <c r="Q469" i="6" s="1"/>
  <c r="P336" i="6"/>
  <c r="Q336" i="6" s="1"/>
  <c r="A90" i="7"/>
  <c r="P86" i="6"/>
  <c r="Q86" i="6" s="1"/>
  <c r="O190" i="6"/>
  <c r="A194" i="7"/>
  <c r="P54" i="6"/>
  <c r="Q54" i="6" s="1"/>
  <c r="N533" i="6"/>
  <c r="N454" i="6"/>
  <c r="O454" i="6" s="1"/>
  <c r="K180" i="6"/>
  <c r="B184" i="7" s="1"/>
  <c r="N184" i="6"/>
  <c r="N261" i="6"/>
  <c r="K142" i="6"/>
  <c r="B146" i="7" s="1"/>
  <c r="N245" i="6"/>
  <c r="P245" i="6" s="1"/>
  <c r="Q245" i="6" s="1"/>
  <c r="K725" i="6"/>
  <c r="B729" i="7" s="1"/>
  <c r="K439" i="6"/>
  <c r="B443" i="7" s="1"/>
  <c r="K322" i="6"/>
  <c r="B326" i="7" s="1"/>
  <c r="K112" i="6"/>
  <c r="K102" i="6"/>
  <c r="B106" i="7" s="1"/>
  <c r="K722" i="6"/>
  <c r="B726" i="7" s="1"/>
  <c r="K945" i="6"/>
  <c r="B949" i="7" s="1"/>
  <c r="K901" i="6"/>
  <c r="B905" i="7" s="1"/>
  <c r="K978" i="6"/>
  <c r="B982" i="7" s="1"/>
  <c r="K947" i="6"/>
  <c r="B951" i="7" s="1"/>
  <c r="K859" i="6"/>
  <c r="B863" i="7" s="1"/>
  <c r="K523" i="6"/>
  <c r="B527" i="7" s="1"/>
  <c r="K612" i="6"/>
  <c r="K459" i="6"/>
  <c r="B463" i="7" s="1"/>
  <c r="N368" i="6"/>
  <c r="K652" i="6"/>
  <c r="B656" i="7" s="1"/>
  <c r="N431" i="6"/>
  <c r="K572" i="6"/>
  <c r="B576" i="7" s="1"/>
  <c r="N468" i="6"/>
  <c r="A472" i="7" s="1"/>
  <c r="N399" i="6"/>
  <c r="A403" i="7" s="1"/>
  <c r="N201" i="6"/>
  <c r="K145" i="6"/>
  <c r="B149" i="7" s="1"/>
  <c r="K93" i="6"/>
  <c r="B97" i="7" s="1"/>
  <c r="K17" i="6"/>
  <c r="B21" i="7" s="1"/>
  <c r="N973" i="6"/>
  <c r="K516" i="6"/>
  <c r="B520" i="7" s="1"/>
  <c r="N320" i="6"/>
  <c r="O320" i="6" s="1"/>
  <c r="K215" i="6"/>
  <c r="B219" i="7" s="1"/>
  <c r="K98" i="6"/>
  <c r="B102" i="7" s="1"/>
  <c r="N722" i="6"/>
  <c r="K597" i="6"/>
  <c r="B601" i="7" s="1"/>
  <c r="K184" i="6"/>
  <c r="B188" i="7" s="1"/>
  <c r="N512" i="6"/>
  <c r="K539" i="6"/>
  <c r="B543" i="7" s="1"/>
  <c r="N254" i="6"/>
  <c r="N40" i="6"/>
  <c r="N627" i="6"/>
  <c r="N207" i="6"/>
  <c r="N24" i="6"/>
  <c r="N842" i="6"/>
  <c r="N253" i="6"/>
  <c r="N584" i="6"/>
  <c r="A588" i="7" s="1"/>
  <c r="K21" i="6"/>
  <c r="N298" i="6"/>
  <c r="O298" i="6" s="1"/>
  <c r="K592" i="6"/>
  <c r="B596" i="7" s="1"/>
  <c r="K819" i="6"/>
  <c r="B823" i="7" s="1"/>
  <c r="K432" i="6"/>
  <c r="B436" i="7" s="1"/>
  <c r="N225" i="6"/>
  <c r="K857" i="6"/>
  <c r="B861" i="7" s="1"/>
  <c r="K633" i="6"/>
  <c r="B637" i="7" s="1"/>
  <c r="K588" i="6"/>
  <c r="B592" i="7" s="1"/>
  <c r="N559" i="6"/>
  <c r="N663" i="6"/>
  <c r="P620" i="6"/>
  <c r="Q620" i="6" s="1"/>
  <c r="K331" i="6"/>
  <c r="B335" i="7" s="1"/>
  <c r="N650" i="6"/>
  <c r="A654" i="7" s="1"/>
  <c r="K482" i="6"/>
  <c r="B486" i="7" s="1"/>
  <c r="K300" i="6"/>
  <c r="B304" i="7" s="1"/>
  <c r="N198" i="6"/>
  <c r="K598" i="6"/>
  <c r="B602" i="7" s="1"/>
  <c r="N445" i="6"/>
  <c r="K339" i="6"/>
  <c r="B343" i="7" s="1"/>
  <c r="K162" i="6"/>
  <c r="B166" i="7" s="1"/>
  <c r="N89" i="6"/>
  <c r="A93" i="7" s="1"/>
  <c r="K646" i="6"/>
  <c r="B650" i="7" s="1"/>
  <c r="K251" i="6"/>
  <c r="B255" i="7" s="1"/>
  <c r="K80" i="6"/>
  <c r="B84" i="7" s="1"/>
  <c r="N53" i="6"/>
  <c r="A57" i="7" s="1"/>
  <c r="K173" i="6"/>
  <c r="K130" i="6"/>
  <c r="B134" i="7" s="1"/>
  <c r="N37" i="6"/>
  <c r="K205" i="6"/>
  <c r="B209" i="7" s="1"/>
  <c r="K278" i="6"/>
  <c r="B282" i="7" s="1"/>
  <c r="K253" i="6"/>
  <c r="B257" i="7" s="1"/>
  <c r="K6" i="6"/>
  <c r="B10" i="7" s="1"/>
  <c r="K279" i="6"/>
  <c r="N159" i="6"/>
  <c r="K136" i="6"/>
  <c r="B140" i="7" s="1"/>
  <c r="N38" i="6"/>
  <c r="A42" i="7" s="1"/>
  <c r="K590" i="6"/>
  <c r="B594" i="7" s="1"/>
  <c r="N754" i="6"/>
  <c r="K295" i="6"/>
  <c r="B299" i="7" s="1"/>
  <c r="N327" i="6"/>
  <c r="K587" i="6"/>
  <c r="B591" i="7" s="1"/>
  <c r="K662" i="6"/>
  <c r="B666" i="7" s="1"/>
  <c r="N614" i="6"/>
  <c r="N568" i="6"/>
  <c r="A572" i="7" s="1"/>
  <c r="N794" i="6"/>
  <c r="K687" i="6"/>
  <c r="B691" i="7" s="1"/>
  <c r="K606" i="6"/>
  <c r="B610" i="7" s="1"/>
  <c r="K568" i="6"/>
  <c r="B572" i="7" s="1"/>
  <c r="K396" i="6"/>
  <c r="B400" i="7" s="1"/>
  <c r="N660" i="6"/>
  <c r="K465" i="6"/>
  <c r="B469" i="7" s="1"/>
  <c r="K219" i="6"/>
  <c r="B223" i="7" s="1"/>
  <c r="K58" i="6"/>
  <c r="B62" i="7" s="1"/>
  <c r="K903" i="6"/>
  <c r="B907" i="7" s="1"/>
  <c r="K534" i="6"/>
  <c r="B538" i="7" s="1"/>
  <c r="K56" i="6"/>
  <c r="K10" i="6"/>
  <c r="B14" i="7" s="1"/>
  <c r="K648" i="6"/>
  <c r="B652" i="7" s="1"/>
  <c r="N472" i="6"/>
  <c r="K231" i="6"/>
  <c r="B235" i="7" s="1"/>
  <c r="K197" i="6"/>
  <c r="K69" i="6"/>
  <c r="B73" i="7" s="1"/>
  <c r="N49" i="6"/>
  <c r="A53" i="7" s="1"/>
  <c r="K667" i="6"/>
  <c r="B671" i="7" s="1"/>
  <c r="N539" i="6"/>
  <c r="K601" i="6"/>
  <c r="B605" i="7" s="1"/>
  <c r="K434" i="6"/>
  <c r="B438" i="7" s="1"/>
  <c r="K66" i="6"/>
  <c r="B70" i="7" s="1"/>
  <c r="K194" i="6"/>
  <c r="B198" i="7" s="1"/>
  <c r="K354" i="6"/>
  <c r="B358" i="7" s="1"/>
  <c r="N126" i="6"/>
  <c r="P126" i="6" s="1"/>
  <c r="Q126" i="6" s="1"/>
  <c r="N306" i="6"/>
  <c r="O306" i="6" s="1"/>
  <c r="N328" i="6"/>
  <c r="P328" i="6" s="1"/>
  <c r="Q328" i="6" s="1"/>
  <c r="N814" i="6"/>
  <c r="K540" i="6"/>
  <c r="B544" i="7" s="1"/>
  <c r="N464" i="6"/>
  <c r="K374" i="6"/>
  <c r="B378" i="7" s="1"/>
  <c r="K348" i="6"/>
  <c r="B352" i="7" s="1"/>
  <c r="N221" i="6"/>
  <c r="P221" i="6" s="1"/>
  <c r="Q221" i="6" s="1"/>
  <c r="K115" i="6"/>
  <c r="B119" i="7" s="1"/>
  <c r="K152" i="6"/>
  <c r="B156" i="7" s="1"/>
  <c r="K90" i="6"/>
  <c r="B94" i="7" s="1"/>
  <c r="N47" i="6"/>
  <c r="K126" i="6"/>
  <c r="B130" i="7" s="1"/>
  <c r="N595" i="6"/>
  <c r="A599" i="7" s="1"/>
  <c r="K229" i="6"/>
  <c r="B233" i="7" s="1"/>
  <c r="K190" i="6"/>
  <c r="B194" i="7" s="1"/>
  <c r="K3" i="6"/>
  <c r="B7" i="7" s="1"/>
  <c r="N80" i="6"/>
  <c r="N734" i="6"/>
  <c r="K336" i="6"/>
  <c r="B340" i="7" s="1"/>
  <c r="K225" i="6"/>
  <c r="B229" i="7" s="1"/>
  <c r="A586" i="7"/>
  <c r="P582" i="6"/>
  <c r="Q582" i="6" s="1"/>
  <c r="O582" i="6"/>
  <c r="A185" i="7"/>
  <c r="P181" i="6"/>
  <c r="Q181" i="6" s="1"/>
  <c r="O181" i="6"/>
  <c r="O125" i="6"/>
  <c r="A129" i="7"/>
  <c r="P125" i="6"/>
  <c r="Q125" i="6" s="1"/>
  <c r="O338" i="6"/>
  <c r="A342" i="7"/>
  <c r="P338" i="6"/>
  <c r="Q338" i="6" s="1"/>
  <c r="A618" i="7"/>
  <c r="O614" i="6"/>
  <c r="A476" i="7"/>
  <c r="O472" i="6"/>
  <c r="P168" i="6"/>
  <c r="Q168" i="6" s="1"/>
  <c r="O168" i="6"/>
  <c r="A172" i="7"/>
  <c r="B540" i="7"/>
  <c r="P536" i="6"/>
  <c r="Q536" i="6" s="1"/>
  <c r="A838" i="7"/>
  <c r="O834" i="6"/>
  <c r="O5" i="6"/>
  <c r="A9" i="7"/>
  <c r="O597" i="6"/>
  <c r="A601" i="7"/>
  <c r="P597" i="6"/>
  <c r="Q597" i="6" s="1"/>
  <c r="B473" i="7"/>
  <c r="A20" i="7"/>
  <c r="O16" i="6"/>
  <c r="B425" i="7"/>
  <c r="P421" i="6"/>
  <c r="Q421" i="6" s="1"/>
  <c r="P822" i="6"/>
  <c r="Q822" i="6" s="1"/>
  <c r="O822" i="6"/>
  <c r="A826" i="7"/>
  <c r="B169" i="7"/>
  <c r="P165" i="6"/>
  <c r="Q165" i="6" s="1"/>
  <c r="A468" i="7"/>
  <c r="A946" i="7"/>
  <c r="O942" i="6"/>
  <c r="O468" i="6"/>
  <c r="P32" i="6"/>
  <c r="Q32" i="6" s="1"/>
  <c r="O54" i="6"/>
  <c r="A58" i="7"/>
  <c r="K529" i="6"/>
  <c r="B533" i="7" s="1"/>
  <c r="K515" i="6"/>
  <c r="B519" i="7" s="1"/>
  <c r="N793" i="6"/>
  <c r="P793" i="6" s="1"/>
  <c r="Q793" i="6" s="1"/>
  <c r="O85" i="6"/>
  <c r="N485" i="6"/>
  <c r="P365" i="6"/>
  <c r="Q365" i="6" s="1"/>
  <c r="O567" i="6"/>
  <c r="A374" i="7"/>
  <c r="O370" i="6"/>
  <c r="P370" i="6"/>
  <c r="Q370" i="6" s="1"/>
  <c r="A584" i="7"/>
  <c r="O580" i="6"/>
  <c r="O29" i="6"/>
  <c r="A576" i="7"/>
  <c r="O572" i="6"/>
  <c r="P535" i="6"/>
  <c r="Q535" i="6" s="1"/>
  <c r="O962" i="6"/>
  <c r="A334" i="7"/>
  <c r="P330" i="6"/>
  <c r="Q330" i="6" s="1"/>
  <c r="O330" i="6"/>
  <c r="K751" i="6"/>
  <c r="B755" i="7" s="1"/>
  <c r="O397" i="6"/>
  <c r="P397" i="6"/>
  <c r="Q397" i="6" s="1"/>
  <c r="P362" i="6"/>
  <c r="Q362" i="6" s="1"/>
  <c r="A366" i="7"/>
  <c r="O246" i="6"/>
  <c r="A249" i="7"/>
  <c r="K892" i="6"/>
  <c r="B896" i="7" s="1"/>
  <c r="K720" i="6"/>
  <c r="B724" i="7" s="1"/>
  <c r="N247" i="6"/>
  <c r="O247" i="6" s="1"/>
  <c r="K47" i="6"/>
  <c r="B51" i="7" s="1"/>
  <c r="N249" i="6"/>
  <c r="A65" i="7"/>
  <c r="N564" i="6"/>
  <c r="P38" i="6"/>
  <c r="Q38" i="6" s="1"/>
  <c r="N25" i="6"/>
  <c r="K881" i="6"/>
  <c r="B885" i="7" s="1"/>
  <c r="A330" i="7"/>
  <c r="O326" i="6"/>
  <c r="O684" i="6"/>
  <c r="A688" i="7"/>
  <c r="B44" i="7"/>
  <c r="P40" i="6"/>
  <c r="Q40" i="6" s="1"/>
  <c r="O157" i="6"/>
  <c r="K840" i="6"/>
  <c r="B844" i="7" s="1"/>
  <c r="K808" i="6"/>
  <c r="B812" i="7" s="1"/>
  <c r="K995" i="6"/>
  <c r="B999" i="7" s="1"/>
  <c r="K817" i="6"/>
  <c r="B821" i="7" s="1"/>
  <c r="K690" i="6"/>
  <c r="B694" i="7" s="1"/>
  <c r="K811" i="6"/>
  <c r="B815" i="7" s="1"/>
  <c r="N782" i="6"/>
  <c r="A786" i="7" s="1"/>
  <c r="N832" i="6"/>
  <c r="P832" i="6" s="1"/>
  <c r="Q832" i="6" s="1"/>
  <c r="N380" i="6"/>
  <c r="A384" i="7" s="1"/>
  <c r="N291" i="6"/>
  <c r="A295" i="7" s="1"/>
  <c r="N411" i="6"/>
  <c r="A415" i="7" s="1"/>
  <c r="N372" i="6"/>
  <c r="P372" i="6" s="1"/>
  <c r="Q372" i="6" s="1"/>
  <c r="N594" i="6"/>
  <c r="P594" i="6" s="1"/>
  <c r="Q594" i="6" s="1"/>
  <c r="P492" i="6"/>
  <c r="Q492" i="6" s="1"/>
  <c r="N740" i="6"/>
  <c r="O740" i="6" s="1"/>
  <c r="O588" i="6"/>
  <c r="N534" i="6"/>
  <c r="O534" i="6" s="1"/>
  <c r="P486" i="6"/>
  <c r="Q486" i="6" s="1"/>
  <c r="N762" i="6"/>
  <c r="P762" i="6" s="1"/>
  <c r="Q762" i="6" s="1"/>
  <c r="N153" i="6"/>
  <c r="A157" i="7" s="1"/>
  <c r="N395" i="6"/>
  <c r="A399" i="7" s="1"/>
  <c r="P273" i="6"/>
  <c r="Q273" i="6" s="1"/>
  <c r="N132" i="6"/>
  <c r="N92" i="6"/>
  <c r="A96" i="7" s="1"/>
  <c r="P528" i="6"/>
  <c r="Q528" i="6" s="1"/>
  <c r="N466" i="6"/>
  <c r="P466" i="6" s="1"/>
  <c r="Q466" i="6" s="1"/>
  <c r="P85" i="6"/>
  <c r="Q85" i="6" s="1"/>
  <c r="K288" i="6"/>
  <c r="P288" i="6" s="1"/>
  <c r="Q288" i="6" s="1"/>
  <c r="N619" i="6"/>
  <c r="N671" i="6"/>
  <c r="A675" i="7" s="1"/>
  <c r="N617" i="6"/>
  <c r="A621" i="7" s="1"/>
  <c r="N204" i="6"/>
  <c r="O204" i="6" s="1"/>
  <c r="N164" i="6"/>
  <c r="O164" i="6" s="1"/>
  <c r="N76" i="6"/>
  <c r="A80" i="7" s="1"/>
  <c r="N28" i="6"/>
  <c r="A32" i="7" s="1"/>
  <c r="P646" i="6"/>
  <c r="Q646" i="6" s="1"/>
  <c r="O269" i="6"/>
  <c r="O70" i="6"/>
  <c r="O400" i="6"/>
  <c r="A250" i="7"/>
  <c r="A164" i="7"/>
  <c r="O399" i="6"/>
  <c r="P567" i="6"/>
  <c r="Q567" i="6" s="1"/>
  <c r="O362" i="6"/>
  <c r="A471" i="7"/>
  <c r="A382" i="7"/>
  <c r="A444" i="7"/>
  <c r="A691" i="7"/>
  <c r="O687" i="6"/>
  <c r="P687" i="6"/>
  <c r="Q687" i="6" s="1"/>
  <c r="N777" i="6"/>
  <c r="K644" i="6"/>
  <c r="N389" i="6"/>
  <c r="K319" i="6"/>
  <c r="B323" i="7" s="1"/>
  <c r="K81" i="6"/>
  <c r="B85" i="7" s="1"/>
  <c r="N563" i="6"/>
  <c r="N495" i="6"/>
  <c r="N655" i="6"/>
  <c r="A716" i="7"/>
  <c r="O712" i="6"/>
  <c r="N13" i="6"/>
  <c r="N402" i="6"/>
  <c r="A348" i="7"/>
  <c r="O344" i="6"/>
  <c r="P344" i="6"/>
  <c r="Q344" i="6" s="1"/>
  <c r="N322" i="6"/>
  <c r="B524" i="7"/>
  <c r="P520" i="6"/>
  <c r="Q520" i="6" s="1"/>
  <c r="A188" i="7"/>
  <c r="O184" i="6"/>
  <c r="P184" i="6"/>
  <c r="Q184" i="6" s="1"/>
  <c r="B620" i="7"/>
  <c r="P616" i="6"/>
  <c r="Q616" i="6" s="1"/>
  <c r="A881" i="7"/>
  <c r="P877" i="6"/>
  <c r="Q877" i="6" s="1"/>
  <c r="O877" i="6"/>
  <c r="O230" i="6"/>
  <c r="A234" i="7"/>
  <c r="B283" i="7"/>
  <c r="P279" i="6"/>
  <c r="Q279" i="6" s="1"/>
  <c r="A51" i="7"/>
  <c r="O47" i="6"/>
  <c r="A33" i="7"/>
  <c r="A475" i="7"/>
  <c r="P471" i="6"/>
  <c r="Q471" i="6" s="1"/>
  <c r="O471" i="6"/>
  <c r="K202" i="6"/>
  <c r="B206" i="7" s="1"/>
  <c r="A454" i="7"/>
  <c r="P450" i="6"/>
  <c r="Q450" i="6" s="1"/>
  <c r="A550" i="7"/>
  <c r="P546" i="6"/>
  <c r="Q546" i="6" s="1"/>
  <c r="P442" i="6"/>
  <c r="Q442" i="6" s="1"/>
  <c r="P301" i="6"/>
  <c r="Q301" i="6" s="1"/>
  <c r="A449" i="7"/>
  <c r="O445" i="6"/>
  <c r="A97" i="7"/>
  <c r="P93" i="6"/>
  <c r="Q93" i="6" s="1"/>
  <c r="O93" i="6"/>
  <c r="A582" i="7"/>
  <c r="O578" i="6"/>
  <c r="B300" i="7"/>
  <c r="P296" i="6"/>
  <c r="Q296" i="6" s="1"/>
  <c r="B258" i="7"/>
  <c r="P254" i="6"/>
  <c r="Q254" i="6" s="1"/>
  <c r="B704" i="7"/>
  <c r="P700" i="6"/>
  <c r="Q700" i="6" s="1"/>
  <c r="P222" i="6"/>
  <c r="Q222" i="6" s="1"/>
  <c r="P484" i="6"/>
  <c r="Q484" i="6" s="1"/>
  <c r="K272" i="6"/>
  <c r="B276" i="7" s="1"/>
  <c r="A940" i="7"/>
  <c r="K521" i="6"/>
  <c r="B525" i="7" s="1"/>
  <c r="K246" i="6"/>
  <c r="B250" i="7" s="1"/>
  <c r="P757" i="6"/>
  <c r="Q757" i="6" s="1"/>
  <c r="P70" i="6"/>
  <c r="Q70" i="6" s="1"/>
  <c r="P96" i="6"/>
  <c r="Q96" i="6" s="1"/>
  <c r="K476" i="6"/>
  <c r="B480" i="7" s="1"/>
  <c r="K387" i="6"/>
  <c r="B391" i="7" s="1"/>
  <c r="B180" i="7"/>
  <c r="P176" i="6"/>
  <c r="Q176" i="6" s="1"/>
  <c r="A108" i="7"/>
  <c r="O104" i="6"/>
  <c r="P104" i="6"/>
  <c r="Q104" i="6" s="1"/>
  <c r="N905" i="6"/>
  <c r="A28" i="7"/>
  <c r="O24" i="6"/>
  <c r="N192" i="6"/>
  <c r="K965" i="6"/>
  <c r="B969" i="7" s="1"/>
  <c r="N852" i="6"/>
  <c r="A856" i="7" s="1"/>
  <c r="K922" i="6"/>
  <c r="P922" i="6" s="1"/>
  <c r="Q922" i="6" s="1"/>
  <c r="N748" i="6"/>
  <c r="O748" i="6" s="1"/>
  <c r="K741" i="6"/>
  <c r="B745" i="7" s="1"/>
  <c r="B773" i="7"/>
  <c r="P769" i="6"/>
  <c r="Q769" i="6" s="1"/>
  <c r="O568" i="6"/>
  <c r="O492" i="6"/>
  <c r="A592" i="7"/>
  <c r="A950" i="7"/>
  <c r="O486" i="6"/>
  <c r="O273" i="6"/>
  <c r="A730" i="7"/>
  <c r="O450" i="6"/>
  <c r="K121" i="6"/>
  <c r="B125" i="7" s="1"/>
  <c r="A650" i="7"/>
  <c r="A273" i="7"/>
  <c r="O77" i="6"/>
  <c r="P213" i="6"/>
  <c r="Q213" i="6" s="1"/>
  <c r="A218" i="7"/>
  <c r="P399" i="6"/>
  <c r="Q399" i="6" s="1"/>
  <c r="P672" i="6"/>
  <c r="Q672" i="6" s="1"/>
  <c r="P429" i="6"/>
  <c r="Q429" i="6" s="1"/>
  <c r="O88" i="6"/>
  <c r="A401" i="7"/>
  <c r="K985" i="6"/>
  <c r="B989" i="7" s="1"/>
  <c r="K951" i="6"/>
  <c r="B955" i="7" s="1"/>
  <c r="K774" i="6"/>
  <c r="B778" i="7" s="1"/>
  <c r="N826" i="6"/>
  <c r="A789" i="7"/>
  <c r="O785" i="6"/>
  <c r="K605" i="6"/>
  <c r="B609" i="7" s="1"/>
  <c r="P391" i="6"/>
  <c r="Q391" i="6" s="1"/>
  <c r="A395" i="7"/>
  <c r="N869" i="6"/>
  <c r="K463" i="6"/>
  <c r="B467" i="7" s="1"/>
  <c r="K371" i="6"/>
  <c r="B375" i="7" s="1"/>
  <c r="P134" i="6"/>
  <c r="Q134" i="6" s="1"/>
  <c r="K509" i="6"/>
  <c r="B513" i="7" s="1"/>
  <c r="K161" i="6"/>
  <c r="B165" i="7" s="1"/>
  <c r="N522" i="6"/>
  <c r="P522" i="6" s="1"/>
  <c r="Q522" i="6" s="1"/>
  <c r="O206" i="6"/>
  <c r="A210" i="7"/>
  <c r="O166" i="6"/>
  <c r="A170" i="7"/>
  <c r="A310" i="7"/>
  <c r="A480" i="7"/>
  <c r="O476" i="6"/>
  <c r="A486" i="7"/>
  <c r="O482" i="6"/>
  <c r="A614" i="7"/>
  <c r="O610" i="6"/>
  <c r="A865" i="7"/>
  <c r="O861" i="6"/>
  <c r="P45" i="6"/>
  <c r="Q45" i="6" s="1"/>
  <c r="O45" i="6"/>
  <c r="O61" i="6"/>
  <c r="A554" i="7"/>
  <c r="O550" i="6"/>
  <c r="N255" i="6"/>
  <c r="A259" i="7" s="1"/>
  <c r="A636" i="7"/>
  <c r="O632" i="6"/>
  <c r="P454" i="6"/>
  <c r="Q454" i="6" s="1"/>
  <c r="A998" i="7"/>
  <c r="O994" i="6"/>
  <c r="P298" i="6"/>
  <c r="Q298" i="6" s="1"/>
  <c r="K790" i="6"/>
  <c r="B794" i="7" s="1"/>
  <c r="P978" i="6"/>
  <c r="Q978" i="6" s="1"/>
  <c r="B409" i="7"/>
  <c r="P405" i="6"/>
  <c r="Q405" i="6" s="1"/>
  <c r="O407" i="6"/>
  <c r="A139" i="7"/>
  <c r="O135" i="6"/>
  <c r="K738" i="6"/>
  <c r="B742" i="7" s="1"/>
  <c r="K208" i="6"/>
  <c r="B212" i="7" s="1"/>
  <c r="P253" i="6"/>
  <c r="Q253" i="6" s="1"/>
  <c r="N236" i="6"/>
  <c r="A240" i="7" s="1"/>
  <c r="P467" i="6"/>
  <c r="Q467" i="6" s="1"/>
  <c r="A512" i="7"/>
  <c r="K991" i="6"/>
  <c r="B995" i="7" s="1"/>
  <c r="N774" i="6"/>
  <c r="O774" i="6" s="1"/>
  <c r="K797" i="6"/>
  <c r="B801" i="7" s="1"/>
  <c r="N705" i="6"/>
  <c r="O705" i="6" s="1"/>
  <c r="N510" i="6"/>
  <c r="P510" i="6" s="1"/>
  <c r="Q510" i="6" s="1"/>
  <c r="N478" i="6"/>
  <c r="A482" i="7" s="1"/>
  <c r="N904" i="6"/>
  <c r="P904" i="6" s="1"/>
  <c r="Q904" i="6" s="1"/>
  <c r="K826" i="6"/>
  <c r="B830" i="7" s="1"/>
  <c r="B627" i="7"/>
  <c r="P623" i="6"/>
  <c r="Q623" i="6" s="1"/>
  <c r="N444" i="6"/>
  <c r="O444" i="6" s="1"/>
  <c r="N355" i="6"/>
  <c r="A359" i="7" s="1"/>
  <c r="B332" i="7"/>
  <c r="P814" i="6"/>
  <c r="Q814" i="6" s="1"/>
  <c r="P578" i="6"/>
  <c r="Q578" i="6" s="1"/>
  <c r="N926" i="6"/>
  <c r="O926" i="6" s="1"/>
  <c r="N388" i="6"/>
  <c r="P388" i="6" s="1"/>
  <c r="Q388" i="6" s="1"/>
  <c r="O37" i="6"/>
  <c r="P656" i="6"/>
  <c r="Q656" i="6" s="1"/>
  <c r="N602" i="6"/>
  <c r="P602" i="6" s="1"/>
  <c r="Q602" i="6" s="1"/>
  <c r="N972" i="6"/>
  <c r="O972" i="6" s="1"/>
  <c r="N208" i="6"/>
  <c r="A212" i="7" s="1"/>
  <c r="O664" i="6"/>
  <c r="N319" i="6"/>
  <c r="A323" i="7" s="1"/>
  <c r="N188" i="6"/>
  <c r="P188" i="6" s="1"/>
  <c r="Q188" i="6" s="1"/>
  <c r="N156" i="6"/>
  <c r="O156" i="6" s="1"/>
  <c r="N60" i="6"/>
  <c r="O60" i="6" s="1"/>
  <c r="N20" i="6"/>
  <c r="O20" i="6" s="1"/>
  <c r="N866" i="6"/>
  <c r="A870" i="7" s="1"/>
  <c r="A161" i="7"/>
  <c r="A281" i="7"/>
  <c r="O317" i="6"/>
  <c r="P95" i="6"/>
  <c r="Q95" i="6" s="1"/>
  <c r="P111" i="6"/>
  <c r="Q111" i="6" s="1"/>
  <c r="O539" i="6"/>
  <c r="A433" i="7"/>
  <c r="P88" i="6"/>
  <c r="Q88" i="6" s="1"/>
  <c r="O346" i="6"/>
  <c r="P865" i="6"/>
  <c r="Q865" i="6" s="1"/>
  <c r="P629" i="6"/>
  <c r="Q629" i="6" s="1"/>
  <c r="O629" i="6"/>
  <c r="K825" i="6"/>
  <c r="B829" i="7" s="1"/>
  <c r="K989" i="6"/>
  <c r="B993" i="7" s="1"/>
  <c r="N821" i="6"/>
  <c r="P821" i="6" s="1"/>
  <c r="Q821" i="6" s="1"/>
  <c r="N390" i="6"/>
  <c r="P390" i="6" s="1"/>
  <c r="Q390" i="6" s="1"/>
  <c r="K914" i="6"/>
  <c r="B918" i="7" s="1"/>
  <c r="K964" i="6"/>
  <c r="B968" i="7" s="1"/>
  <c r="K924" i="6"/>
  <c r="B928" i="7" s="1"/>
  <c r="K525" i="6"/>
  <c r="B529" i="7" s="1"/>
  <c r="K507" i="6"/>
  <c r="B511" i="7" s="1"/>
  <c r="A428" i="7"/>
  <c r="O424" i="6"/>
  <c r="N731" i="6"/>
  <c r="N596" i="6"/>
  <c r="A522" i="7"/>
  <c r="P518" i="6"/>
  <c r="Q518" i="6" s="1"/>
  <c r="O518" i="6"/>
  <c r="O102" i="6"/>
  <c r="P102" i="6"/>
  <c r="Q102" i="6" s="1"/>
  <c r="A66" i="7"/>
  <c r="O62" i="6"/>
  <c r="P499" i="6"/>
  <c r="Q499" i="6" s="1"/>
  <c r="O499" i="6"/>
  <c r="N460" i="6"/>
  <c r="P460" i="6" s="1"/>
  <c r="Q460" i="6" s="1"/>
  <c r="A121" i="7"/>
  <c r="P117" i="6"/>
  <c r="Q117" i="6" s="1"/>
  <c r="A257" i="7"/>
  <c r="O253" i="6"/>
  <c r="P434" i="6"/>
  <c r="Q434" i="6" s="1"/>
  <c r="O434" i="6"/>
  <c r="N452" i="6"/>
  <c r="P142" i="6"/>
  <c r="Q142" i="6" s="1"/>
  <c r="A518" i="7"/>
  <c r="O514" i="6"/>
  <c r="N825" i="6"/>
  <c r="K544" i="6"/>
  <c r="K440" i="6"/>
  <c r="B444" i="7" s="1"/>
  <c r="K370" i="6"/>
  <c r="B374" i="7" s="1"/>
  <c r="K418" i="6"/>
  <c r="B422" i="7" s="1"/>
  <c r="K52" i="6"/>
  <c r="B56" i="7" s="1"/>
  <c r="K24" i="6"/>
  <c r="B28" i="7" s="1"/>
  <c r="K980" i="6"/>
  <c r="B984" i="7" s="1"/>
  <c r="K768" i="6"/>
  <c r="B772" i="7" s="1"/>
  <c r="K998" i="6"/>
  <c r="B1002" i="7" s="1"/>
  <c r="N781" i="6"/>
  <c r="A785" i="7" s="1"/>
  <c r="N569" i="6"/>
  <c r="A573" i="7" s="1"/>
  <c r="N537" i="6"/>
  <c r="P537" i="6" s="1"/>
  <c r="Q537" i="6" s="1"/>
  <c r="N473" i="6"/>
  <c r="A477" i="7" s="1"/>
  <c r="N828" i="6"/>
  <c r="O828" i="6" s="1"/>
  <c r="N433" i="6"/>
  <c r="A437" i="7" s="1"/>
  <c r="N369" i="6"/>
  <c r="O369" i="6" s="1"/>
  <c r="K325" i="6"/>
  <c r="B329" i="7" s="1"/>
  <c r="N635" i="6"/>
  <c r="N511" i="6"/>
  <c r="O511" i="6" s="1"/>
  <c r="K309" i="6"/>
  <c r="B313" i="7" s="1"/>
  <c r="N605" i="6"/>
  <c r="O605" i="6" s="1"/>
  <c r="N475" i="6"/>
  <c r="A479" i="7" s="1"/>
  <c r="N414" i="6"/>
  <c r="A418" i="7" s="1"/>
  <c r="K137" i="6"/>
  <c r="B141" i="7" s="1"/>
  <c r="K977" i="6"/>
  <c r="B981" i="7" s="1"/>
  <c r="K456" i="6"/>
  <c r="K543" i="6"/>
  <c r="K144" i="6"/>
  <c r="B148" i="7" s="1"/>
  <c r="N591" i="6"/>
  <c r="N418" i="6"/>
  <c r="N237" i="6"/>
  <c r="K11" i="6"/>
  <c r="B15" i="7" s="1"/>
  <c r="K885" i="6"/>
  <c r="B889" i="7" s="1"/>
  <c r="K860" i="6"/>
  <c r="B864" i="7" s="1"/>
  <c r="K979" i="6"/>
  <c r="B983" i="7" s="1"/>
  <c r="K847" i="6"/>
  <c r="B851" i="7" s="1"/>
  <c r="K716" i="6"/>
  <c r="B720" i="7" s="1"/>
  <c r="N996" i="6"/>
  <c r="A1000" i="7" s="1"/>
  <c r="K889" i="6"/>
  <c r="B893" i="7" s="1"/>
  <c r="K684" i="6"/>
  <c r="B688" i="7" s="1"/>
  <c r="K468" i="6"/>
  <c r="B472" i="7" s="1"/>
  <c r="N812" i="6"/>
  <c r="N772" i="6"/>
  <c r="A776" i="7" s="1"/>
  <c r="N681" i="6"/>
  <c r="A685" i="7" s="1"/>
  <c r="N988" i="6"/>
  <c r="A992" i="7" s="1"/>
  <c r="N703" i="6"/>
  <c r="O703" i="6" s="1"/>
  <c r="K641" i="6"/>
  <c r="B645" i="7" s="1"/>
  <c r="N525" i="6"/>
  <c r="P525" i="6" s="1"/>
  <c r="Q525" i="6" s="1"/>
  <c r="K425" i="6"/>
  <c r="B429" i="7" s="1"/>
  <c r="K361" i="6"/>
  <c r="B365" i="7" s="1"/>
  <c r="K297" i="6"/>
  <c r="B301" i="7" s="1"/>
  <c r="N792" i="6"/>
  <c r="O792" i="6" s="1"/>
  <c r="N802" i="6"/>
  <c r="A806" i="7" s="1"/>
  <c r="N683" i="6"/>
  <c r="A687" i="7" s="1"/>
  <c r="K649" i="6"/>
  <c r="B653" i="7" s="1"/>
  <c r="N387" i="6"/>
  <c r="P387" i="6" s="1"/>
  <c r="Q387" i="6" s="1"/>
  <c r="O343" i="6"/>
  <c r="N323" i="6"/>
  <c r="P323" i="6" s="1"/>
  <c r="Q323" i="6" s="1"/>
  <c r="K299" i="6"/>
  <c r="B303" i="7" s="1"/>
  <c r="N231" i="6"/>
  <c r="A235" i="7" s="1"/>
  <c r="K199" i="6"/>
  <c r="B203" i="7" s="1"/>
  <c r="K135" i="6"/>
  <c r="B139" i="7" s="1"/>
  <c r="K71" i="6"/>
  <c r="B75" i="7" s="1"/>
  <c r="K7" i="6"/>
  <c r="B11" i="7" s="1"/>
  <c r="N315" i="6"/>
  <c r="P315" i="6" s="1"/>
  <c r="Q315" i="6" s="1"/>
  <c r="N770" i="6"/>
  <c r="P770" i="6" s="1"/>
  <c r="Q770" i="6" s="1"/>
  <c r="K252" i="6"/>
  <c r="B256" i="7" s="1"/>
  <c r="N874" i="6"/>
  <c r="A878" i="7" s="1"/>
  <c r="N538" i="6"/>
  <c r="O538" i="6" s="1"/>
  <c r="N345" i="6"/>
  <c r="N827" i="6"/>
  <c r="N427" i="6"/>
  <c r="A431" i="7" s="1"/>
  <c r="N363" i="6"/>
  <c r="A367" i="7" s="1"/>
  <c r="N491" i="6"/>
  <c r="N938" i="6"/>
  <c r="A942" i="7" s="1"/>
  <c r="N675" i="6"/>
  <c r="P675" i="6" s="1"/>
  <c r="Q675" i="6" s="1"/>
  <c r="K636" i="6"/>
  <c r="B640" i="7" s="1"/>
  <c r="N506" i="6"/>
  <c r="A510" i="7" s="1"/>
  <c r="N451" i="6"/>
  <c r="P451" i="6" s="1"/>
  <c r="Q451" i="6" s="1"/>
  <c r="N579" i="6"/>
  <c r="A583" i="7" s="1"/>
  <c r="N630" i="6"/>
  <c r="O630" i="6" s="1"/>
  <c r="O603" i="6"/>
  <c r="N420" i="6"/>
  <c r="O420" i="6" s="1"/>
  <c r="N172" i="6"/>
  <c r="A176" i="7" s="1"/>
  <c r="N84" i="6"/>
  <c r="P84" i="6" s="1"/>
  <c r="Q84" i="6" s="1"/>
  <c r="N36" i="6"/>
  <c r="O36" i="6" s="1"/>
  <c r="P69" i="6"/>
  <c r="Q69" i="6" s="1"/>
  <c r="O38" i="6"/>
  <c r="P151" i="6"/>
  <c r="Q151" i="6" s="1"/>
  <c r="A531" i="7"/>
  <c r="O422" i="6"/>
  <c r="O408" i="6"/>
  <c r="O368" i="6"/>
  <c r="O295" i="6"/>
  <c r="P78" i="6"/>
  <c r="Q78" i="6" s="1"/>
  <c r="P14" i="6"/>
  <c r="Q14" i="6" s="1"/>
  <c r="O548" i="6"/>
  <c r="K657" i="6"/>
  <c r="B661" i="7" s="1"/>
  <c r="N818" i="6"/>
  <c r="K913" i="6"/>
  <c r="B917" i="7" s="1"/>
  <c r="K400" i="6"/>
  <c r="B404" i="7" s="1"/>
  <c r="K290" i="6"/>
  <c r="A678" i="7"/>
  <c r="P674" i="6"/>
  <c r="Q674" i="6" s="1"/>
  <c r="O674" i="6"/>
  <c r="A580" i="7"/>
  <c r="O576" i="6"/>
  <c r="K308" i="6"/>
  <c r="B312" i="7" s="1"/>
  <c r="N661" i="6"/>
  <c r="K415" i="6"/>
  <c r="B419" i="7" s="1"/>
  <c r="K263" i="6"/>
  <c r="B267" i="7" s="1"/>
  <c r="K5" i="6"/>
  <c r="B9" i="7" s="1"/>
  <c r="K746" i="6"/>
  <c r="B750" i="7" s="1"/>
  <c r="N423" i="6"/>
  <c r="N304" i="6"/>
  <c r="N463" i="6"/>
  <c r="N270" i="6"/>
  <c r="K141" i="6"/>
  <c r="B145" i="7" s="1"/>
  <c r="N496" i="6"/>
  <c r="N64" i="6"/>
  <c r="N494" i="6"/>
  <c r="K192" i="6"/>
  <c r="B196" i="7" s="1"/>
  <c r="N735" i="6"/>
  <c r="N631" i="6"/>
  <c r="P631" i="6" s="1"/>
  <c r="Q631" i="6" s="1"/>
  <c r="N500" i="6"/>
  <c r="P500" i="6" s="1"/>
  <c r="Q500" i="6" s="1"/>
  <c r="N501" i="6"/>
  <c r="K668" i="6"/>
  <c r="K461" i="6"/>
  <c r="B465" i="7" s="1"/>
  <c r="K386" i="6"/>
  <c r="K29" i="6"/>
  <c r="B33" i="7" s="1"/>
  <c r="K614" i="6"/>
  <c r="B618" i="7" s="1"/>
  <c r="N432" i="6"/>
  <c r="K120" i="6"/>
  <c r="N152" i="6"/>
  <c r="N640" i="6"/>
  <c r="K908" i="6"/>
  <c r="B912" i="7" s="1"/>
  <c r="K736" i="6"/>
  <c r="B740" i="7" s="1"/>
  <c r="K688" i="6"/>
  <c r="K927" i="6"/>
  <c r="B931" i="7" s="1"/>
  <c r="K733" i="6"/>
  <c r="B737" i="7" s="1"/>
  <c r="N665" i="6"/>
  <c r="P665" i="6" s="1"/>
  <c r="Q665" i="6" s="1"/>
  <c r="K262" i="6"/>
  <c r="B266" i="7" s="1"/>
  <c r="K143" i="6"/>
  <c r="P143" i="6" s="1"/>
  <c r="Q143" i="6" s="1"/>
  <c r="K15" i="6"/>
  <c r="P15" i="6" s="1"/>
  <c r="Q15" i="6" s="1"/>
  <c r="N353" i="6"/>
  <c r="A357" i="7" s="1"/>
  <c r="N585" i="6"/>
  <c r="A589" i="7" s="1"/>
  <c r="N73" i="6"/>
  <c r="A77" i="7" s="1"/>
  <c r="K320" i="6"/>
  <c r="N278" i="6"/>
  <c r="A282" i="7" s="1"/>
  <c r="O69" i="6"/>
  <c r="P503" i="6"/>
  <c r="Q503" i="6" s="1"/>
  <c r="K661" i="6"/>
  <c r="B665" i="7" s="1"/>
  <c r="K489" i="6"/>
  <c r="B493" i="7" s="1"/>
  <c r="K855" i="6"/>
  <c r="B859" i="7" s="1"/>
  <c r="N309" i="6"/>
  <c r="K16" i="6"/>
  <c r="B20" i="7" s="1"/>
  <c r="N831" i="6"/>
  <c r="N141" i="6"/>
  <c r="N540" i="6"/>
  <c r="N229" i="6"/>
  <c r="K932" i="6"/>
  <c r="B936" i="7" s="1"/>
  <c r="K986" i="6"/>
  <c r="B990" i="7" s="1"/>
  <c r="K760" i="6"/>
  <c r="B764" i="7" s="1"/>
  <c r="N835" i="6"/>
  <c r="A839" i="7" s="1"/>
  <c r="N964" i="6"/>
  <c r="A968" i="7" s="1"/>
  <c r="K781" i="6"/>
  <c r="B785" i="7" s="1"/>
  <c r="N817" i="6"/>
  <c r="P817" i="6" s="1"/>
  <c r="Q817" i="6" s="1"/>
  <c r="K647" i="6"/>
  <c r="B651" i="7" s="1"/>
  <c r="K626" i="6"/>
  <c r="B630" i="7" s="1"/>
  <c r="N718" i="6"/>
  <c r="N725" i="6"/>
  <c r="N634" i="6"/>
  <c r="O634" i="6" s="1"/>
  <c r="K513" i="6"/>
  <c r="B517" i="7" s="1"/>
  <c r="K417" i="6"/>
  <c r="B421" i="7" s="1"/>
  <c r="K353" i="6"/>
  <c r="B357" i="7" s="1"/>
  <c r="K289" i="6"/>
  <c r="B293" i="7" s="1"/>
  <c r="K224" i="6"/>
  <c r="B228" i="7" s="1"/>
  <c r="K695" i="6"/>
  <c r="B699" i="7" s="1"/>
  <c r="N773" i="6"/>
  <c r="A777" i="7" s="1"/>
  <c r="N611" i="6"/>
  <c r="P611" i="6" s="1"/>
  <c r="Q611" i="6" s="1"/>
  <c r="N251" i="6"/>
  <c r="A255" i="7" s="1"/>
  <c r="N436" i="6"/>
  <c r="O436" i="6" s="1"/>
  <c r="K349" i="6"/>
  <c r="N890" i="6"/>
  <c r="P890" i="6" s="1"/>
  <c r="Q890" i="6" s="1"/>
  <c r="N662" i="6"/>
  <c r="P662" i="6" s="1"/>
  <c r="Q662" i="6" s="1"/>
  <c r="N310" i="6"/>
  <c r="N240" i="6"/>
  <c r="O240" i="6" s="1"/>
  <c r="K270" i="6"/>
  <c r="B274" i="7" s="1"/>
  <c r="K238" i="6"/>
  <c r="B242" i="7" s="1"/>
  <c r="N507" i="6"/>
  <c r="O507" i="6" s="1"/>
  <c r="N366" i="6"/>
  <c r="A370" i="7" s="1"/>
  <c r="N140" i="6"/>
  <c r="A144" i="7" s="1"/>
  <c r="N100" i="6"/>
  <c r="O100" i="6" s="1"/>
  <c r="N12" i="6"/>
  <c r="A16" i="7" s="1"/>
  <c r="N570" i="6"/>
  <c r="P570" i="6" s="1"/>
  <c r="Q570" i="6" s="1"/>
  <c r="N248" i="6"/>
  <c r="O248" i="6" s="1"/>
  <c r="N873" i="6"/>
  <c r="A877" i="7" s="1"/>
  <c r="K384" i="6"/>
  <c r="B388" i="7" s="1"/>
  <c r="N523" i="6"/>
  <c r="P523" i="6" s="1"/>
  <c r="Q523" i="6" s="1"/>
  <c r="K274" i="6"/>
  <c r="B278" i="7" s="1"/>
  <c r="N224" i="6"/>
  <c r="O224" i="6" s="1"/>
  <c r="N474" i="6"/>
  <c r="A478" i="7" s="1"/>
  <c r="N324" i="6"/>
  <c r="A328" i="7" s="1"/>
  <c r="P94" i="6"/>
  <c r="Q94" i="6" s="1"/>
  <c r="K829" i="6"/>
  <c r="K576" i="6"/>
  <c r="N642" i="6"/>
  <c r="K280" i="6"/>
  <c r="K408" i="6"/>
  <c r="B412" i="7" s="1"/>
  <c r="K480" i="6"/>
  <c r="K8" i="6"/>
  <c r="N560" i="6"/>
  <c r="N678" i="6"/>
  <c r="K72" i="6"/>
  <c r="B977" i="7"/>
  <c r="P973" i="6"/>
  <c r="Q973" i="6" s="1"/>
  <c r="A952" i="7"/>
  <c r="O948" i="6"/>
  <c r="P948" i="6"/>
  <c r="Q948" i="6" s="1"/>
  <c r="B958" i="7"/>
  <c r="P954" i="6"/>
  <c r="Q954" i="6" s="1"/>
  <c r="A920" i="7"/>
  <c r="O916" i="6"/>
  <c r="P916" i="6"/>
  <c r="Q916" i="6" s="1"/>
  <c r="A820" i="7"/>
  <c r="P816" i="6"/>
  <c r="Q816" i="6" s="1"/>
  <c r="O816" i="6"/>
  <c r="A989" i="7"/>
  <c r="O985" i="6"/>
  <c r="A462" i="7"/>
  <c r="P458" i="6"/>
  <c r="Q458" i="6" s="1"/>
  <c r="O458" i="6"/>
  <c r="J6" i="3"/>
  <c r="G11" i="3"/>
  <c r="B18" i="3" s="1"/>
  <c r="D7" i="10" s="1"/>
  <c r="P475" i="6"/>
  <c r="Q475" i="6" s="1"/>
  <c r="O475" i="6"/>
  <c r="A824" i="7"/>
  <c r="O820" i="6"/>
  <c r="P820" i="6"/>
  <c r="Q820" i="6" s="1"/>
  <c r="A948" i="7"/>
  <c r="P944" i="6"/>
  <c r="Q944" i="6" s="1"/>
  <c r="O944" i="6"/>
  <c r="A497" i="7"/>
  <c r="P493" i="6"/>
  <c r="Q493" i="6" s="1"/>
  <c r="O493" i="6"/>
  <c r="A549" i="7"/>
  <c r="O545" i="6"/>
  <c r="B608" i="7"/>
  <c r="P604" i="6"/>
  <c r="Q604" i="6" s="1"/>
  <c r="O908" i="6"/>
  <c r="A912" i="7"/>
  <c r="B635" i="7"/>
  <c r="A698" i="7"/>
  <c r="P694" i="6"/>
  <c r="Q694" i="6" s="1"/>
  <c r="O694" i="6"/>
  <c r="P663" i="6"/>
  <c r="Q663" i="6" s="1"/>
  <c r="O663" i="6"/>
  <c r="A667" i="7"/>
  <c r="P607" i="6"/>
  <c r="Q607" i="6" s="1"/>
  <c r="O607" i="6"/>
  <c r="A611" i="7"/>
  <c r="A125" i="7"/>
  <c r="O121" i="6"/>
  <c r="O873" i="6"/>
  <c r="A197" i="7"/>
  <c r="P193" i="6"/>
  <c r="Q193" i="6" s="1"/>
  <c r="O193" i="6"/>
  <c r="A728" i="7"/>
  <c r="P724" i="6"/>
  <c r="Q724" i="6" s="1"/>
  <c r="O724" i="6"/>
  <c r="A852" i="7"/>
  <c r="O848" i="6"/>
  <c r="P848" i="6"/>
  <c r="Q848" i="6" s="1"/>
  <c r="A673" i="7"/>
  <c r="P669" i="6"/>
  <c r="Q669" i="6" s="1"/>
  <c r="O669" i="6"/>
  <c r="B925" i="7"/>
  <c r="P921" i="6"/>
  <c r="Q921" i="6" s="1"/>
  <c r="A764" i="7"/>
  <c r="O760" i="6"/>
  <c r="P637" i="6"/>
  <c r="Q637" i="6" s="1"/>
  <c r="A641" i="7"/>
  <c r="O637" i="6"/>
  <c r="A517" i="7"/>
  <c r="O513" i="6"/>
  <c r="A181" i="7"/>
  <c r="O177" i="6"/>
  <c r="P177" i="6"/>
  <c r="Q177" i="6" s="1"/>
  <c r="B940" i="7"/>
  <c r="P936" i="6"/>
  <c r="Q936" i="6" s="1"/>
  <c r="B632" i="7"/>
  <c r="P628" i="6"/>
  <c r="Q628" i="6" s="1"/>
  <c r="B600" i="7"/>
  <c r="P596" i="6"/>
  <c r="Q596" i="6" s="1"/>
  <c r="B568" i="7"/>
  <c r="B504" i="7"/>
  <c r="P975" i="6"/>
  <c r="Q975" i="6" s="1"/>
  <c r="O975" i="6"/>
  <c r="A979" i="7"/>
  <c r="B922" i="7"/>
  <c r="P918" i="6"/>
  <c r="Q918" i="6" s="1"/>
  <c r="A907" i="7"/>
  <c r="O903" i="6"/>
  <c r="B449" i="7"/>
  <c r="P445" i="6"/>
  <c r="Q445" i="6" s="1"/>
  <c r="B901" i="7"/>
  <c r="P897" i="6"/>
  <c r="Q897" i="6" s="1"/>
  <c r="A481" i="7"/>
  <c r="P477" i="6"/>
  <c r="Q477" i="6" s="1"/>
  <c r="O477" i="6"/>
  <c r="A165" i="7"/>
  <c r="O161" i="6"/>
  <c r="A893" i="7"/>
  <c r="O889" i="6"/>
  <c r="A45" i="7"/>
  <c r="O41" i="6"/>
  <c r="P41" i="6"/>
  <c r="Q41" i="6" s="1"/>
  <c r="B929" i="7"/>
  <c r="P925" i="6"/>
  <c r="Q925" i="6" s="1"/>
  <c r="A800" i="7"/>
  <c r="P796" i="6"/>
  <c r="Q796" i="6" s="1"/>
  <c r="O796" i="6"/>
  <c r="A562" i="7"/>
  <c r="P558" i="6"/>
  <c r="Q558" i="6" s="1"/>
  <c r="O558" i="6"/>
  <c r="A1001" i="7"/>
  <c r="P997" i="6"/>
  <c r="Q997" i="6" s="1"/>
  <c r="O997" i="6"/>
  <c r="B394" i="7"/>
  <c r="A848" i="7"/>
  <c r="O844" i="6"/>
  <c r="A625" i="7"/>
  <c r="P621" i="6"/>
  <c r="Q621" i="6" s="1"/>
  <c r="O621" i="6"/>
  <c r="P953" i="6"/>
  <c r="Q953" i="6" s="1"/>
  <c r="O953" i="6"/>
  <c r="A957" i="7"/>
  <c r="A254" i="7"/>
  <c r="P250" i="6"/>
  <c r="Q250" i="6" s="1"/>
  <c r="O250" i="6"/>
  <c r="A884" i="7"/>
  <c r="O880" i="6"/>
  <c r="P880" i="6"/>
  <c r="Q880" i="6" s="1"/>
  <c r="A643" i="7"/>
  <c r="P639" i="6"/>
  <c r="Q639" i="6" s="1"/>
  <c r="O639" i="6"/>
  <c r="P809" i="6"/>
  <c r="Q809" i="6" s="1"/>
  <c r="O809" i="6"/>
  <c r="A813" i="7"/>
  <c r="B926" i="7"/>
  <c r="B663" i="7"/>
  <c r="P659" i="6"/>
  <c r="Q659" i="6" s="1"/>
  <c r="B865" i="7"/>
  <c r="P861" i="6"/>
  <c r="Q861" i="6" s="1"/>
  <c r="A916" i="7"/>
  <c r="O912" i="6"/>
  <c r="P912" i="6"/>
  <c r="Q912" i="6" s="1"/>
  <c r="B659" i="7"/>
  <c r="P655" i="6"/>
  <c r="Q655" i="6" s="1"/>
  <c r="A888" i="7"/>
  <c r="O884" i="6"/>
  <c r="P884" i="6"/>
  <c r="Q884" i="6" s="1"/>
  <c r="A996" i="7"/>
  <c r="P992" i="6"/>
  <c r="Q992" i="6" s="1"/>
  <c r="O992" i="6"/>
  <c r="A722" i="7"/>
  <c r="O718" i="6"/>
  <c r="P718" i="6"/>
  <c r="Q718" i="6" s="1"/>
  <c r="A944" i="7"/>
  <c r="O940" i="6"/>
  <c r="P940" i="6"/>
  <c r="Q940" i="6" s="1"/>
  <c r="A896" i="7"/>
  <c r="O892" i="6"/>
  <c r="P824" i="6"/>
  <c r="Q824" i="6" s="1"/>
  <c r="O824" i="6"/>
  <c r="A828" i="7"/>
  <c r="A981" i="7"/>
  <c r="O977" i="6"/>
  <c r="A566" i="7"/>
  <c r="O562" i="6"/>
  <c r="P562" i="6"/>
  <c r="Q562" i="6" s="1"/>
  <c r="P509" i="6"/>
  <c r="Q509" i="6" s="1"/>
  <c r="O509" i="6"/>
  <c r="A513" i="7"/>
  <c r="P325" i="6"/>
  <c r="Q325" i="6" s="1"/>
  <c r="A309" i="7"/>
  <c r="O305" i="6"/>
  <c r="B83" i="7"/>
  <c r="P79" i="6"/>
  <c r="Q79" i="6" s="1"/>
  <c r="A29" i="7"/>
  <c r="O25" i="6"/>
  <c r="P25" i="6"/>
  <c r="Q25" i="6" s="1"/>
  <c r="A101" i="7"/>
  <c r="P97" i="6"/>
  <c r="Q97" i="6" s="1"/>
  <c r="O97" i="6"/>
  <c r="A558" i="7"/>
  <c r="P554" i="6"/>
  <c r="Q554" i="6" s="1"/>
  <c r="O554" i="6"/>
  <c r="P773" i="6"/>
  <c r="Q773" i="6" s="1"/>
  <c r="O773" i="6"/>
  <c r="B584" i="7"/>
  <c r="P580" i="6"/>
  <c r="Q580" i="6" s="1"/>
  <c r="A817" i="7"/>
  <c r="O813" i="6"/>
  <c r="A149" i="7"/>
  <c r="P145" i="6"/>
  <c r="Q145" i="6" s="1"/>
  <c r="O145" i="6"/>
  <c r="A984" i="7"/>
  <c r="O980" i="6"/>
  <c r="A956" i="7"/>
  <c r="P952" i="6"/>
  <c r="Q952" i="6" s="1"/>
  <c r="O952" i="6"/>
  <c r="A937" i="7"/>
  <c r="P933" i="6"/>
  <c r="Q933" i="6" s="1"/>
  <c r="O933" i="6"/>
  <c r="B330" i="7"/>
  <c r="P326" i="6"/>
  <c r="Q326" i="6" s="1"/>
  <c r="A749" i="7"/>
  <c r="P745" i="6"/>
  <c r="Q745" i="6" s="1"/>
  <c r="O745" i="6"/>
  <c r="A775" i="7"/>
  <c r="P771" i="6"/>
  <c r="Q771" i="6" s="1"/>
  <c r="O771" i="6"/>
  <c r="P748" i="6"/>
  <c r="Q748" i="6" s="1"/>
  <c r="A752" i="7"/>
  <c r="F7" i="3"/>
  <c r="F11" i="3" s="1"/>
  <c r="B17" i="3" s="1"/>
  <c r="D6" i="10" s="1"/>
  <c r="E7" i="3"/>
  <c r="I7" i="3" s="1"/>
  <c r="B689" i="7"/>
  <c r="P685" i="6"/>
  <c r="Q685" i="6" s="1"/>
  <c r="O401" i="6"/>
  <c r="A405" i="7"/>
  <c r="P541" i="6"/>
  <c r="Q541" i="6" s="1"/>
  <c r="A545" i="7"/>
  <c r="O541" i="6"/>
  <c r="B950" i="7"/>
  <c r="P946" i="6"/>
  <c r="Q946" i="6" s="1"/>
  <c r="B805" i="7"/>
  <c r="P801" i="6"/>
  <c r="Q801" i="6" s="1"/>
  <c r="A792" i="7"/>
  <c r="P788" i="6"/>
  <c r="Q788" i="6" s="1"/>
  <c r="O788" i="6"/>
  <c r="A887" i="7"/>
  <c r="O883" i="6"/>
  <c r="P883" i="6"/>
  <c r="Q883" i="6" s="1"/>
  <c r="A860" i="7"/>
  <c r="P856" i="6"/>
  <c r="Q856" i="6" s="1"/>
  <c r="O856" i="6"/>
  <c r="P774" i="6"/>
  <c r="Q774" i="6" s="1"/>
  <c r="P744" i="6"/>
  <c r="Q744" i="6" s="1"/>
  <c r="A748" i="7"/>
  <c r="O744" i="6"/>
  <c r="A715" i="7"/>
  <c r="O711" i="6"/>
  <c r="P711" i="6"/>
  <c r="Q711" i="6" s="1"/>
  <c r="A990" i="7"/>
  <c r="P986" i="6"/>
  <c r="Q986" i="6" s="1"/>
  <c r="O986" i="6"/>
  <c r="A928" i="7"/>
  <c r="O924" i="6"/>
  <c r="A969" i="7"/>
  <c r="P965" i="6"/>
  <c r="Q965" i="6" s="1"/>
  <c r="O965" i="6"/>
  <c r="B771" i="7"/>
  <c r="A661" i="7"/>
  <c r="O657" i="6"/>
  <c r="A629" i="7"/>
  <c r="P625" i="6"/>
  <c r="Q625" i="6" s="1"/>
  <c r="O625" i="6"/>
  <c r="A597" i="7"/>
  <c r="O593" i="6"/>
  <c r="P593" i="6"/>
  <c r="Q593" i="6" s="1"/>
  <c r="A565" i="7"/>
  <c r="O561" i="6"/>
  <c r="P561" i="6"/>
  <c r="Q561" i="6" s="1"/>
  <c r="A533" i="7"/>
  <c r="O529" i="6"/>
  <c r="A501" i="7"/>
  <c r="P497" i="6"/>
  <c r="Q497" i="6" s="1"/>
  <c r="O497" i="6"/>
  <c r="A469" i="7"/>
  <c r="P465" i="6"/>
  <c r="Q465" i="6" s="1"/>
  <c r="O465" i="6"/>
  <c r="A892" i="7"/>
  <c r="P888" i="6"/>
  <c r="Q888" i="6" s="1"/>
  <c r="O888" i="6"/>
  <c r="A85" i="7"/>
  <c r="O81" i="6"/>
  <c r="A21" i="7"/>
  <c r="O17" i="6"/>
  <c r="B420" i="7"/>
  <c r="P416" i="6"/>
  <c r="Q416" i="6" s="1"/>
  <c r="A713" i="7"/>
  <c r="P709" i="6"/>
  <c r="Q709" i="6" s="1"/>
  <c r="O709" i="6"/>
  <c r="P945" i="6"/>
  <c r="Q945" i="6" s="1"/>
  <c r="A949" i="7"/>
  <c r="O945" i="6"/>
  <c r="A831" i="7"/>
  <c r="O827" i="6"/>
  <c r="A220" i="7"/>
  <c r="O216" i="6"/>
  <c r="P216" i="6"/>
  <c r="Q216" i="6" s="1"/>
  <c r="P163" i="6"/>
  <c r="Q163" i="6" s="1"/>
  <c r="A103" i="7"/>
  <c r="P99" i="6"/>
  <c r="Q99" i="6" s="1"/>
  <c r="O99" i="6"/>
  <c r="A976" i="7"/>
  <c r="P236" i="6"/>
  <c r="Q236" i="6" s="1"/>
  <c r="A1003" i="7"/>
  <c r="P999" i="6"/>
  <c r="Q999" i="6" s="1"/>
  <c r="O999" i="6"/>
  <c r="A243" i="7"/>
  <c r="O239" i="6"/>
  <c r="O885" i="6"/>
  <c r="A889" i="7"/>
  <c r="K707" i="6"/>
  <c r="B711" i="7" s="1"/>
  <c r="O751" i="6"/>
  <c r="A755" i="7"/>
  <c r="P751" i="6"/>
  <c r="Q751" i="6" s="1"/>
  <c r="A973" i="7"/>
  <c r="O969" i="6"/>
  <c r="P969" i="6"/>
  <c r="Q969" i="6" s="1"/>
  <c r="N855" i="6"/>
  <c r="N919" i="6"/>
  <c r="A327" i="7"/>
  <c r="A447" i="7"/>
  <c r="O443" i="6"/>
  <c r="P443" i="6"/>
  <c r="Q443" i="6" s="1"/>
  <c r="A814" i="7"/>
  <c r="P810" i="6"/>
  <c r="Q810" i="6" s="1"/>
  <c r="O810" i="6"/>
  <c r="A699" i="7"/>
  <c r="O695" i="6"/>
  <c r="P695" i="6"/>
  <c r="Q695" i="6" s="1"/>
  <c r="A538" i="7"/>
  <c r="A432" i="7"/>
  <c r="O428" i="6"/>
  <c r="P428" i="6"/>
  <c r="Q428" i="6" s="1"/>
  <c r="A263" i="7"/>
  <c r="P259" i="6"/>
  <c r="Q259" i="6" s="1"/>
  <c r="O259" i="6"/>
  <c r="A174" i="7"/>
  <c r="P170" i="6"/>
  <c r="Q170" i="6" s="1"/>
  <c r="O170" i="6"/>
  <c r="A110" i="7"/>
  <c r="P106" i="6"/>
  <c r="Q106" i="6" s="1"/>
  <c r="O106" i="6"/>
  <c r="A14" i="7"/>
  <c r="P10" i="6"/>
  <c r="Q10" i="6" s="1"/>
  <c r="O10" i="6"/>
  <c r="N252" i="6"/>
  <c r="A960" i="7"/>
  <c r="O956" i="6"/>
  <c r="P956" i="6"/>
  <c r="Q956" i="6" s="1"/>
  <c r="A483" i="7"/>
  <c r="P479" i="6"/>
  <c r="Q479" i="6" s="1"/>
  <c r="O479" i="6"/>
  <c r="N203" i="6"/>
  <c r="N139" i="6"/>
  <c r="N75" i="6"/>
  <c r="N11" i="6"/>
  <c r="N911" i="6"/>
  <c r="A694" i="7"/>
  <c r="O690" i="6"/>
  <c r="O278" i="6"/>
  <c r="A653" i="7"/>
  <c r="O649" i="6"/>
  <c r="A733" i="7"/>
  <c r="P729" i="6"/>
  <c r="Q729" i="6" s="1"/>
  <c r="O729" i="6"/>
  <c r="N787" i="6"/>
  <c r="A485" i="7"/>
  <c r="O481" i="6"/>
  <c r="P481" i="6"/>
  <c r="Q481" i="6" s="1"/>
  <c r="A13" i="7"/>
  <c r="O9" i="6"/>
  <c r="P341" i="6"/>
  <c r="Q341" i="6" s="1"/>
  <c r="A988" i="7"/>
  <c r="O984" i="6"/>
  <c r="O803" i="6"/>
  <c r="A980" i="7"/>
  <c r="P976" i="6"/>
  <c r="Q976" i="6" s="1"/>
  <c r="O976" i="6"/>
  <c r="K919" i="6"/>
  <c r="B923" i="7" s="1"/>
  <c r="K742" i="6"/>
  <c r="B746" i="7" s="1"/>
  <c r="A832" i="7"/>
  <c r="P828" i="6"/>
  <c r="Q828" i="6" s="1"/>
  <c r="N939" i="6"/>
  <c r="A717" i="7"/>
  <c r="P713" i="6"/>
  <c r="Q713" i="6" s="1"/>
  <c r="O713" i="6"/>
  <c r="K874" i="6"/>
  <c r="B878" i="7" s="1"/>
  <c r="N743" i="6"/>
  <c r="A686" i="7"/>
  <c r="P682" i="6"/>
  <c r="Q682" i="6" s="1"/>
  <c r="O682" i="6"/>
  <c r="K345" i="6"/>
  <c r="B349" i="7" s="1"/>
  <c r="N746" i="6"/>
  <c r="N783" i="6"/>
  <c r="O251" i="6"/>
  <c r="A325" i="7"/>
  <c r="O321" i="6"/>
  <c r="A244" i="7"/>
  <c r="O808" i="6"/>
  <c r="A812" i="7"/>
  <c r="A647" i="7"/>
  <c r="P643" i="6"/>
  <c r="Q643" i="6" s="1"/>
  <c r="O643" i="6"/>
  <c r="A874" i="7"/>
  <c r="P870" i="6"/>
  <c r="Q870" i="6" s="1"/>
  <c r="N228" i="6"/>
  <c r="N179" i="6"/>
  <c r="N115" i="6"/>
  <c r="A237" i="7"/>
  <c r="O233" i="6"/>
  <c r="P233" i="6"/>
  <c r="Q233" i="6" s="1"/>
  <c r="N487" i="6"/>
  <c r="A355" i="7"/>
  <c r="P351" i="6"/>
  <c r="Q351" i="6" s="1"/>
  <c r="O351" i="6"/>
  <c r="A184" i="7"/>
  <c r="O180" i="6"/>
  <c r="P180" i="6"/>
  <c r="Q180" i="6" s="1"/>
  <c r="A120" i="7"/>
  <c r="O116" i="6"/>
  <c r="P116" i="6"/>
  <c r="Q116" i="6" s="1"/>
  <c r="A8" i="7"/>
  <c r="O4" i="6"/>
  <c r="P4" i="6"/>
  <c r="Q4" i="6" s="1"/>
  <c r="A784" i="7"/>
  <c r="O780" i="6"/>
  <c r="P780" i="6"/>
  <c r="Q780" i="6" s="1"/>
  <c r="A173" i="7"/>
  <c r="P169" i="6"/>
  <c r="Q169" i="6" s="1"/>
  <c r="O169" i="6"/>
  <c r="A133" i="7"/>
  <c r="O129" i="6"/>
  <c r="P129" i="6"/>
  <c r="Q129" i="6" s="1"/>
  <c r="K906" i="6"/>
  <c r="B910" i="7" s="1"/>
  <c r="K923" i="6"/>
  <c r="B927" i="7" s="1"/>
  <c r="A836" i="7"/>
  <c r="O832" i="6"/>
  <c r="N719" i="6"/>
  <c r="K401" i="6"/>
  <c r="B405" i="7" s="1"/>
  <c r="P380" i="6"/>
  <c r="Q380" i="6" s="1"/>
  <c r="A320" i="7"/>
  <c r="O316" i="6"/>
  <c r="P316" i="6"/>
  <c r="Q316" i="6" s="1"/>
  <c r="A413" i="7"/>
  <c r="O409" i="6"/>
  <c r="A336" i="7"/>
  <c r="A134" i="7"/>
  <c r="P130" i="6"/>
  <c r="Q130" i="6" s="1"/>
  <c r="O130" i="6"/>
  <c r="A70" i="7"/>
  <c r="P66" i="6"/>
  <c r="Q66" i="6" s="1"/>
  <c r="O66" i="6"/>
  <c r="P34" i="6"/>
  <c r="Q34" i="6" s="1"/>
  <c r="O34" i="6"/>
  <c r="P568" i="6"/>
  <c r="Q568" i="6" s="1"/>
  <c r="P12" i="6"/>
  <c r="Q12" i="6" s="1"/>
  <c r="A705" i="7"/>
  <c r="O701" i="6"/>
  <c r="P701" i="6"/>
  <c r="Q701" i="6" s="1"/>
  <c r="A721" i="7"/>
  <c r="P717" i="6"/>
  <c r="Q717" i="6" s="1"/>
  <c r="O717" i="6"/>
  <c r="A455" i="7"/>
  <c r="A322" i="7"/>
  <c r="P318" i="6"/>
  <c r="Q318" i="6" s="1"/>
  <c r="O318" i="6"/>
  <c r="K223" i="6"/>
  <c r="B227" i="7" s="1"/>
  <c r="N155" i="6"/>
  <c r="N91" i="6"/>
  <c r="N27" i="6"/>
  <c r="N581" i="6"/>
  <c r="A561" i="7"/>
  <c r="O557" i="6"/>
  <c r="P557" i="6"/>
  <c r="Q557" i="6" s="1"/>
  <c r="O523" i="6"/>
  <c r="A527" i="7"/>
  <c r="A280" i="7"/>
  <c r="O276" i="6"/>
  <c r="P276" i="6"/>
  <c r="Q276" i="6" s="1"/>
  <c r="A296" i="7"/>
  <c r="O292" i="6"/>
  <c r="P292" i="6"/>
  <c r="Q292" i="6" s="1"/>
  <c r="B476" i="7"/>
  <c r="P472" i="6"/>
  <c r="Q472" i="6" s="1"/>
  <c r="A795" i="7"/>
  <c r="O791" i="6"/>
  <c r="P654" i="6"/>
  <c r="Q654" i="6" s="1"/>
  <c r="O654" i="6"/>
  <c r="A658" i="7"/>
  <c r="O958" i="6"/>
  <c r="A962" i="7"/>
  <c r="P958" i="6"/>
  <c r="Q958" i="6" s="1"/>
  <c r="A679" i="7"/>
  <c r="A489" i="7"/>
  <c r="P485" i="6"/>
  <c r="Q485" i="6" s="1"/>
  <c r="O485" i="6"/>
  <c r="A354" i="7"/>
  <c r="P350" i="6"/>
  <c r="Q350" i="6" s="1"/>
  <c r="O350" i="6"/>
  <c r="O35" i="6"/>
  <c r="A602" i="7"/>
  <c r="P598" i="6"/>
  <c r="Q598" i="6" s="1"/>
  <c r="O598" i="6"/>
  <c r="O617" i="6"/>
  <c r="P617" i="6"/>
  <c r="Q617" i="6" s="1"/>
  <c r="K813" i="6"/>
  <c r="B817" i="7" s="1"/>
  <c r="N982" i="6"/>
  <c r="O872" i="6"/>
  <c r="P872" i="6"/>
  <c r="Q872" i="6" s="1"/>
  <c r="A876" i="7"/>
  <c r="A780" i="7"/>
  <c r="O776" i="6"/>
  <c r="P776" i="6"/>
  <c r="Q776" i="6" s="1"/>
  <c r="N871" i="6"/>
  <c r="A581" i="7"/>
  <c r="O577" i="6"/>
  <c r="P577" i="6"/>
  <c r="Q577" i="6" s="1"/>
  <c r="A343" i="7"/>
  <c r="O339" i="6"/>
  <c r="P339" i="6"/>
  <c r="Q339" i="6" s="1"/>
  <c r="A206" i="7"/>
  <c r="O202" i="6"/>
  <c r="A78" i="7"/>
  <c r="P74" i="6"/>
  <c r="Q74" i="6" s="1"/>
  <c r="O74" i="6"/>
  <c r="A152" i="7"/>
  <c r="O148" i="6"/>
  <c r="P148" i="6"/>
  <c r="Q148" i="6" s="1"/>
  <c r="A495" i="7"/>
  <c r="P491" i="6"/>
  <c r="Q491" i="6" s="1"/>
  <c r="O491" i="6"/>
  <c r="A917" i="7"/>
  <c r="O913" i="6"/>
  <c r="A560" i="7"/>
  <c r="O556" i="6"/>
  <c r="P556" i="6"/>
  <c r="Q556" i="6" s="1"/>
  <c r="N615" i="6"/>
  <c r="A530" i="7"/>
  <c r="P526" i="6"/>
  <c r="Q526" i="6" s="1"/>
  <c r="O526" i="6"/>
  <c r="A287" i="7"/>
  <c r="O283" i="6"/>
  <c r="P283" i="6"/>
  <c r="Q283" i="6" s="1"/>
  <c r="A338" i="7"/>
  <c r="P334" i="6"/>
  <c r="Q334" i="6" s="1"/>
  <c r="O334" i="6"/>
  <c r="A961" i="7"/>
  <c r="P957" i="6"/>
  <c r="Q957" i="6" s="1"/>
  <c r="O957" i="6"/>
  <c r="A227" i="7"/>
  <c r="O223" i="6"/>
  <c r="A69" i="7"/>
  <c r="P65" i="6"/>
  <c r="Q65" i="6" s="1"/>
  <c r="O65" i="6"/>
  <c r="A808" i="7"/>
  <c r="P804" i="6"/>
  <c r="Q804" i="6" s="1"/>
  <c r="O804" i="6"/>
  <c r="K873" i="6"/>
  <c r="B877" i="7" s="1"/>
  <c r="A709" i="7"/>
  <c r="P705" i="6"/>
  <c r="Q705" i="6" s="1"/>
  <c r="O782" i="6"/>
  <c r="K453" i="6"/>
  <c r="B457" i="7" s="1"/>
  <c r="A864" i="7"/>
  <c r="O860" i="6"/>
  <c r="P959" i="6"/>
  <c r="Q959" i="6" s="1"/>
  <c r="O959" i="6"/>
  <c r="A963" i="7"/>
  <c r="K842" i="6"/>
  <c r="A788" i="7"/>
  <c r="K409" i="6"/>
  <c r="B413" i="7" s="1"/>
  <c r="K281" i="6"/>
  <c r="B285" i="7" s="1"/>
  <c r="A734" i="7"/>
  <c r="P730" i="6"/>
  <c r="Q730" i="6" s="1"/>
  <c r="O730" i="6"/>
  <c r="A429" i="7"/>
  <c r="O425" i="6"/>
  <c r="A365" i="7"/>
  <c r="O361" i="6"/>
  <c r="A301" i="7"/>
  <c r="O297" i="6"/>
  <c r="A314" i="7"/>
  <c r="P310" i="6"/>
  <c r="Q310" i="6" s="1"/>
  <c r="O310" i="6"/>
  <c r="A463" i="7"/>
  <c r="P459" i="6"/>
  <c r="Q459" i="6" s="1"/>
  <c r="O459" i="6"/>
  <c r="A902" i="7"/>
  <c r="O898" i="6"/>
  <c r="P898" i="6"/>
  <c r="Q898" i="6" s="1"/>
  <c r="N923" i="6"/>
  <c r="N453" i="6"/>
  <c r="A48" i="7"/>
  <c r="O44" i="6"/>
  <c r="P44" i="6"/>
  <c r="Q44" i="6" s="1"/>
  <c r="A141" i="7"/>
  <c r="O137" i="6"/>
  <c r="A275" i="7"/>
  <c r="O271" i="6"/>
  <c r="A211" i="7"/>
  <c r="O207" i="6"/>
  <c r="K749" i="6"/>
  <c r="B753" i="7" s="1"/>
  <c r="N875" i="6"/>
  <c r="K762" i="6"/>
  <c r="B766" i="7" s="1"/>
  <c r="P967" i="6"/>
  <c r="Q967" i="6" s="1"/>
  <c r="O967" i="6"/>
  <c r="A971" i="7"/>
  <c r="O702" i="6"/>
  <c r="P702" i="6"/>
  <c r="Q702" i="6" s="1"/>
  <c r="A816" i="7"/>
  <c r="O812" i="6"/>
  <c r="N951" i="6"/>
  <c r="K481" i="6"/>
  <c r="B485" i="7" s="1"/>
  <c r="K337" i="6"/>
  <c r="B341" i="7" s="1"/>
  <c r="A796" i="7"/>
  <c r="P792" i="6"/>
  <c r="Q792" i="6" s="1"/>
  <c r="A746" i="7"/>
  <c r="O742" i="6"/>
  <c r="N819" i="6"/>
  <c r="O914" i="6"/>
  <c r="A918" i="7"/>
  <c r="P573" i="6"/>
  <c r="Q573" i="6" s="1"/>
  <c r="A577" i="7"/>
  <c r="O573" i="6"/>
  <c r="A448" i="7"/>
  <c r="N891" i="6"/>
  <c r="P664" i="6"/>
  <c r="Q664" i="6" s="1"/>
  <c r="N517" i="6"/>
  <c r="A811" i="7"/>
  <c r="P807" i="6"/>
  <c r="Q807" i="6" s="1"/>
  <c r="O807" i="6"/>
  <c r="P504" i="6"/>
  <c r="Q504" i="6" s="1"/>
  <c r="A938" i="7"/>
  <c r="O934" i="6"/>
  <c r="P934" i="6"/>
  <c r="Q934" i="6" s="1"/>
  <c r="A802" i="7"/>
  <c r="O798" i="6"/>
  <c r="P798" i="6"/>
  <c r="Q798" i="6" s="1"/>
  <c r="A623" i="7"/>
  <c r="P619" i="6"/>
  <c r="Q619" i="6" s="1"/>
  <c r="O619" i="6"/>
  <c r="O579" i="6"/>
  <c r="A424" i="7"/>
  <c r="P55" i="6"/>
  <c r="Q55" i="6" s="1"/>
  <c r="P422" i="6"/>
  <c r="Q422" i="6" s="1"/>
  <c r="O830" i="6"/>
  <c r="A834" i="7"/>
  <c r="P294" i="6"/>
  <c r="Q294" i="6" s="1"/>
  <c r="P962" i="6"/>
  <c r="Q962" i="6" s="1"/>
  <c r="P293" i="6"/>
  <c r="Q293" i="6" s="1"/>
  <c r="A189" i="7"/>
  <c r="O185" i="6"/>
  <c r="P185" i="6"/>
  <c r="Q185" i="6" s="1"/>
  <c r="P230" i="6"/>
  <c r="Q230" i="6" s="1"/>
  <c r="O964" i="6"/>
  <c r="A997" i="7"/>
  <c r="O993" i="6"/>
  <c r="P993" i="6"/>
  <c r="Q993" i="6" s="1"/>
  <c r="A947" i="7"/>
  <c r="P943" i="6"/>
  <c r="Q943" i="6" s="1"/>
  <c r="O943" i="6"/>
  <c r="N755" i="6"/>
  <c r="A793" i="7"/>
  <c r="P789" i="6"/>
  <c r="Q789" i="6" s="1"/>
  <c r="O789" i="6"/>
  <c r="K726" i="6"/>
  <c r="A905" i="7"/>
  <c r="O901" i="6"/>
  <c r="O698" i="6"/>
  <c r="A669" i="7"/>
  <c r="A637" i="7"/>
  <c r="O633" i="6"/>
  <c r="O601" i="6"/>
  <c r="A541" i="7"/>
  <c r="O537" i="6"/>
  <c r="A509" i="7"/>
  <c r="P505" i="6"/>
  <c r="Q505" i="6" s="1"/>
  <c r="O505" i="6"/>
  <c r="E5" i="3"/>
  <c r="A804" i="7"/>
  <c r="O800" i="6"/>
  <c r="P800" i="6"/>
  <c r="Q800" i="6" s="1"/>
  <c r="A772" i="7"/>
  <c r="O768" i="6"/>
  <c r="A278" i="7"/>
  <c r="O274" i="6"/>
  <c r="A214" i="7"/>
  <c r="P210" i="6"/>
  <c r="Q210" i="6" s="1"/>
  <c r="O210" i="6"/>
  <c r="A904" i="7"/>
  <c r="O900" i="6"/>
  <c r="P900" i="6"/>
  <c r="Q900" i="6" s="1"/>
  <c r="N847" i="6"/>
  <c r="N759" i="6"/>
  <c r="A670" i="7"/>
  <c r="O666" i="6"/>
  <c r="P666" i="6"/>
  <c r="Q666" i="6" s="1"/>
  <c r="K577" i="6"/>
  <c r="B581" i="7" s="1"/>
  <c r="K449" i="6"/>
  <c r="B453" i="7" s="1"/>
  <c r="K385" i="6"/>
  <c r="B389" i="7" s="1"/>
  <c r="K321" i="6"/>
  <c r="B325" i="7" s="1"/>
  <c r="N983" i="6"/>
  <c r="A885" i="7"/>
  <c r="O881" i="6"/>
  <c r="A423" i="7"/>
  <c r="P419" i="6"/>
  <c r="Q419" i="6" s="1"/>
  <c r="O419" i="6"/>
  <c r="O291" i="6"/>
  <c r="A271" i="7"/>
  <c r="P267" i="6"/>
  <c r="Q267" i="6" s="1"/>
  <c r="O267" i="6"/>
  <c r="O315" i="6"/>
  <c r="A774" i="7"/>
  <c r="A703" i="7"/>
  <c r="O699" i="6"/>
  <c r="P699" i="6"/>
  <c r="Q699" i="6" s="1"/>
  <c r="O594" i="6"/>
  <c r="B518" i="7"/>
  <c r="P514" i="6"/>
  <c r="Q514" i="6" s="1"/>
  <c r="A442" i="7"/>
  <c r="P438" i="6"/>
  <c r="Q438" i="6" s="1"/>
  <c r="O438" i="6"/>
  <c r="P790" i="6"/>
  <c r="Q790" i="6" s="1"/>
  <c r="A487" i="7"/>
  <c r="P483" i="6"/>
  <c r="Q483" i="6" s="1"/>
  <c r="O483" i="6"/>
  <c r="A445" i="7"/>
  <c r="O441" i="6"/>
  <c r="A407" i="7"/>
  <c r="O403" i="6"/>
  <c r="P403" i="6"/>
  <c r="Q403" i="6" s="1"/>
  <c r="A368" i="7"/>
  <c r="A317" i="7"/>
  <c r="O313" i="6"/>
  <c r="P275" i="6"/>
  <c r="Q275" i="6" s="1"/>
  <c r="A247" i="7"/>
  <c r="A215" i="7"/>
  <c r="P211" i="6"/>
  <c r="Q211" i="6" s="1"/>
  <c r="O211" i="6"/>
  <c r="A190" i="7"/>
  <c r="P186" i="6"/>
  <c r="Q186" i="6" s="1"/>
  <c r="O186" i="6"/>
  <c r="A158" i="7"/>
  <c r="P154" i="6"/>
  <c r="Q154" i="6" s="1"/>
  <c r="O154" i="6"/>
  <c r="A126" i="7"/>
  <c r="P122" i="6"/>
  <c r="Q122" i="6" s="1"/>
  <c r="O122" i="6"/>
  <c r="A94" i="7"/>
  <c r="P90" i="6"/>
  <c r="Q90" i="6" s="1"/>
  <c r="A30" i="7"/>
  <c r="P754" i="6"/>
  <c r="Q754" i="6" s="1"/>
  <c r="A810" i="7"/>
  <c r="O806" i="6"/>
  <c r="A136" i="7"/>
  <c r="O132" i="6"/>
  <c r="P132" i="6"/>
  <c r="Q132" i="6" s="1"/>
  <c r="P941" i="6"/>
  <c r="Q941" i="6" s="1"/>
  <c r="O941" i="6"/>
  <c r="A945" i="7"/>
  <c r="A470" i="7"/>
  <c r="O466" i="6"/>
  <c r="A897" i="7"/>
  <c r="P893" i="6"/>
  <c r="Q893" i="6" s="1"/>
  <c r="O893" i="6"/>
  <c r="A506" i="7"/>
  <c r="P502" i="6"/>
  <c r="Q502" i="6" s="1"/>
  <c r="O502" i="6"/>
  <c r="A386" i="7"/>
  <c r="P382" i="6"/>
  <c r="Q382" i="6" s="1"/>
  <c r="O382" i="6"/>
  <c r="N171" i="6"/>
  <c r="N107" i="6"/>
  <c r="N43" i="6"/>
  <c r="P878" i="6"/>
  <c r="Q878" i="6" s="1"/>
  <c r="N645" i="6"/>
  <c r="A551" i="7"/>
  <c r="P547" i="6"/>
  <c r="Q547" i="6" s="1"/>
  <c r="O547" i="6"/>
  <c r="N489" i="6"/>
  <c r="N679" i="6"/>
  <c r="B636" i="7"/>
  <c r="P632" i="6"/>
  <c r="Q632" i="6" s="1"/>
  <c r="N268" i="6"/>
  <c r="B5" i="8"/>
  <c r="B6" i="7"/>
  <c r="P324" i="6"/>
  <c r="Q324" i="6" s="1"/>
  <c r="A291" i="7"/>
  <c r="P287" i="6"/>
  <c r="Q287" i="6" s="1"/>
  <c r="O287" i="6"/>
  <c r="N963" i="6"/>
  <c r="A697" i="7"/>
  <c r="P693" i="6"/>
  <c r="Q693" i="6" s="1"/>
  <c r="O693" i="6"/>
  <c r="P413" i="6"/>
  <c r="Q413" i="6" s="1"/>
  <c r="P277" i="6"/>
  <c r="Q277" i="6" s="1"/>
  <c r="P317" i="6"/>
  <c r="Q317" i="6" s="1"/>
  <c r="P238" i="6"/>
  <c r="Q238" i="6" s="1"/>
  <c r="P31" i="6"/>
  <c r="Q31" i="6" s="1"/>
  <c r="P135" i="6"/>
  <c r="Q135" i="6" s="1"/>
  <c r="P285" i="6"/>
  <c r="Q285" i="6" s="1"/>
  <c r="P39" i="6"/>
  <c r="Q39" i="6" s="1"/>
  <c r="P352" i="6"/>
  <c r="Q352" i="6" s="1"/>
  <c r="K930" i="6"/>
  <c r="B934" i="7" s="1"/>
  <c r="O835" i="6"/>
  <c r="K827" i="6"/>
  <c r="B831" i="7" s="1"/>
  <c r="A546" i="7"/>
  <c r="P542" i="6"/>
  <c r="Q542" i="6" s="1"/>
  <c r="O542" i="6"/>
  <c r="I9" i="3"/>
  <c r="N979" i="6"/>
  <c r="K869" i="6"/>
  <c r="K818" i="6"/>
  <c r="N778" i="6"/>
  <c r="A657" i="7"/>
  <c r="P653" i="6"/>
  <c r="Q653" i="6" s="1"/>
  <c r="O653" i="6"/>
  <c r="A594" i="7"/>
  <c r="O590" i="6"/>
  <c r="N553" i="6"/>
  <c r="A223" i="7"/>
  <c r="P219" i="6"/>
  <c r="Q219" i="6" s="1"/>
  <c r="O219" i="6"/>
  <c r="A276" i="7"/>
  <c r="O272" i="6"/>
  <c r="A639" i="7"/>
  <c r="P635" i="6"/>
  <c r="Q635" i="6" s="1"/>
  <c r="O635" i="6"/>
  <c r="N551" i="6"/>
  <c r="A453" i="7"/>
  <c r="O449" i="6"/>
  <c r="A511" i="7"/>
  <c r="P507" i="6"/>
  <c r="Q507" i="6" s="1"/>
  <c r="N131" i="6"/>
  <c r="N67" i="6"/>
  <c r="N3" i="6"/>
  <c r="N858" i="6"/>
  <c r="A765" i="7"/>
  <c r="P761" i="6"/>
  <c r="Q761" i="6" s="1"/>
  <c r="O761" i="6"/>
  <c r="A630" i="7"/>
  <c r="O626" i="6"/>
  <c r="P626" i="6"/>
  <c r="Q626" i="6" s="1"/>
  <c r="A88" i="7"/>
  <c r="A972" i="7"/>
  <c r="P968" i="6"/>
  <c r="Q968" i="6" s="1"/>
  <c r="O968" i="6"/>
  <c r="K834" i="6"/>
  <c r="A871" i="7"/>
  <c r="O867" i="6"/>
  <c r="P867" i="6"/>
  <c r="Q867" i="6" s="1"/>
  <c r="A743" i="7"/>
  <c r="P739" i="6"/>
  <c r="Q739" i="6" s="1"/>
  <c r="O739" i="6"/>
  <c r="K734" i="6"/>
  <c r="K955" i="6"/>
  <c r="B959" i="7" s="1"/>
  <c r="K854" i="6"/>
  <c r="A819" i="7"/>
  <c r="O815" i="6"/>
  <c r="P815" i="6"/>
  <c r="Q815" i="6" s="1"/>
  <c r="K697" i="6"/>
  <c r="N887" i="6"/>
  <c r="A840" i="7"/>
  <c r="O836" i="6"/>
  <c r="P836" i="6"/>
  <c r="Q836" i="6" s="1"/>
  <c r="A270" i="7"/>
  <c r="P266" i="6"/>
  <c r="Q266" i="6" s="1"/>
  <c r="O266" i="6"/>
  <c r="N947" i="6"/>
  <c r="A924" i="7"/>
  <c r="P920" i="6"/>
  <c r="Q920" i="6" s="1"/>
  <c r="O920" i="6"/>
  <c r="A742" i="7"/>
  <c r="P738" i="6"/>
  <c r="Q738" i="6" s="1"/>
  <c r="O738" i="6"/>
  <c r="I8" i="3"/>
  <c r="A965" i="7"/>
  <c r="O961" i="6"/>
  <c r="P961" i="6"/>
  <c r="Q961" i="6" s="1"/>
  <c r="K850" i="6"/>
  <c r="O714" i="6"/>
  <c r="A718" i="7"/>
  <c r="K441" i="6"/>
  <c r="B445" i="7" s="1"/>
  <c r="K377" i="6"/>
  <c r="B381" i="7" s="1"/>
  <c r="K313" i="6"/>
  <c r="B317" i="7" s="1"/>
  <c r="K786" i="6"/>
  <c r="P853" i="6"/>
  <c r="Q853" i="6" s="1"/>
  <c r="O853" i="6"/>
  <c r="A857" i="7"/>
  <c r="N811" i="6"/>
  <c r="P981" i="6"/>
  <c r="Q981" i="6" s="1"/>
  <c r="O981" i="6"/>
  <c r="A985" i="7"/>
  <c r="A591" i="7"/>
  <c r="P587" i="6"/>
  <c r="Q587" i="6" s="1"/>
  <c r="O587" i="6"/>
  <c r="A397" i="7"/>
  <c r="O393" i="6"/>
  <c r="A333" i="7"/>
  <c r="O329" i="6"/>
  <c r="A219" i="7"/>
  <c r="P215" i="6"/>
  <c r="Q215" i="6" s="1"/>
  <c r="O215" i="6"/>
  <c r="A351" i="7"/>
  <c r="O347" i="6"/>
  <c r="P347" i="6"/>
  <c r="Q347" i="6" s="1"/>
  <c r="A626" i="7"/>
  <c r="P622" i="6"/>
  <c r="Q622" i="6" s="1"/>
  <c r="O622" i="6"/>
  <c r="O874" i="6"/>
  <c r="P874" i="6"/>
  <c r="Q874" i="6" s="1"/>
  <c r="B614" i="7"/>
  <c r="P610" i="6"/>
  <c r="Q610" i="6" s="1"/>
  <c r="N841" i="6"/>
  <c r="N995" i="6"/>
  <c r="O388" i="6"/>
  <c r="A392" i="7"/>
  <c r="A684" i="7"/>
  <c r="P680" i="6"/>
  <c r="Q680" i="6" s="1"/>
  <c r="O680" i="6"/>
  <c r="N519" i="6"/>
  <c r="A290" i="7"/>
  <c r="P286" i="6"/>
  <c r="Q286" i="6" s="1"/>
  <c r="O286" i="6"/>
  <c r="N244" i="6"/>
  <c r="N212" i="6"/>
  <c r="N147" i="6"/>
  <c r="N83" i="6"/>
  <c r="N19" i="6"/>
  <c r="P737" i="6"/>
  <c r="Q737" i="6" s="1"/>
  <c r="A293" i="7"/>
  <c r="P289" i="6"/>
  <c r="Q289" i="6" s="1"/>
  <c r="O289" i="6"/>
  <c r="A269" i="7"/>
  <c r="O265" i="6"/>
  <c r="P265" i="6"/>
  <c r="Q265" i="6" s="1"/>
  <c r="P886" i="6"/>
  <c r="Q886" i="6" s="1"/>
  <c r="A378" i="7"/>
  <c r="P374" i="6"/>
  <c r="Q374" i="6" s="1"/>
  <c r="O374" i="6"/>
  <c r="A559" i="7"/>
  <c r="P555" i="6"/>
  <c r="Q555" i="6" s="1"/>
  <c r="O555" i="6"/>
  <c r="A434" i="7"/>
  <c r="P430" i="6"/>
  <c r="Q430" i="6" s="1"/>
  <c r="O430" i="6"/>
  <c r="A419" i="7"/>
  <c r="O415" i="6"/>
  <c r="A208" i="7"/>
  <c r="P204" i="6"/>
  <c r="Q204" i="6" s="1"/>
  <c r="A168" i="7"/>
  <c r="O28" i="6"/>
  <c r="P28" i="6"/>
  <c r="Q28" i="6" s="1"/>
  <c r="P882" i="6"/>
  <c r="Q882" i="6" s="1"/>
  <c r="A841" i="7"/>
  <c r="P837" i="6"/>
  <c r="Q837" i="6" s="1"/>
  <c r="O837" i="6"/>
  <c r="A519" i="7"/>
  <c r="O515" i="6"/>
  <c r="P608" i="6"/>
  <c r="Q608" i="6" s="1"/>
  <c r="P448" i="6"/>
  <c r="Q448" i="6" s="1"/>
  <c r="P929" i="6"/>
  <c r="Q929" i="6" s="1"/>
  <c r="P424" i="6"/>
  <c r="Q424" i="6" s="1"/>
  <c r="P785" i="6"/>
  <c r="Q785" i="6" s="1"/>
  <c r="A732" i="7"/>
  <c r="P728" i="6"/>
  <c r="Q728" i="6" s="1"/>
  <c r="O728" i="6"/>
  <c r="P906" i="6"/>
  <c r="Q906" i="6" s="1"/>
  <c r="O906" i="6"/>
  <c r="A910" i="7"/>
  <c r="A590" i="7"/>
  <c r="P586" i="6"/>
  <c r="Q586" i="6" s="1"/>
  <c r="O586" i="6"/>
  <c r="A995" i="7"/>
  <c r="P991" i="6"/>
  <c r="Q991" i="6" s="1"/>
  <c r="O991" i="6"/>
  <c r="A753" i="7"/>
  <c r="O749" i="6"/>
  <c r="A465" i="7"/>
  <c r="O461" i="6"/>
  <c r="A253" i="7"/>
  <c r="O249" i="6"/>
  <c r="P249" i="6"/>
  <c r="Q249" i="6" s="1"/>
  <c r="A494" i="7"/>
  <c r="P490" i="6"/>
  <c r="Q490" i="6" s="1"/>
  <c r="O490" i="6"/>
  <c r="A64" i="7"/>
  <c r="P583" i="6"/>
  <c r="Q583" i="6" s="1"/>
  <c r="O583" i="6"/>
  <c r="A587" i="7"/>
  <c r="A768" i="7"/>
  <c r="P764" i="6"/>
  <c r="Q764" i="6" s="1"/>
  <c r="O764" i="6"/>
  <c r="A575" i="7"/>
  <c r="O571" i="6"/>
  <c r="A61" i="7"/>
  <c r="O57" i="6"/>
  <c r="A205" i="7"/>
  <c r="P201" i="6"/>
  <c r="Q201" i="6" s="1"/>
  <c r="O201" i="6"/>
  <c r="N899" i="6"/>
  <c r="K862" i="6"/>
  <c r="N723" i="6"/>
  <c r="A932" i="7"/>
  <c r="O928" i="6"/>
  <c r="P928" i="6"/>
  <c r="Q928" i="6" s="1"/>
  <c r="A246" i="7"/>
  <c r="P242" i="6"/>
  <c r="Q242" i="6" s="1"/>
  <c r="O242" i="6"/>
  <c r="N763" i="6"/>
  <c r="A913" i="7"/>
  <c r="P909" i="6"/>
  <c r="Q909" i="6" s="1"/>
  <c r="O909" i="6"/>
  <c r="A725" i="7"/>
  <c r="P721" i="6"/>
  <c r="Q721" i="6" s="1"/>
  <c r="O721" i="6"/>
  <c r="A638" i="7"/>
  <c r="A756" i="7"/>
  <c r="P752" i="6"/>
  <c r="Q752" i="6" s="1"/>
  <c r="O752" i="6"/>
  <c r="P231" i="6"/>
  <c r="Q231" i="6" s="1"/>
  <c r="O231" i="6"/>
  <c r="A466" i="7"/>
  <c r="P462" i="6"/>
  <c r="Q462" i="6" s="1"/>
  <c r="O462" i="6"/>
  <c r="O377" i="6"/>
  <c r="A381" i="7"/>
  <c r="A304" i="7"/>
  <c r="O300" i="6"/>
  <c r="A231" i="7"/>
  <c r="P227" i="6"/>
  <c r="Q227" i="6" s="1"/>
  <c r="O227" i="6"/>
  <c r="A142" i="7"/>
  <c r="P138" i="6"/>
  <c r="Q138" i="6" s="1"/>
  <c r="O138" i="6"/>
  <c r="A46" i="7"/>
  <c r="P42" i="6"/>
  <c r="Q42" i="6" s="1"/>
  <c r="O42" i="6"/>
  <c r="A387" i="7"/>
  <c r="P383" i="6"/>
  <c r="Q383" i="6" s="1"/>
  <c r="O383" i="6"/>
  <c r="A112" i="7"/>
  <c r="O108" i="6"/>
  <c r="P108" i="6"/>
  <c r="Q108" i="6" s="1"/>
  <c r="N673" i="6"/>
  <c r="A303" i="7"/>
  <c r="O299" i="6"/>
  <c r="N753" i="6"/>
  <c r="A408" i="7"/>
  <c r="O404" i="6"/>
  <c r="P404" i="6"/>
  <c r="Q404" i="6" s="1"/>
  <c r="N846" i="6"/>
  <c r="A719" i="7"/>
  <c r="P715" i="6"/>
  <c r="Q715" i="6" s="1"/>
  <c r="O715" i="6"/>
  <c r="N710" i="6"/>
  <c r="A671" i="7"/>
  <c r="P667" i="6"/>
  <c r="Q667" i="6" s="1"/>
  <c r="O667" i="6"/>
  <c r="P414" i="6"/>
  <c r="Q414" i="6" s="1"/>
  <c r="O414" i="6"/>
  <c r="N260" i="6"/>
  <c r="N51" i="6"/>
  <c r="A502" i="7"/>
  <c r="O498" i="6"/>
  <c r="P498" i="6"/>
  <c r="Q498" i="6" s="1"/>
  <c r="A974" i="7"/>
  <c r="P970" i="6"/>
  <c r="Q970" i="6" s="1"/>
  <c r="O970" i="6"/>
  <c r="P765" i="6"/>
  <c r="Q765" i="6" s="1"/>
  <c r="N549" i="6"/>
  <c r="P905" i="6"/>
  <c r="Q905" i="6" s="1"/>
  <c r="K828" i="6"/>
  <c r="B832" i="7" s="1"/>
  <c r="N931" i="6"/>
  <c r="K802" i="6"/>
  <c r="B806" i="7" s="1"/>
  <c r="O736" i="6"/>
  <c r="A720" i="7"/>
  <c r="O716" i="6"/>
  <c r="N966" i="6"/>
  <c r="A230" i="7"/>
  <c r="P226" i="6"/>
  <c r="Q226" i="6" s="1"/>
  <c r="O226" i="6"/>
  <c r="N851" i="6"/>
  <c r="K706" i="6"/>
  <c r="B710" i="7" s="1"/>
  <c r="A872" i="7"/>
  <c r="P868" i="6"/>
  <c r="Q868" i="6" s="1"/>
  <c r="O868" i="6"/>
  <c r="K609" i="6"/>
  <c r="B613" i="7" s="1"/>
  <c r="A712" i="7"/>
  <c r="P708" i="6"/>
  <c r="Q708" i="6" s="1"/>
  <c r="O708" i="6"/>
  <c r="A941" i="7"/>
  <c r="P937" i="6"/>
  <c r="Q937" i="6" s="1"/>
  <c r="O937" i="6"/>
  <c r="A440" i="7"/>
  <c r="A1005" i="7"/>
  <c r="P1001" i="6"/>
  <c r="Q1001" i="6" s="1"/>
  <c r="O1001" i="6"/>
  <c r="N455" i="6"/>
  <c r="N805" i="6"/>
  <c r="O371" i="6"/>
  <c r="A166" i="7"/>
  <c r="P162" i="6"/>
  <c r="Q162" i="6" s="1"/>
  <c r="O162" i="6"/>
  <c r="A102" i="7"/>
  <c r="P98" i="6"/>
  <c r="Q98" i="6" s="1"/>
  <c r="O98" i="6"/>
  <c r="E22" i="7"/>
  <c r="E19" i="7"/>
  <c r="E16" i="7"/>
  <c r="E13" i="7"/>
  <c r="E9" i="7"/>
  <c r="E6" i="7"/>
  <c r="P2" i="6"/>
  <c r="O2" i="6"/>
  <c r="E15" i="7"/>
  <c r="N756" i="6"/>
  <c r="N521" i="6"/>
  <c r="P100" i="6"/>
  <c r="Q100" i="6" s="1"/>
  <c r="A570" i="7"/>
  <c r="P566" i="6"/>
  <c r="Q566" i="6" s="1"/>
  <c r="O566" i="6"/>
  <c r="N779" i="6"/>
  <c r="K255" i="6"/>
  <c r="B259" i="7" s="1"/>
  <c r="P224" i="6"/>
  <c r="Q224" i="6" s="1"/>
  <c r="N641" i="6"/>
  <c r="A593" i="7"/>
  <c r="O589" i="6"/>
  <c r="P589" i="6"/>
  <c r="Q589" i="6" s="1"/>
  <c r="A306" i="7"/>
  <c r="P302" i="6"/>
  <c r="Q302" i="6" s="1"/>
  <c r="O302" i="6"/>
  <c r="N220" i="6"/>
  <c r="A451" i="7"/>
  <c r="P447" i="6"/>
  <c r="Q447" i="6" s="1"/>
  <c r="O447" i="6"/>
  <c r="A335" i="7"/>
  <c r="P331" i="6"/>
  <c r="Q331" i="6" s="1"/>
  <c r="O331" i="6"/>
  <c r="P722" i="6"/>
  <c r="Q722" i="6" s="1"/>
  <c r="P191" i="6"/>
  <c r="Q191" i="6" s="1"/>
  <c r="P373" i="6"/>
  <c r="Q373" i="6" s="1"/>
  <c r="P833" i="6"/>
  <c r="Q833" i="6" s="1"/>
  <c r="A710" i="7"/>
  <c r="P706" i="6"/>
  <c r="Q706" i="6" s="1"/>
  <c r="O706" i="6"/>
  <c r="P206" i="6"/>
  <c r="Q206" i="6" s="1"/>
  <c r="J5" i="3"/>
  <c r="J11" i="3" s="1"/>
  <c r="B21" i="3" s="1"/>
  <c r="P360" i="6"/>
  <c r="Q360" i="6" s="1"/>
  <c r="P627" i="6"/>
  <c r="Q627" i="6" s="1"/>
  <c r="A341" i="7"/>
  <c r="P337" i="6"/>
  <c r="Q337" i="6" s="1"/>
  <c r="O337" i="6"/>
  <c r="N971" i="6"/>
  <c r="A868" i="7"/>
  <c r="O864" i="6"/>
  <c r="P864" i="6"/>
  <c r="Q864" i="6" s="1"/>
  <c r="K791" i="6"/>
  <c r="B795" i="7" s="1"/>
  <c r="A674" i="7"/>
  <c r="P670" i="6"/>
  <c r="Q670" i="6" s="1"/>
  <c r="O670" i="6"/>
  <c r="A642" i="7"/>
  <c r="O638" i="6"/>
  <c r="P638" i="6"/>
  <c r="Q638" i="6" s="1"/>
  <c r="A610" i="7"/>
  <c r="O606" i="6"/>
  <c r="A578" i="7"/>
  <c r="P574" i="6"/>
  <c r="Q574" i="6" s="1"/>
  <c r="O574" i="6"/>
  <c r="P478" i="6"/>
  <c r="Q478" i="6" s="1"/>
  <c r="O478" i="6"/>
  <c r="E6" i="3"/>
  <c r="I6" i="3" s="1"/>
  <c r="A964" i="7"/>
  <c r="P960" i="6"/>
  <c r="Q960" i="6" s="1"/>
  <c r="O960" i="6"/>
  <c r="A222" i="7"/>
  <c r="P218" i="6"/>
  <c r="Q218" i="6" s="1"/>
  <c r="O218" i="6"/>
  <c r="N955" i="6"/>
  <c r="A779" i="7"/>
  <c r="P775" i="6"/>
  <c r="Q775" i="6" s="1"/>
  <c r="O775" i="6"/>
  <c r="K673" i="6"/>
  <c r="B677" i="7" s="1"/>
  <c r="K393" i="6"/>
  <c r="B397" i="7" s="1"/>
  <c r="K329" i="6"/>
  <c r="B333" i="7" s="1"/>
  <c r="P247" i="6"/>
  <c r="Q247" i="6" s="1"/>
  <c r="A389" i="7"/>
  <c r="O385" i="6"/>
  <c r="N795" i="6"/>
  <c r="N707" i="6"/>
  <c r="O894" i="6"/>
  <c r="A898" i="7"/>
  <c r="P894" i="6"/>
  <c r="Q894" i="6" s="1"/>
  <c r="K763" i="6"/>
  <c r="B767" i="7" s="1"/>
  <c r="N195" i="6"/>
  <c r="A579" i="7"/>
  <c r="P575" i="6"/>
  <c r="Q575" i="6" s="1"/>
  <c r="O575" i="6"/>
  <c r="N949" i="6"/>
  <c r="A690" i="7"/>
  <c r="O686" i="6"/>
  <c r="P686" i="6"/>
  <c r="Q686" i="6" s="1"/>
  <c r="A724" i="7"/>
  <c r="O720" i="6"/>
  <c r="N457" i="6"/>
  <c r="A109" i="7"/>
  <c r="P105" i="6"/>
  <c r="Q105" i="6" s="1"/>
  <c r="O105" i="6"/>
  <c r="P660" i="6"/>
  <c r="Q660" i="6" s="1"/>
  <c r="K830" i="6"/>
  <c r="B834" i="7" s="1"/>
  <c r="A994" i="7"/>
  <c r="O990" i="6"/>
  <c r="P990" i="6"/>
  <c r="Q990" i="6" s="1"/>
  <c r="N823" i="6"/>
  <c r="K778" i="6"/>
  <c r="B782" i="7" s="1"/>
  <c r="K714" i="6"/>
  <c r="B718" i="7" s="1"/>
  <c r="K844" i="6"/>
  <c r="B848" i="7" s="1"/>
  <c r="K812" i="6"/>
  <c r="B816" i="7" s="1"/>
  <c r="O1000" i="6"/>
  <c r="P1000" i="6"/>
  <c r="Q1000" i="6" s="1"/>
  <c r="A1004" i="7"/>
  <c r="K866" i="6"/>
  <c r="B870" i="7" s="1"/>
  <c r="N987" i="6"/>
  <c r="A993" i="7"/>
  <c r="O989" i="6"/>
  <c r="N932" i="6"/>
  <c r="A821" i="7"/>
  <c r="A751" i="7"/>
  <c r="B716" i="7"/>
  <c r="P712" i="6"/>
  <c r="Q712" i="6" s="1"/>
  <c r="P935" i="6"/>
  <c r="Q935" i="6" s="1"/>
  <c r="A939" i="7"/>
  <c r="O935" i="6"/>
  <c r="N876" i="6"/>
  <c r="P843" i="6"/>
  <c r="Q843" i="6" s="1"/>
  <c r="O843" i="6"/>
  <c r="A847" i="7"/>
  <c r="N727" i="6"/>
  <c r="K696" i="6"/>
  <c r="N998" i="6"/>
  <c r="A262" i="7"/>
  <c r="P258" i="6"/>
  <c r="Q258" i="6" s="1"/>
  <c r="O258" i="6"/>
  <c r="N896" i="6"/>
  <c r="K777" i="6"/>
  <c r="N910" i="6"/>
  <c r="K846" i="6"/>
  <c r="B850" i="7" s="1"/>
  <c r="K750" i="6"/>
  <c r="A655" i="7"/>
  <c r="P651" i="6"/>
  <c r="Q651" i="6" s="1"/>
  <c r="O651" i="6"/>
  <c r="K545" i="6"/>
  <c r="B549" i="7" s="1"/>
  <c r="K433" i="6"/>
  <c r="B437" i="7" s="1"/>
  <c r="K369" i="6"/>
  <c r="B373" i="7" s="1"/>
  <c r="K305" i="6"/>
  <c r="B309" i="7" s="1"/>
  <c r="N849" i="6"/>
  <c r="P857" i="6"/>
  <c r="Q857" i="6" s="1"/>
  <c r="P799" i="6"/>
  <c r="Q799" i="6" s="1"/>
  <c r="N647" i="6"/>
  <c r="N412" i="6"/>
  <c r="N348" i="6"/>
  <c r="N284" i="6"/>
  <c r="A267" i="7"/>
  <c r="O263" i="6"/>
  <c r="N235" i="6"/>
  <c r="N379" i="6"/>
  <c r="N308" i="6"/>
  <c r="A770" i="7"/>
  <c r="O766" i="6"/>
  <c r="P766" i="6"/>
  <c r="Q766" i="6" s="1"/>
  <c r="A613" i="7"/>
  <c r="O609" i="6"/>
  <c r="A410" i="7"/>
  <c r="P406" i="6"/>
  <c r="Q406" i="6" s="1"/>
  <c r="O406" i="6"/>
  <c r="N256" i="6"/>
  <c r="P758" i="6"/>
  <c r="Q758" i="6" s="1"/>
  <c r="N435" i="6"/>
  <c r="N396" i="6"/>
  <c r="A349" i="7"/>
  <c r="P345" i="6"/>
  <c r="Q345" i="6" s="1"/>
  <c r="O345" i="6"/>
  <c r="N307" i="6"/>
  <c r="N178" i="6"/>
  <c r="N146" i="6"/>
  <c r="N114" i="6"/>
  <c r="N82" i="6"/>
  <c r="N50" i="6"/>
  <c r="N18" i="6"/>
  <c r="N907" i="6"/>
  <c r="P692" i="6"/>
  <c r="Q692" i="6" s="1"/>
  <c r="P532" i="6"/>
  <c r="Q532" i="6" s="1"/>
  <c r="N196" i="6"/>
  <c r="N124" i="6"/>
  <c r="N68" i="6"/>
  <c r="N917" i="6"/>
  <c r="N677" i="6"/>
  <c r="N264" i="6"/>
  <c r="N232" i="6"/>
  <c r="K512" i="6"/>
  <c r="K271" i="6"/>
  <c r="B275" i="7" s="1"/>
  <c r="K239" i="6"/>
  <c r="B243" i="7" s="1"/>
  <c r="K207" i="6"/>
  <c r="B211" i="7" s="1"/>
  <c r="N187" i="6"/>
  <c r="N123" i="6"/>
  <c r="N59" i="6"/>
  <c r="P845" i="6"/>
  <c r="Q845" i="6" s="1"/>
  <c r="P600" i="6"/>
  <c r="Q600" i="6" s="1"/>
  <c r="N974" i="6"/>
  <c r="A346" i="7"/>
  <c r="P342" i="6"/>
  <c r="Q342" i="6" s="1"/>
  <c r="O342" i="6"/>
  <c r="N613" i="6"/>
  <c r="A402" i="7"/>
  <c r="P398" i="6"/>
  <c r="Q398" i="6" s="1"/>
  <c r="O398" i="6"/>
  <c r="N732" i="6"/>
  <c r="N470" i="6"/>
  <c r="N356" i="6"/>
  <c r="P127" i="6"/>
  <c r="Q127" i="6" s="1"/>
  <c r="P63" i="6"/>
  <c r="Q63" i="6" s="1"/>
  <c r="P381" i="6"/>
  <c r="Q381" i="6" s="1"/>
  <c r="P175" i="6"/>
  <c r="Q175" i="6" s="1"/>
  <c r="P47" i="6"/>
  <c r="Q47" i="6" s="1"/>
  <c r="P87" i="6"/>
  <c r="Q87" i="6" s="1"/>
  <c r="P357" i="6"/>
  <c r="Q357" i="6" s="1"/>
  <c r="P994" i="6"/>
  <c r="Q994" i="6" s="1"/>
  <c r="A605" i="7" l="1"/>
  <c r="P964" i="6"/>
  <c r="Q964" i="6" s="1"/>
  <c r="P579" i="6"/>
  <c r="Q579" i="6" s="1"/>
  <c r="P9" i="6"/>
  <c r="Q9" i="6" s="1"/>
  <c r="O387" i="6"/>
  <c r="O525" i="6"/>
  <c r="O865" i="6"/>
  <c r="P588" i="6"/>
  <c r="Q588" i="6" s="1"/>
  <c r="P516" i="6"/>
  <c r="Q516" i="6" s="1"/>
  <c r="A758" i="7"/>
  <c r="O754" i="6"/>
  <c r="A977" i="7"/>
  <c r="O973" i="6"/>
  <c r="A435" i="7"/>
  <c r="P431" i="6"/>
  <c r="Q431" i="6" s="1"/>
  <c r="O431" i="6"/>
  <c r="E20" i="7"/>
  <c r="E21" i="7"/>
  <c r="P281" i="6"/>
  <c r="Q281" i="6" s="1"/>
  <c r="P49" i="6"/>
  <c r="Q49" i="6" s="1"/>
  <c r="P506" i="6"/>
  <c r="Q506" i="6" s="1"/>
  <c r="P57" i="6"/>
  <c r="Q57" i="6" s="1"/>
  <c r="P89" i="6"/>
  <c r="Q89" i="6" s="1"/>
  <c r="P319" i="6"/>
  <c r="Q319" i="6" s="1"/>
  <c r="P461" i="6"/>
  <c r="Q461" i="6" s="1"/>
  <c r="P926" i="6"/>
  <c r="Q926" i="6" s="1"/>
  <c r="O395" i="6"/>
  <c r="A622" i="7"/>
  <c r="P838" i="6"/>
  <c r="Q838" i="6" s="1"/>
  <c r="O58" i="6"/>
  <c r="A421" i="7"/>
  <c r="P683" i="6"/>
  <c r="Q683" i="6" s="1"/>
  <c r="P768" i="6"/>
  <c r="Q768" i="6" s="1"/>
  <c r="P633" i="6"/>
  <c r="Q633" i="6" s="1"/>
  <c r="P740" i="6"/>
  <c r="Q740" i="6" s="1"/>
  <c r="P223" i="6"/>
  <c r="Q223" i="6" s="1"/>
  <c r="A192" i="7"/>
  <c r="P35" i="6"/>
  <c r="Q35" i="6" s="1"/>
  <c r="P194" i="6"/>
  <c r="Q194" i="6" s="1"/>
  <c r="P630" i="6"/>
  <c r="Q630" i="6" s="1"/>
  <c r="P363" i="6"/>
  <c r="Q363" i="6" s="1"/>
  <c r="O234" i="6"/>
  <c r="P839" i="6"/>
  <c r="Q839" i="6" s="1"/>
  <c r="A807" i="7"/>
  <c r="P7" i="6"/>
  <c r="Q7" i="6" s="1"/>
  <c r="O372" i="6"/>
  <c r="A391" i="7"/>
  <c r="A167" i="7"/>
  <c r="A529" i="7"/>
  <c r="P797" i="6"/>
  <c r="Q797" i="6" s="1"/>
  <c r="P384" i="6"/>
  <c r="Q384" i="6" s="1"/>
  <c r="O153" i="6"/>
  <c r="P262" i="6"/>
  <c r="Q262" i="6" s="1"/>
  <c r="P879" i="6"/>
  <c r="Q879" i="6" s="1"/>
  <c r="P320" i="6"/>
  <c r="Q320" i="6" s="1"/>
  <c r="P282" i="6"/>
  <c r="Q282" i="6" s="1"/>
  <c r="A225" i="7"/>
  <c r="P205" i="6"/>
  <c r="Q205" i="6" s="1"/>
  <c r="P476" i="6"/>
  <c r="Q476" i="6" s="1"/>
  <c r="A148" i="7"/>
  <c r="P314" i="6"/>
  <c r="Q314" i="6" s="1"/>
  <c r="O245" i="6"/>
  <c r="P572" i="6"/>
  <c r="Q572" i="6" s="1"/>
  <c r="A324" i="7"/>
  <c r="O464" i="6"/>
  <c r="P464" i="6"/>
  <c r="Q464" i="6" s="1"/>
  <c r="A41" i="7"/>
  <c r="P37" i="6"/>
  <c r="Q37" i="6" s="1"/>
  <c r="P368" i="6"/>
  <c r="Q368" i="6" s="1"/>
  <c r="A372" i="7"/>
  <c r="P295" i="6"/>
  <c r="Q295" i="6" s="1"/>
  <c r="A319" i="7"/>
  <c r="O33" i="6"/>
  <c r="P859" i="6"/>
  <c r="Q859" i="6" s="1"/>
  <c r="P533" i="6"/>
  <c r="Q533" i="6" s="1"/>
  <c r="A537" i="7"/>
  <c r="O533" i="6"/>
  <c r="O767" i="6"/>
  <c r="A771" i="7"/>
  <c r="O446" i="6"/>
  <c r="E8" i="7"/>
  <c r="O49" i="6"/>
  <c r="O319" i="6"/>
  <c r="P618" i="6"/>
  <c r="Q618" i="6" s="1"/>
  <c r="O839" i="6"/>
  <c r="P278" i="6"/>
  <c r="Q278" i="6" s="1"/>
  <c r="P534" i="6"/>
  <c r="Q534" i="6" s="1"/>
  <c r="A778" i="7"/>
  <c r="A373" i="7"/>
  <c r="A37" i="7"/>
  <c r="B292" i="7"/>
  <c r="E10" i="7"/>
  <c r="A40" i="7"/>
  <c r="P606" i="6"/>
  <c r="Q606" i="6" s="1"/>
  <c r="B6" i="8"/>
  <c r="B7" i="8" s="1"/>
  <c r="E17" i="7"/>
  <c r="A285" i="7"/>
  <c r="P996" i="6"/>
  <c r="Q996" i="6" s="1"/>
  <c r="O506" i="6"/>
  <c r="P650" i="6"/>
  <c r="Q650" i="6" s="1"/>
  <c r="O89" i="6"/>
  <c r="A930" i="7"/>
  <c r="P217" i="6"/>
  <c r="Q217" i="6" s="1"/>
  <c r="P395" i="6"/>
  <c r="Q395" i="6" s="1"/>
  <c r="P902" i="6"/>
  <c r="Q902" i="6" s="1"/>
  <c r="O838" i="6"/>
  <c r="O366" i="6"/>
  <c r="P58" i="6"/>
  <c r="Q58" i="6" s="1"/>
  <c r="O683" i="6"/>
  <c r="P901" i="6"/>
  <c r="Q901" i="6" s="1"/>
  <c r="O427" i="6"/>
  <c r="O188" i="6"/>
  <c r="P915" i="6"/>
  <c r="Q915" i="6" s="1"/>
  <c r="A198" i="7"/>
  <c r="A634" i="7"/>
  <c r="O363" i="6"/>
  <c r="P658" i="6"/>
  <c r="Q658" i="6" s="1"/>
  <c r="P234" i="6"/>
  <c r="Q234" i="6" s="1"/>
  <c r="P984" i="6"/>
  <c r="Q984" i="6" s="1"/>
  <c r="O113" i="6"/>
  <c r="A376" i="7"/>
  <c r="P530" i="6"/>
  <c r="Q530" i="6" s="1"/>
  <c r="P703" i="6"/>
  <c r="Q703" i="6" s="1"/>
  <c r="P340" i="6"/>
  <c r="Q340" i="6" s="1"/>
  <c r="P153" i="6"/>
  <c r="Q153" i="6" s="1"/>
  <c r="O433" i="6"/>
  <c r="P468" i="6"/>
  <c r="Q468" i="6" s="1"/>
  <c r="P513" i="6"/>
  <c r="Q513" i="6" s="1"/>
  <c r="O840" i="6"/>
  <c r="A615" i="7"/>
  <c r="I7" i="7"/>
  <c r="J7" i="7" s="1"/>
  <c r="P725" i="6"/>
  <c r="Q725" i="6" s="1"/>
  <c r="O282" i="6"/>
  <c r="A302" i="7"/>
  <c r="P595" i="6"/>
  <c r="Q595" i="6" s="1"/>
  <c r="O205" i="6"/>
  <c r="O722" i="6"/>
  <c r="A726" i="7"/>
  <c r="P261" i="6"/>
  <c r="Q261" i="6" s="1"/>
  <c r="O261" i="6"/>
  <c r="A265" i="7"/>
  <c r="A350" i="7"/>
  <c r="P346" i="6"/>
  <c r="Q346" i="6" s="1"/>
  <c r="A598" i="7"/>
  <c r="A458" i="7"/>
  <c r="O126" i="6"/>
  <c r="A130" i="7"/>
  <c r="A187" i="7"/>
  <c r="O183" i="6"/>
  <c r="P263" i="6"/>
  <c r="Q263" i="6" s="1"/>
  <c r="O817" i="6"/>
  <c r="E7" i="7"/>
  <c r="P26" i="6"/>
  <c r="Q26" i="6" s="1"/>
  <c r="A279" i="7"/>
  <c r="P417" i="6"/>
  <c r="Q417" i="6" s="1"/>
  <c r="A702" i="7"/>
  <c r="P202" i="6"/>
  <c r="Q202" i="6" s="1"/>
  <c r="P251" i="6"/>
  <c r="Q251" i="6" s="1"/>
  <c r="B147" i="7"/>
  <c r="A883" i="7"/>
  <c r="P508" i="6"/>
  <c r="Q508" i="6" s="1"/>
  <c r="O221" i="6"/>
  <c r="P584" i="6"/>
  <c r="Q584" i="6" s="1"/>
  <c r="P400" i="6"/>
  <c r="Q400" i="6" s="1"/>
  <c r="P24" i="6"/>
  <c r="Q24" i="6" s="1"/>
  <c r="O314" i="6"/>
  <c r="P6" i="6"/>
  <c r="Q6" i="6" s="1"/>
  <c r="B201" i="7"/>
  <c r="P197" i="6"/>
  <c r="Q197" i="6" s="1"/>
  <c r="A798" i="7"/>
  <c r="O794" i="6"/>
  <c r="A229" i="7"/>
  <c r="O225" i="6"/>
  <c r="P225" i="6"/>
  <c r="Q225" i="6" s="1"/>
  <c r="A846" i="7"/>
  <c r="O842" i="6"/>
  <c r="B162" i="7"/>
  <c r="P158" i="6"/>
  <c r="Q158" i="6" s="1"/>
  <c r="P652" i="6"/>
  <c r="Q652" i="6" s="1"/>
  <c r="P354" i="6"/>
  <c r="Q354" i="6" s="1"/>
  <c r="P624" i="6"/>
  <c r="Q624" i="6" s="1"/>
  <c r="A628" i="7"/>
  <c r="O624" i="6"/>
  <c r="P691" i="6"/>
  <c r="Q691" i="6" s="1"/>
  <c r="P794" i="6"/>
  <c r="Q794" i="6" s="1"/>
  <c r="A450" i="7"/>
  <c r="P36" i="6"/>
  <c r="Q36" i="6" s="1"/>
  <c r="O747" i="6"/>
  <c r="E11" i="7"/>
  <c r="E14" i="7"/>
  <c r="P371" i="6"/>
  <c r="Q371" i="6" s="1"/>
  <c r="P436" i="6"/>
  <c r="Q436" i="6" s="1"/>
  <c r="O996" i="6"/>
  <c r="O52" i="6"/>
  <c r="O650" i="6"/>
  <c r="O930" i="6"/>
  <c r="O217" i="6"/>
  <c r="O902" i="6"/>
  <c r="P366" i="6"/>
  <c r="Q366" i="6" s="1"/>
  <c r="O243" i="6"/>
  <c r="P364" i="6"/>
  <c r="Q364" i="6" s="1"/>
  <c r="O770" i="6"/>
  <c r="O665" i="6"/>
  <c r="A252" i="7"/>
  <c r="P444" i="6"/>
  <c r="Q444" i="6" s="1"/>
  <c r="P914" i="6"/>
  <c r="Q914" i="6" s="1"/>
  <c r="P427" i="6"/>
  <c r="Q427" i="6" s="1"/>
  <c r="P784" i="6"/>
  <c r="Q784" i="6" s="1"/>
  <c r="P860" i="6"/>
  <c r="Q860" i="6" s="1"/>
  <c r="O915" i="6"/>
  <c r="O451" i="6"/>
  <c r="P332" i="6"/>
  <c r="Q332" i="6" s="1"/>
  <c r="O658" i="6"/>
  <c r="P113" i="6"/>
  <c r="Q113" i="6" s="1"/>
  <c r="P690" i="6"/>
  <c r="Q690" i="6" s="1"/>
  <c r="O530" i="6"/>
  <c r="P17" i="6"/>
  <c r="Q17" i="6" s="1"/>
  <c r="A707" i="7"/>
  <c r="O340" i="6"/>
  <c r="P840" i="6"/>
  <c r="Q840" i="6" s="1"/>
  <c r="P121" i="6"/>
  <c r="Q121" i="6" s="1"/>
  <c r="O53" i="6"/>
  <c r="P407" i="6"/>
  <c r="Q407" i="6" s="1"/>
  <c r="O595" i="6"/>
  <c r="P895" i="6"/>
  <c r="Q895" i="6" s="1"/>
  <c r="P53" i="6"/>
  <c r="Q53" i="6" s="1"/>
  <c r="P157" i="6"/>
  <c r="Q157" i="6" s="1"/>
  <c r="P378" i="6"/>
  <c r="Q378" i="6" s="1"/>
  <c r="A738" i="7"/>
  <c r="O734" i="6"/>
  <c r="O814" i="6"/>
  <c r="A818" i="7"/>
  <c r="A664" i="7"/>
  <c r="O660" i="6"/>
  <c r="P159" i="6"/>
  <c r="Q159" i="6" s="1"/>
  <c r="A163" i="7"/>
  <c r="O159" i="6"/>
  <c r="B177" i="7"/>
  <c r="P173" i="6"/>
  <c r="Q173" i="6" s="1"/>
  <c r="O627" i="6"/>
  <c r="A631" i="7"/>
  <c r="B616" i="7"/>
  <c r="P612" i="6"/>
  <c r="Q612" i="6" s="1"/>
  <c r="P312" i="6"/>
  <c r="Q312" i="6" s="1"/>
  <c r="B60" i="7"/>
  <c r="P56" i="6"/>
  <c r="Q56" i="6" s="1"/>
  <c r="P327" i="6"/>
  <c r="Q327" i="6" s="1"/>
  <c r="O327" i="6"/>
  <c r="A331" i="7"/>
  <c r="P198" i="6"/>
  <c r="Q198" i="6" s="1"/>
  <c r="A202" i="7"/>
  <c r="O198" i="6"/>
  <c r="B25" i="7"/>
  <c r="P21" i="6"/>
  <c r="Q21" i="6" s="1"/>
  <c r="O254" i="6"/>
  <c r="A258" i="7"/>
  <c r="A473" i="7"/>
  <c r="O469" i="6"/>
  <c r="O786" i="6"/>
  <c r="A790" i="7"/>
  <c r="A251" i="7"/>
  <c r="P274" i="6"/>
  <c r="Q274" i="6" s="1"/>
  <c r="P529" i="6"/>
  <c r="Q529" i="6" s="1"/>
  <c r="P908" i="6"/>
  <c r="Q908" i="6" s="1"/>
  <c r="O584" i="6"/>
  <c r="A516" i="7"/>
  <c r="O512" i="6"/>
  <c r="P592" i="6"/>
  <c r="Q592" i="6" s="1"/>
  <c r="O592" i="6"/>
  <c r="A596" i="7"/>
  <c r="P439" i="6"/>
  <c r="Q439" i="6" s="1"/>
  <c r="A6" i="7"/>
  <c r="P806" i="6"/>
  <c r="Q806" i="6" s="1"/>
  <c r="P71" i="6"/>
  <c r="Q71" i="6" s="1"/>
  <c r="E18" i="7"/>
  <c r="P300" i="6"/>
  <c r="Q300" i="6" s="1"/>
  <c r="P571" i="6"/>
  <c r="Q571" i="6" s="1"/>
  <c r="P415" i="6"/>
  <c r="Q415" i="6" s="1"/>
  <c r="P208" i="6"/>
  <c r="Q208" i="6" s="1"/>
  <c r="P590" i="6"/>
  <c r="Q590" i="6" s="1"/>
  <c r="P103" i="6"/>
  <c r="Q103" i="6" s="1"/>
  <c r="P137" i="6"/>
  <c r="Q137" i="6" s="1"/>
  <c r="P425" i="6"/>
  <c r="Q425" i="6" s="1"/>
  <c r="P649" i="6"/>
  <c r="Q649" i="6" s="1"/>
  <c r="P767" i="6"/>
  <c r="Q767" i="6" s="1"/>
  <c r="P980" i="6"/>
  <c r="Q980" i="6" s="1"/>
  <c r="B19" i="7"/>
  <c r="P889" i="6"/>
  <c r="Q889" i="6" s="1"/>
  <c r="P903" i="6"/>
  <c r="Q903" i="6" s="1"/>
  <c r="P190" i="6"/>
  <c r="Q190" i="6" s="1"/>
  <c r="P482" i="6"/>
  <c r="Q482" i="6" s="1"/>
  <c r="P306" i="6"/>
  <c r="Q306" i="6" s="1"/>
  <c r="P183" i="6"/>
  <c r="Q183" i="6" s="1"/>
  <c r="A84" i="7"/>
  <c r="P80" i="6"/>
  <c r="Q80" i="6" s="1"/>
  <c r="O80" i="6"/>
  <c r="A332" i="7"/>
  <c r="O328" i="6"/>
  <c r="A543" i="7"/>
  <c r="P539" i="6"/>
  <c r="Q539" i="6" s="1"/>
  <c r="P559" i="6"/>
  <c r="Q559" i="6" s="1"/>
  <c r="O559" i="6"/>
  <c r="A563" i="7"/>
  <c r="O40" i="6"/>
  <c r="A44" i="7"/>
  <c r="B116" i="7"/>
  <c r="P112" i="6"/>
  <c r="Q112" i="6" s="1"/>
  <c r="A508" i="7"/>
  <c r="O504" i="6"/>
  <c r="A640" i="7"/>
  <c r="O636" i="6"/>
  <c r="P291" i="6"/>
  <c r="Q291" i="6" s="1"/>
  <c r="O675" i="6"/>
  <c r="P409" i="6"/>
  <c r="Q409" i="6" s="1"/>
  <c r="O904" i="6"/>
  <c r="P255" i="6"/>
  <c r="Q255" i="6" s="1"/>
  <c r="B484" i="7"/>
  <c r="P480" i="6"/>
  <c r="Q480" i="6" s="1"/>
  <c r="P144" i="6"/>
  <c r="Q144" i="6" s="1"/>
  <c r="A17" i="7"/>
  <c r="P13" i="6"/>
  <c r="Q13" i="6" s="1"/>
  <c r="O13" i="6"/>
  <c r="P614" i="6"/>
  <c r="Q614" i="6" s="1"/>
  <c r="P76" i="6"/>
  <c r="Q76" i="6" s="1"/>
  <c r="O569" i="6"/>
  <c r="P81" i="6"/>
  <c r="Q81" i="6" s="1"/>
  <c r="P657" i="6"/>
  <c r="Q657" i="6" s="1"/>
  <c r="A498" i="7"/>
  <c r="O494" i="6"/>
  <c r="P494" i="6"/>
  <c r="Q494" i="6" s="1"/>
  <c r="B460" i="7"/>
  <c r="P456" i="6"/>
  <c r="Q456" i="6" s="1"/>
  <c r="A600" i="7"/>
  <c r="O596" i="6"/>
  <c r="O570" i="6"/>
  <c r="O76" i="6"/>
  <c r="A542" i="7"/>
  <c r="P272" i="6"/>
  <c r="Q272" i="6" s="1"/>
  <c r="P474" i="6"/>
  <c r="Q474" i="6" s="1"/>
  <c r="O602" i="6"/>
  <c r="P511" i="6"/>
  <c r="Q511" i="6" s="1"/>
  <c r="O355" i="6"/>
  <c r="P473" i="6"/>
  <c r="Q473" i="6" s="1"/>
  <c r="P569" i="6"/>
  <c r="Q569" i="6" s="1"/>
  <c r="P297" i="6"/>
  <c r="Q297" i="6" s="1"/>
  <c r="O866" i="6"/>
  <c r="P20" i="6"/>
  <c r="Q20" i="6" s="1"/>
  <c r="O938" i="6"/>
  <c r="O12" i="6"/>
  <c r="O353" i="6"/>
  <c r="O380" i="6"/>
  <c r="A908" i="7"/>
  <c r="A526" i="7"/>
  <c r="O236" i="6"/>
  <c r="P605" i="6"/>
  <c r="Q605" i="6" s="1"/>
  <c r="P369" i="6"/>
  <c r="Q369" i="6" s="1"/>
  <c r="O460" i="6"/>
  <c r="O73" i="6"/>
  <c r="A729" i="7"/>
  <c r="P161" i="6"/>
  <c r="Q161" i="6" s="1"/>
  <c r="P411" i="6"/>
  <c r="Q411" i="6" s="1"/>
  <c r="B284" i="7"/>
  <c r="P280" i="6"/>
  <c r="Q280" i="6" s="1"/>
  <c r="P229" i="6"/>
  <c r="Q229" i="6" s="1"/>
  <c r="O229" i="6"/>
  <c r="A233" i="7"/>
  <c r="P64" i="6"/>
  <c r="Q64" i="6" s="1"/>
  <c r="O64" i="6"/>
  <c r="A68" i="7"/>
  <c r="B548" i="7"/>
  <c r="P544" i="6"/>
  <c r="Q544" i="6" s="1"/>
  <c r="A735" i="7"/>
  <c r="O731" i="6"/>
  <c r="P731" i="6"/>
  <c r="Q731" i="6" s="1"/>
  <c r="O389" i="6"/>
  <c r="A393" i="7"/>
  <c r="P440" i="6"/>
  <c r="Q440" i="6" s="1"/>
  <c r="P636" i="6"/>
  <c r="Q636" i="6" s="1"/>
  <c r="O208" i="6"/>
  <c r="O84" i="6"/>
  <c r="P835" i="6"/>
  <c r="Q835" i="6" s="1"/>
  <c r="P433" i="6"/>
  <c r="Q433" i="6" s="1"/>
  <c r="P733" i="6"/>
  <c r="Q733" i="6" s="1"/>
  <c r="B12" i="7"/>
  <c r="P8" i="6"/>
  <c r="Q8" i="6" s="1"/>
  <c r="O735" i="6"/>
  <c r="A739" i="7"/>
  <c r="A909" i="7"/>
  <c r="O905" i="6"/>
  <c r="P402" i="6"/>
  <c r="Q402" i="6" s="1"/>
  <c r="O402" i="6"/>
  <c r="A406" i="7"/>
  <c r="P989" i="6"/>
  <c r="Q989" i="6" s="1"/>
  <c r="P716" i="6"/>
  <c r="Q716" i="6" s="1"/>
  <c r="O172" i="6"/>
  <c r="A514" i="7"/>
  <c r="A228" i="7"/>
  <c r="A104" i="7"/>
  <c r="P736" i="6"/>
  <c r="Q736" i="6" s="1"/>
  <c r="P825" i="6"/>
  <c r="Q825" i="6" s="1"/>
  <c r="A574" i="7"/>
  <c r="O671" i="6"/>
  <c r="P449" i="6"/>
  <c r="Q449" i="6" s="1"/>
  <c r="O474" i="6"/>
  <c r="A606" i="7"/>
  <c r="P92" i="6"/>
  <c r="Q92" i="6" s="1"/>
  <c r="A515" i="7"/>
  <c r="A894" i="7"/>
  <c r="P355" i="6"/>
  <c r="Q355" i="6" s="1"/>
  <c r="P742" i="6"/>
  <c r="Q742" i="6" s="1"/>
  <c r="P988" i="6"/>
  <c r="Q988" i="6" s="1"/>
  <c r="P782" i="6"/>
  <c r="Q782" i="6" s="1"/>
  <c r="A24" i="7"/>
  <c r="P938" i="6"/>
  <c r="Q938" i="6" s="1"/>
  <c r="P140" i="6"/>
  <c r="Q140" i="6" s="1"/>
  <c r="P353" i="6"/>
  <c r="Q353" i="6" s="1"/>
  <c r="O772" i="6"/>
  <c r="P199" i="6"/>
  <c r="Q199" i="6" s="1"/>
  <c r="P808" i="6"/>
  <c r="Q808" i="6" s="1"/>
  <c r="A766" i="7"/>
  <c r="P156" i="6"/>
  <c r="Q156" i="6" s="1"/>
  <c r="P585" i="6"/>
  <c r="Q585" i="6" s="1"/>
  <c r="P924" i="6"/>
  <c r="Q924" i="6" s="1"/>
  <c r="O662" i="6"/>
  <c r="A609" i="7"/>
  <c r="A464" i="7"/>
  <c r="P977" i="6"/>
  <c r="Q977" i="6" s="1"/>
  <c r="O781" i="6"/>
  <c r="P73" i="6"/>
  <c r="Q73" i="6" s="1"/>
  <c r="P681" i="6"/>
  <c r="Q681" i="6" s="1"/>
  <c r="O411" i="6"/>
  <c r="P927" i="6"/>
  <c r="Q927" i="6" s="1"/>
  <c r="O852" i="6"/>
  <c r="A646" i="7"/>
  <c r="O642" i="6"/>
  <c r="P642" i="6"/>
  <c r="Q642" i="6" s="1"/>
  <c r="B353" i="7"/>
  <c r="P349" i="6"/>
  <c r="Q349" i="6" s="1"/>
  <c r="A544" i="7"/>
  <c r="O540" i="6"/>
  <c r="P540" i="6"/>
  <c r="Q540" i="6" s="1"/>
  <c r="O640" i="6"/>
  <c r="P640" i="6"/>
  <c r="Q640" i="6" s="1"/>
  <c r="A644" i="7"/>
  <c r="B672" i="7"/>
  <c r="P668" i="6"/>
  <c r="Q668" i="6" s="1"/>
  <c r="A500" i="7"/>
  <c r="O496" i="6"/>
  <c r="P496" i="6"/>
  <c r="Q496" i="6" s="1"/>
  <c r="O825" i="6"/>
  <c r="A829" i="7"/>
  <c r="P192" i="6"/>
  <c r="Q192" i="6" s="1"/>
  <c r="O192" i="6"/>
  <c r="A196" i="7"/>
  <c r="P322" i="6"/>
  <c r="Q322" i="6" s="1"/>
  <c r="A326" i="7"/>
  <c r="O322" i="6"/>
  <c r="A659" i="7"/>
  <c r="O655" i="6"/>
  <c r="B648" i="7"/>
  <c r="P644" i="6"/>
  <c r="Q644" i="6" s="1"/>
  <c r="P246" i="6"/>
  <c r="Q246" i="6" s="1"/>
  <c r="P16" i="6"/>
  <c r="Q16" i="6" s="1"/>
  <c r="P560" i="6"/>
  <c r="Q560" i="6" s="1"/>
  <c r="A564" i="7"/>
  <c r="O560" i="6"/>
  <c r="O432" i="6"/>
  <c r="P432" i="6"/>
  <c r="Q432" i="6" s="1"/>
  <c r="A436" i="7"/>
  <c r="O631" i="6"/>
  <c r="A635" i="7"/>
  <c r="P463" i="6"/>
  <c r="Q463" i="6" s="1"/>
  <c r="O463" i="6"/>
  <c r="A467" i="7"/>
  <c r="A595" i="7"/>
  <c r="P591" i="6"/>
  <c r="Q591" i="6" s="1"/>
  <c r="O591" i="6"/>
  <c r="A825" i="7"/>
  <c r="O821" i="6"/>
  <c r="A873" i="7"/>
  <c r="O869" i="6"/>
  <c r="O564" i="6"/>
  <c r="A568" i="7"/>
  <c r="O793" i="6"/>
  <c r="A797" i="7"/>
  <c r="B11" i="8"/>
  <c r="O255" i="6"/>
  <c r="O309" i="6"/>
  <c r="P309" i="6"/>
  <c r="Q309" i="6" s="1"/>
  <c r="A313" i="7"/>
  <c r="P304" i="6"/>
  <c r="Q304" i="6" s="1"/>
  <c r="O304" i="6"/>
  <c r="A308" i="7"/>
  <c r="O818" i="6"/>
  <c r="A822" i="7"/>
  <c r="O473" i="6"/>
  <c r="B324" i="7"/>
  <c r="P52" i="6"/>
  <c r="Q52" i="6" s="1"/>
  <c r="P634" i="6"/>
  <c r="Q634" i="6" s="1"/>
  <c r="P60" i="6"/>
  <c r="Q60" i="6" s="1"/>
  <c r="P164" i="6"/>
  <c r="Q164" i="6" s="1"/>
  <c r="P671" i="6"/>
  <c r="Q671" i="6" s="1"/>
  <c r="P930" i="6"/>
  <c r="Q930" i="6" s="1"/>
  <c r="O92" i="6"/>
  <c r="P441" i="6"/>
  <c r="Q441" i="6" s="1"/>
  <c r="O890" i="6"/>
  <c r="P420" i="6"/>
  <c r="Q420" i="6" s="1"/>
  <c r="P248" i="6"/>
  <c r="Q248" i="6" s="1"/>
  <c r="A744" i="7"/>
  <c r="O988" i="6"/>
  <c r="P741" i="6"/>
  <c r="Q741" i="6" s="1"/>
  <c r="O140" i="6"/>
  <c r="P772" i="6"/>
  <c r="Q772" i="6" s="1"/>
  <c r="P240" i="6"/>
  <c r="Q240" i="6" s="1"/>
  <c r="O762" i="6"/>
  <c r="O323" i="6"/>
  <c r="A160" i="7"/>
  <c r="P972" i="6"/>
  <c r="Q972" i="6" s="1"/>
  <c r="O585" i="6"/>
  <c r="A666" i="7"/>
  <c r="P389" i="6"/>
  <c r="Q389" i="6" s="1"/>
  <c r="P781" i="6"/>
  <c r="Q781" i="6" s="1"/>
  <c r="O681" i="6"/>
  <c r="P852" i="6"/>
  <c r="Q852" i="6" s="1"/>
  <c r="O611" i="6"/>
  <c r="P985" i="6"/>
  <c r="Q985" i="6" s="1"/>
  <c r="B76" i="7"/>
  <c r="P72" i="6"/>
  <c r="Q72" i="6" s="1"/>
  <c r="B580" i="7"/>
  <c r="P576" i="6"/>
  <c r="Q576" i="6" s="1"/>
  <c r="A145" i="7"/>
  <c r="P141" i="6"/>
  <c r="Q141" i="6" s="1"/>
  <c r="O141" i="6"/>
  <c r="A156" i="7"/>
  <c r="P152" i="6"/>
  <c r="Q152" i="6" s="1"/>
  <c r="O152" i="6"/>
  <c r="P501" i="6"/>
  <c r="Q501" i="6" s="1"/>
  <c r="A505" i="7"/>
  <c r="O501" i="6"/>
  <c r="B294" i="7"/>
  <c r="P290" i="6"/>
  <c r="Q290" i="6" s="1"/>
  <c r="P237" i="6"/>
  <c r="Q237" i="6" s="1"/>
  <c r="A241" i="7"/>
  <c r="O237" i="6"/>
  <c r="P408" i="6"/>
  <c r="Q408" i="6" s="1"/>
  <c r="A830" i="7"/>
  <c r="P826" i="6"/>
  <c r="Q826" i="6" s="1"/>
  <c r="O826" i="6"/>
  <c r="P495" i="6"/>
  <c r="Q495" i="6" s="1"/>
  <c r="A499" i="7"/>
  <c r="O495" i="6"/>
  <c r="A781" i="7"/>
  <c r="O777" i="6"/>
  <c r="P29" i="6"/>
  <c r="Q29" i="6" s="1"/>
  <c r="P5" i="6"/>
  <c r="Q5" i="6" s="1"/>
  <c r="P515" i="6"/>
  <c r="Q515" i="6" s="1"/>
  <c r="P538" i="6"/>
  <c r="Q538" i="6" s="1"/>
  <c r="O802" i="6"/>
  <c r="O324" i="6"/>
  <c r="O522" i="6"/>
  <c r="P892" i="6"/>
  <c r="Q892" i="6" s="1"/>
  <c r="O725" i="6"/>
  <c r="B692" i="7"/>
  <c r="P688" i="6"/>
  <c r="Q688" i="6" s="1"/>
  <c r="O423" i="6"/>
  <c r="P423" i="6"/>
  <c r="Q423" i="6" s="1"/>
  <c r="A427" i="7"/>
  <c r="B547" i="7"/>
  <c r="P543" i="6"/>
  <c r="Q543" i="6" s="1"/>
  <c r="A456" i="7"/>
  <c r="P452" i="6"/>
  <c r="Q452" i="6" s="1"/>
  <c r="O452" i="6"/>
  <c r="O510" i="6"/>
  <c r="B390" i="7"/>
  <c r="P386" i="6"/>
  <c r="Q386" i="6" s="1"/>
  <c r="P172" i="6"/>
  <c r="Q172" i="6" s="1"/>
  <c r="P270" i="6"/>
  <c r="Q270" i="6" s="1"/>
  <c r="P720" i="6"/>
  <c r="Q720" i="6" s="1"/>
  <c r="P299" i="6"/>
  <c r="Q299" i="6" s="1"/>
  <c r="P749" i="6"/>
  <c r="Q749" i="6" s="1"/>
  <c r="P735" i="6"/>
  <c r="Q735" i="6" s="1"/>
  <c r="P881" i="6"/>
  <c r="Q881" i="6" s="1"/>
  <c r="P361" i="6"/>
  <c r="Q361" i="6" s="1"/>
  <c r="P913" i="6"/>
  <c r="Q913" i="6" s="1"/>
  <c r="P885" i="6"/>
  <c r="Q885" i="6" s="1"/>
  <c r="P564" i="6"/>
  <c r="Q564" i="6" s="1"/>
  <c r="P760" i="6"/>
  <c r="Q760" i="6" s="1"/>
  <c r="O678" i="6"/>
  <c r="P678" i="6"/>
  <c r="Q678" i="6" s="1"/>
  <c r="A682" i="7"/>
  <c r="B833" i="7"/>
  <c r="P829" i="6"/>
  <c r="Q829" i="6" s="1"/>
  <c r="A835" i="7"/>
  <c r="O831" i="6"/>
  <c r="P831" i="6"/>
  <c r="Q831" i="6" s="1"/>
  <c r="B124" i="7"/>
  <c r="P120" i="6"/>
  <c r="Q120" i="6" s="1"/>
  <c r="A504" i="7"/>
  <c r="O500" i="6"/>
  <c r="O270" i="6"/>
  <c r="A274" i="7"/>
  <c r="A665" i="7"/>
  <c r="O661" i="6"/>
  <c r="P661" i="6"/>
  <c r="Q661" i="6" s="1"/>
  <c r="O418" i="6"/>
  <c r="A422" i="7"/>
  <c r="P418" i="6"/>
  <c r="Q418" i="6" s="1"/>
  <c r="O390" i="6"/>
  <c r="A394" i="7"/>
  <c r="O563" i="6"/>
  <c r="P563" i="6"/>
  <c r="Q563" i="6" s="1"/>
  <c r="A567" i="7"/>
  <c r="A360" i="7"/>
  <c r="O356" i="6"/>
  <c r="P356" i="6"/>
  <c r="Q356" i="6" s="1"/>
  <c r="A268" i="7"/>
  <c r="O264" i="6"/>
  <c r="P264" i="6"/>
  <c r="Q264" i="6" s="1"/>
  <c r="P907" i="6"/>
  <c r="Q907" i="6" s="1"/>
  <c r="A911" i="7"/>
  <c r="O907" i="6"/>
  <c r="O308" i="6"/>
  <c r="P308" i="6"/>
  <c r="Q308" i="6" s="1"/>
  <c r="A312" i="7"/>
  <c r="A416" i="7"/>
  <c r="O412" i="6"/>
  <c r="P412" i="6"/>
  <c r="Q412" i="6" s="1"/>
  <c r="A900" i="7"/>
  <c r="O896" i="6"/>
  <c r="P896" i="6"/>
  <c r="Q896" i="6" s="1"/>
  <c r="A959" i="7"/>
  <c r="O955" i="6"/>
  <c r="P955" i="6"/>
  <c r="Q955" i="6" s="1"/>
  <c r="A767" i="7"/>
  <c r="P763" i="6"/>
  <c r="Q763" i="6" s="1"/>
  <c r="O763" i="6"/>
  <c r="B866" i="7"/>
  <c r="P862" i="6"/>
  <c r="Q862" i="6" s="1"/>
  <c r="A87" i="7"/>
  <c r="P83" i="6"/>
  <c r="Q83" i="6" s="1"/>
  <c r="O83" i="6"/>
  <c r="B790" i="7"/>
  <c r="P786" i="6"/>
  <c r="Q786" i="6" s="1"/>
  <c r="B738" i="7"/>
  <c r="P734" i="6"/>
  <c r="Q734" i="6" s="1"/>
  <c r="A7" i="7"/>
  <c r="O3" i="6"/>
  <c r="P3" i="6"/>
  <c r="Q3" i="6" s="1"/>
  <c r="A493" i="7"/>
  <c r="O489" i="6"/>
  <c r="P489" i="6"/>
  <c r="Q489" i="6" s="1"/>
  <c r="P207" i="6"/>
  <c r="Q207" i="6" s="1"/>
  <c r="A31" i="7"/>
  <c r="P27" i="6"/>
  <c r="Q27" i="6" s="1"/>
  <c r="O27" i="6"/>
  <c r="A119" i="7"/>
  <c r="O115" i="6"/>
  <c r="P115" i="6"/>
  <c r="Q115" i="6" s="1"/>
  <c r="A474" i="7"/>
  <c r="P470" i="6"/>
  <c r="Q470" i="6" s="1"/>
  <c r="O470" i="6"/>
  <c r="A681" i="7"/>
  <c r="P677" i="6"/>
  <c r="Q677" i="6" s="1"/>
  <c r="O677" i="6"/>
  <c r="A22" i="7"/>
  <c r="P18" i="6"/>
  <c r="Q18" i="6" s="1"/>
  <c r="O18" i="6"/>
  <c r="A383" i="7"/>
  <c r="O379" i="6"/>
  <c r="P379" i="6"/>
  <c r="Q379" i="6" s="1"/>
  <c r="A651" i="7"/>
  <c r="P647" i="6"/>
  <c r="Q647" i="6" s="1"/>
  <c r="O647" i="6"/>
  <c r="A953" i="7"/>
  <c r="P949" i="6"/>
  <c r="Q949" i="6" s="1"/>
  <c r="O949" i="6"/>
  <c r="A809" i="7"/>
  <c r="P805" i="6"/>
  <c r="Q805" i="6" s="1"/>
  <c r="O805" i="6"/>
  <c r="A970" i="7"/>
  <c r="O966" i="6"/>
  <c r="P966" i="6"/>
  <c r="Q966" i="6" s="1"/>
  <c r="A903" i="7"/>
  <c r="P899" i="6"/>
  <c r="Q899" i="6" s="1"/>
  <c r="O899" i="6"/>
  <c r="A151" i="7"/>
  <c r="P147" i="6"/>
  <c r="Q147" i="6" s="1"/>
  <c r="O147" i="6"/>
  <c r="A891" i="7"/>
  <c r="P887" i="6"/>
  <c r="Q887" i="6" s="1"/>
  <c r="O887" i="6"/>
  <c r="A71" i="7"/>
  <c r="P67" i="6"/>
  <c r="Q67" i="6" s="1"/>
  <c r="O67" i="6"/>
  <c r="B822" i="7"/>
  <c r="P818" i="6"/>
  <c r="Q818" i="6" s="1"/>
  <c r="P844" i="6"/>
  <c r="Q844" i="6" s="1"/>
  <c r="A72" i="7"/>
  <c r="O68" i="6"/>
  <c r="P68" i="6"/>
  <c r="Q68" i="6" s="1"/>
  <c r="A86" i="7"/>
  <c r="P82" i="6"/>
  <c r="Q82" i="6" s="1"/>
  <c r="O82" i="6"/>
  <c r="A400" i="7"/>
  <c r="O396" i="6"/>
  <c r="P396" i="6"/>
  <c r="Q396" i="6" s="1"/>
  <c r="A827" i="7"/>
  <c r="O823" i="6"/>
  <c r="P823" i="6"/>
  <c r="Q823" i="6" s="1"/>
  <c r="A799" i="7"/>
  <c r="O795" i="6"/>
  <c r="P795" i="6"/>
  <c r="Q795" i="6" s="1"/>
  <c r="A224" i="7"/>
  <c r="O220" i="6"/>
  <c r="P220" i="6"/>
  <c r="Q220" i="6" s="1"/>
  <c r="A264" i="7"/>
  <c r="O260" i="6"/>
  <c r="P260" i="6"/>
  <c r="Q260" i="6" s="1"/>
  <c r="A248" i="7"/>
  <c r="O244" i="6"/>
  <c r="P244" i="6"/>
  <c r="Q244" i="6" s="1"/>
  <c r="E11" i="3"/>
  <c r="B16" i="3" s="1"/>
  <c r="D5" i="10" s="1"/>
  <c r="I5" i="3"/>
  <c r="I11" i="3" s="1"/>
  <c r="B20" i="3" s="1"/>
  <c r="D9" i="10" s="1"/>
  <c r="A457" i="7"/>
  <c r="P453" i="6"/>
  <c r="Q453" i="6" s="1"/>
  <c r="O453" i="6"/>
  <c r="P321" i="6"/>
  <c r="Q321" i="6" s="1"/>
  <c r="A787" i="7"/>
  <c r="O783" i="6"/>
  <c r="P783" i="6"/>
  <c r="Q783" i="6" s="1"/>
  <c r="A915" i="7"/>
  <c r="P911" i="6"/>
  <c r="Q911" i="6" s="1"/>
  <c r="O911" i="6"/>
  <c r="P239" i="6"/>
  <c r="Q239" i="6" s="1"/>
  <c r="O124" i="6"/>
  <c r="A128" i="7"/>
  <c r="P124" i="6"/>
  <c r="Q124" i="6" s="1"/>
  <c r="A118" i="7"/>
  <c r="P114" i="6"/>
  <c r="Q114" i="6" s="1"/>
  <c r="O114" i="6"/>
  <c r="A439" i="7"/>
  <c r="O435" i="6"/>
  <c r="P435" i="6"/>
  <c r="Q435" i="6" s="1"/>
  <c r="A853" i="7"/>
  <c r="P849" i="6"/>
  <c r="Q849" i="6" s="1"/>
  <c r="O849" i="6"/>
  <c r="B754" i="7"/>
  <c r="P750" i="6"/>
  <c r="Q750" i="6" s="1"/>
  <c r="A1002" i="7"/>
  <c r="O998" i="6"/>
  <c r="P998" i="6"/>
  <c r="Q998" i="6" s="1"/>
  <c r="A461" i="7"/>
  <c r="O457" i="6"/>
  <c r="P457" i="6"/>
  <c r="Q457" i="6" s="1"/>
  <c r="D10" i="10"/>
  <c r="B23" i="3"/>
  <c r="O931" i="6"/>
  <c r="A935" i="7"/>
  <c r="P931" i="6"/>
  <c r="Q931" i="6" s="1"/>
  <c r="P393" i="6"/>
  <c r="Q393" i="6" s="1"/>
  <c r="P811" i="6"/>
  <c r="Q811" i="6" s="1"/>
  <c r="O811" i="6"/>
  <c r="A815" i="7"/>
  <c r="P551" i="6"/>
  <c r="Q551" i="6" s="1"/>
  <c r="O551" i="6"/>
  <c r="A555" i="7"/>
  <c r="I8" i="7"/>
  <c r="J8" i="7" s="1"/>
  <c r="A272" i="7"/>
  <c r="O268" i="6"/>
  <c r="P268" i="6"/>
  <c r="Q268" i="6" s="1"/>
  <c r="A895" i="7"/>
  <c r="P891" i="6"/>
  <c r="Q891" i="6" s="1"/>
  <c r="O891" i="6"/>
  <c r="P812" i="6"/>
  <c r="Q812" i="6" s="1"/>
  <c r="P866" i="6"/>
  <c r="Q866" i="6" s="1"/>
  <c r="A750" i="7"/>
  <c r="P746" i="6"/>
  <c r="Q746" i="6" s="1"/>
  <c r="O746" i="6"/>
  <c r="A15" i="7"/>
  <c r="P11" i="6"/>
  <c r="Q11" i="6" s="1"/>
  <c r="O11" i="6"/>
  <c r="P873" i="6"/>
  <c r="Q873" i="6" s="1"/>
  <c r="A63" i="7"/>
  <c r="O59" i="6"/>
  <c r="P59" i="6"/>
  <c r="Q59" i="6" s="1"/>
  <c r="O196" i="6"/>
  <c r="A200" i="7"/>
  <c r="P196" i="6"/>
  <c r="Q196" i="6" s="1"/>
  <c r="A150" i="7"/>
  <c r="P146" i="6"/>
  <c r="Q146" i="6" s="1"/>
  <c r="O146" i="6"/>
  <c r="B700" i="7"/>
  <c r="P696" i="6"/>
  <c r="Q696" i="6" s="1"/>
  <c r="A199" i="7"/>
  <c r="P195" i="6"/>
  <c r="Q195" i="6" s="1"/>
  <c r="O195" i="6"/>
  <c r="P385" i="6"/>
  <c r="Q385" i="6" s="1"/>
  <c r="A855" i="7"/>
  <c r="O851" i="6"/>
  <c r="P851" i="6"/>
  <c r="Q851" i="6" s="1"/>
  <c r="P377" i="6"/>
  <c r="Q377" i="6" s="1"/>
  <c r="A782" i="7"/>
  <c r="P778" i="6"/>
  <c r="Q778" i="6" s="1"/>
  <c r="O778" i="6"/>
  <c r="I6" i="7"/>
  <c r="J6" i="7" s="1"/>
  <c r="P830" i="6"/>
  <c r="Q830" i="6" s="1"/>
  <c r="A879" i="7"/>
  <c r="P875" i="6"/>
  <c r="Q875" i="6" s="1"/>
  <c r="O875" i="6"/>
  <c r="P791" i="6"/>
  <c r="Q791" i="6" s="1"/>
  <c r="A79" i="7"/>
  <c r="P75" i="6"/>
  <c r="Q75" i="6" s="1"/>
  <c r="O75" i="6"/>
  <c r="A47" i="7"/>
  <c r="O43" i="6"/>
  <c r="P43" i="6"/>
  <c r="Q43" i="6" s="1"/>
  <c r="A95" i="7"/>
  <c r="P91" i="6"/>
  <c r="Q91" i="6" s="1"/>
  <c r="O91" i="6"/>
  <c r="A491" i="7"/>
  <c r="P487" i="6"/>
  <c r="Q487" i="6" s="1"/>
  <c r="O487" i="6"/>
  <c r="A183" i="7"/>
  <c r="O179" i="6"/>
  <c r="P179" i="6"/>
  <c r="Q179" i="6" s="1"/>
  <c r="P743" i="6"/>
  <c r="Q743" i="6" s="1"/>
  <c r="A747" i="7"/>
  <c r="O743" i="6"/>
  <c r="P545" i="6"/>
  <c r="Q545" i="6" s="1"/>
  <c r="A736" i="7"/>
  <c r="P732" i="6"/>
  <c r="Q732" i="6" s="1"/>
  <c r="O732" i="6"/>
  <c r="A978" i="7"/>
  <c r="O974" i="6"/>
  <c r="P974" i="6"/>
  <c r="Q974" i="6" s="1"/>
  <c r="A921" i="7"/>
  <c r="P917" i="6"/>
  <c r="Q917" i="6" s="1"/>
  <c r="O917" i="6"/>
  <c r="A54" i="7"/>
  <c r="P50" i="6"/>
  <c r="Q50" i="6" s="1"/>
  <c r="O50" i="6"/>
  <c r="P609" i="6"/>
  <c r="Q609" i="6" s="1"/>
  <c r="A239" i="7"/>
  <c r="P235" i="6"/>
  <c r="Q235" i="6" s="1"/>
  <c r="O235" i="6"/>
  <c r="A880" i="7"/>
  <c r="O876" i="6"/>
  <c r="P876" i="6"/>
  <c r="Q876" i="6" s="1"/>
  <c r="A991" i="7"/>
  <c r="P987" i="6"/>
  <c r="Q987" i="6" s="1"/>
  <c r="O987" i="6"/>
  <c r="P707" i="6"/>
  <c r="Q707" i="6" s="1"/>
  <c r="O707" i="6"/>
  <c r="A711" i="7"/>
  <c r="A645" i="7"/>
  <c r="O641" i="6"/>
  <c r="P641" i="6"/>
  <c r="Q641" i="6" s="1"/>
  <c r="B8" i="8"/>
  <c r="Q2" i="6"/>
  <c r="B9" i="8" s="1"/>
  <c r="D16" i="10" s="1"/>
  <c r="A459" i="7"/>
  <c r="P455" i="6"/>
  <c r="Q455" i="6" s="1"/>
  <c r="O455" i="6"/>
  <c r="A553" i="7"/>
  <c r="P549" i="6"/>
  <c r="Q549" i="6" s="1"/>
  <c r="O549" i="6"/>
  <c r="A55" i="7"/>
  <c r="P51" i="6"/>
  <c r="Q51" i="6" s="1"/>
  <c r="O51" i="6"/>
  <c r="A850" i="7"/>
  <c r="P846" i="6"/>
  <c r="Q846" i="6" s="1"/>
  <c r="O846" i="6"/>
  <c r="A677" i="7"/>
  <c r="O673" i="6"/>
  <c r="P673" i="6"/>
  <c r="Q673" i="6" s="1"/>
  <c r="O212" i="6"/>
  <c r="A216" i="7"/>
  <c r="P212" i="6"/>
  <c r="Q212" i="6" s="1"/>
  <c r="P329" i="6"/>
  <c r="Q329" i="6" s="1"/>
  <c r="A951" i="7"/>
  <c r="O947" i="6"/>
  <c r="P947" i="6"/>
  <c r="Q947" i="6" s="1"/>
  <c r="B701" i="7"/>
  <c r="P697" i="6"/>
  <c r="Q697" i="6" s="1"/>
  <c r="A135" i="7"/>
  <c r="P131" i="6"/>
  <c r="Q131" i="6" s="1"/>
  <c r="O131" i="6"/>
  <c r="B873" i="7"/>
  <c r="P869" i="6"/>
  <c r="Q869" i="6" s="1"/>
  <c r="A967" i="7"/>
  <c r="P963" i="6"/>
  <c r="Q963" i="6" s="1"/>
  <c r="O963" i="6"/>
  <c r="A111" i="7"/>
  <c r="P107" i="6"/>
  <c r="Q107" i="6" s="1"/>
  <c r="O107" i="6"/>
  <c r="B10" i="8"/>
  <c r="A175" i="7"/>
  <c r="O171" i="6"/>
  <c r="P171" i="6"/>
  <c r="Q171" i="6" s="1"/>
  <c r="A617" i="7"/>
  <c r="P613" i="6"/>
  <c r="Q613" i="6" s="1"/>
  <c r="O613" i="6"/>
  <c r="A127" i="7"/>
  <c r="P123" i="6"/>
  <c r="Q123" i="6" s="1"/>
  <c r="O123" i="6"/>
  <c r="B516" i="7"/>
  <c r="P512" i="6"/>
  <c r="Q512" i="6" s="1"/>
  <c r="A182" i="7"/>
  <c r="P178" i="6"/>
  <c r="Q178" i="6" s="1"/>
  <c r="O178" i="6"/>
  <c r="A260" i="7"/>
  <c r="O256" i="6"/>
  <c r="P256" i="6"/>
  <c r="Q256" i="6" s="1"/>
  <c r="A288" i="7"/>
  <c r="O284" i="6"/>
  <c r="P284" i="6"/>
  <c r="Q284" i="6" s="1"/>
  <c r="A914" i="7"/>
  <c r="O910" i="6"/>
  <c r="P910" i="6"/>
  <c r="Q910" i="6" s="1"/>
  <c r="A731" i="7"/>
  <c r="P727" i="6"/>
  <c r="Q727" i="6" s="1"/>
  <c r="O727" i="6"/>
  <c r="O932" i="6"/>
  <c r="A936" i="7"/>
  <c r="P932" i="6"/>
  <c r="Q932" i="6" s="1"/>
  <c r="A975" i="7"/>
  <c r="P971" i="6"/>
  <c r="Q971" i="6" s="1"/>
  <c r="O971" i="6"/>
  <c r="A525" i="7"/>
  <c r="O521" i="6"/>
  <c r="P521" i="6"/>
  <c r="Q521" i="6" s="1"/>
  <c r="A714" i="7"/>
  <c r="P710" i="6"/>
  <c r="Q710" i="6" s="1"/>
  <c r="O710" i="6"/>
  <c r="A757" i="7"/>
  <c r="P753" i="6"/>
  <c r="Q753" i="6" s="1"/>
  <c r="O753" i="6"/>
  <c r="A999" i="7"/>
  <c r="P995" i="6"/>
  <c r="Q995" i="6" s="1"/>
  <c r="O995" i="6"/>
  <c r="P714" i="6"/>
  <c r="Q714" i="6" s="1"/>
  <c r="B858" i="7"/>
  <c r="P854" i="6"/>
  <c r="Q854" i="6" s="1"/>
  <c r="A557" i="7"/>
  <c r="O553" i="6"/>
  <c r="P553" i="6"/>
  <c r="Q553" i="6" s="1"/>
  <c r="I9" i="7"/>
  <c r="J9" i="7" s="1"/>
  <c r="A823" i="7"/>
  <c r="P819" i="6"/>
  <c r="Q819" i="6" s="1"/>
  <c r="O819" i="6"/>
  <c r="A585" i="7"/>
  <c r="P581" i="6"/>
  <c r="Q581" i="6" s="1"/>
  <c r="O581" i="6"/>
  <c r="P939" i="6"/>
  <c r="Q939" i="6" s="1"/>
  <c r="O939" i="6"/>
  <c r="A943" i="7"/>
  <c r="A791" i="7"/>
  <c r="P787" i="6"/>
  <c r="Q787" i="6" s="1"/>
  <c r="O787" i="6"/>
  <c r="O139" i="6"/>
  <c r="A143" i="7"/>
  <c r="P139" i="6"/>
  <c r="Q139" i="6" s="1"/>
  <c r="A256" i="7"/>
  <c r="O252" i="6"/>
  <c r="P252" i="6"/>
  <c r="Q252" i="6" s="1"/>
  <c r="A923" i="7"/>
  <c r="P919" i="6"/>
  <c r="Q919" i="6" s="1"/>
  <c r="O919" i="6"/>
  <c r="P827" i="6"/>
  <c r="Q827" i="6" s="1"/>
  <c r="P305" i="6"/>
  <c r="Q305" i="6" s="1"/>
  <c r="A987" i="7"/>
  <c r="P983" i="6"/>
  <c r="Q983" i="6" s="1"/>
  <c r="O983" i="6"/>
  <c r="A763" i="7"/>
  <c r="P759" i="6"/>
  <c r="Q759" i="6" s="1"/>
  <c r="O759" i="6"/>
  <c r="B846" i="7"/>
  <c r="P842" i="6"/>
  <c r="Q842" i="6" s="1"/>
  <c r="A619" i="7"/>
  <c r="P615" i="6"/>
  <c r="Q615" i="6" s="1"/>
  <c r="O615" i="6"/>
  <c r="O982" i="6"/>
  <c r="A986" i="7"/>
  <c r="P982" i="6"/>
  <c r="Q982" i="6" s="1"/>
  <c r="A159" i="7"/>
  <c r="P155" i="6"/>
  <c r="Q155" i="6" s="1"/>
  <c r="O155" i="6"/>
  <c r="A232" i="7"/>
  <c r="O228" i="6"/>
  <c r="P228" i="6"/>
  <c r="Q228" i="6" s="1"/>
  <c r="P979" i="6"/>
  <c r="Q979" i="6" s="1"/>
  <c r="O979" i="6"/>
  <c r="A983" i="7"/>
  <c r="A851" i="7"/>
  <c r="O847" i="6"/>
  <c r="P847" i="6"/>
  <c r="Q847" i="6" s="1"/>
  <c r="A759" i="7"/>
  <c r="P755" i="6"/>
  <c r="Q755" i="6" s="1"/>
  <c r="O755" i="6"/>
  <c r="P271" i="6"/>
  <c r="Q271" i="6" s="1"/>
  <c r="P871" i="6"/>
  <c r="Q871" i="6" s="1"/>
  <c r="A875" i="7"/>
  <c r="O871" i="6"/>
  <c r="A191" i="7"/>
  <c r="O187" i="6"/>
  <c r="P187" i="6"/>
  <c r="Q187" i="6" s="1"/>
  <c r="O232" i="6"/>
  <c r="A236" i="7"/>
  <c r="P232" i="6"/>
  <c r="Q232" i="6" s="1"/>
  <c r="A311" i="7"/>
  <c r="O307" i="6"/>
  <c r="P307" i="6"/>
  <c r="Q307" i="6" s="1"/>
  <c r="O348" i="6"/>
  <c r="P348" i="6"/>
  <c r="Q348" i="6" s="1"/>
  <c r="A352" i="7"/>
  <c r="B781" i="7"/>
  <c r="P777" i="6"/>
  <c r="Q777" i="6" s="1"/>
  <c r="A783" i="7"/>
  <c r="P779" i="6"/>
  <c r="Q779" i="6" s="1"/>
  <c r="O779" i="6"/>
  <c r="A760" i="7"/>
  <c r="P756" i="6"/>
  <c r="Q756" i="6" s="1"/>
  <c r="O756" i="6"/>
  <c r="A727" i="7"/>
  <c r="P723" i="6"/>
  <c r="Q723" i="6" s="1"/>
  <c r="O723" i="6"/>
  <c r="A23" i="7"/>
  <c r="P19" i="6"/>
  <c r="Q19" i="6" s="1"/>
  <c r="O19" i="6"/>
  <c r="A523" i="7"/>
  <c r="P519" i="6"/>
  <c r="Q519" i="6" s="1"/>
  <c r="O519" i="6"/>
  <c r="A845" i="7"/>
  <c r="P841" i="6"/>
  <c r="Q841" i="6" s="1"/>
  <c r="O841" i="6"/>
  <c r="B854" i="7"/>
  <c r="P850" i="6"/>
  <c r="Q850" i="6" s="1"/>
  <c r="B838" i="7"/>
  <c r="P834" i="6"/>
  <c r="Q834" i="6" s="1"/>
  <c r="P858" i="6"/>
  <c r="Q858" i="6" s="1"/>
  <c r="O858" i="6"/>
  <c r="A862" i="7"/>
  <c r="P802" i="6"/>
  <c r="Q802" i="6" s="1"/>
  <c r="P679" i="6"/>
  <c r="Q679" i="6" s="1"/>
  <c r="O679" i="6"/>
  <c r="A683" i="7"/>
  <c r="A649" i="7"/>
  <c r="P645" i="6"/>
  <c r="Q645" i="6" s="1"/>
  <c r="O645" i="6"/>
  <c r="P313" i="6"/>
  <c r="Q313" i="6" s="1"/>
  <c r="B730" i="7"/>
  <c r="P726" i="6"/>
  <c r="Q726" i="6" s="1"/>
  <c r="A521" i="7"/>
  <c r="P517" i="6"/>
  <c r="Q517" i="6" s="1"/>
  <c r="O517" i="6"/>
  <c r="A955" i="7"/>
  <c r="P951" i="6"/>
  <c r="Q951" i="6" s="1"/>
  <c r="O951" i="6"/>
  <c r="A927" i="7"/>
  <c r="P923" i="6"/>
  <c r="Q923" i="6" s="1"/>
  <c r="O923" i="6"/>
  <c r="A723" i="7"/>
  <c r="O719" i="6"/>
  <c r="P719" i="6"/>
  <c r="Q719" i="6" s="1"/>
  <c r="A207" i="7"/>
  <c r="P203" i="6"/>
  <c r="Q203" i="6" s="1"/>
  <c r="O203" i="6"/>
  <c r="A859" i="7"/>
  <c r="P855" i="6"/>
  <c r="Q855" i="6" s="1"/>
  <c r="O855" i="6"/>
  <c r="P401" i="6"/>
  <c r="Q401" i="6" s="1"/>
  <c r="P813" i="6"/>
  <c r="Q813" i="6" s="1"/>
  <c r="D12" i="10" l="1"/>
  <c r="B24" i="3"/>
  <c r="B22" i="3"/>
  <c r="D1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tc={FC017F6E-F90B-BB35-4D71-5D0C1DA229A1}</author>
    <author>tc={DABDC444-3ECD-3341-F3C6-25FE067158BF}</author>
    <author>tc={E373CFFC-6504-BDF9-868B-783CE23F4434}</author>
  </authors>
  <commentList>
    <comment ref="B9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Illustrative WTP for system testing only. Replace with the threshold adopted in the approved HTA protocol.</t>
      </text>
    </comment>
    <comment ref="B18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Stable HFrEF utility was not available in the uploaded files; this value is an editable illustrative assumption.</t>
      </text>
    </comment>
    <comment ref="B19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QALY loss per HF admission was not available in the uploaded files; this value is an editable illustrative assumption.</t>
      </text>
    </comment>
  </commentList>
</comments>
</file>

<file path=xl/sharedStrings.xml><?xml version="1.0" encoding="utf-8"?>
<sst xmlns="http://schemas.openxmlformats.org/spreadsheetml/2006/main" count="713" uniqueCount="363">
  <si>
    <t>DeciBridge Economic Validation Model</t>
  </si>
  <si>
    <t>Gold-standard test workbook for HF_ARNI_ACEI_001; not a final RS Unud HTA decision model.</t>
  </si>
  <si>
    <t>Purpose and status</t>
  </si>
  <si>
    <t>Item</t>
  </si>
  <si>
    <t>Description</t>
  </si>
  <si>
    <t>Primary use</t>
  </si>
  <si>
    <t>Validate DeciBridge calculations for total costs, QALYs, incremental outcomes, ICER, INB/NMB, discounting, BIA, PSA, CE plane, and CEAC.</t>
  </si>
  <si>
    <t>Case</t>
  </si>
  <si>
    <t>HF_ARNI_ACEI_001 – Sacubitril/valsartan versus ACE inhibitor.</t>
  </si>
  <si>
    <t>Model type</t>
  </si>
  <si>
    <t>Annual decision model with repeated annual values; editable horizon 1–5 years.</t>
  </si>
  <si>
    <t>Status</t>
  </si>
  <si>
    <t>SYSTEM-TEST MODEL / ILLUSTRATIVE ASSUMPTIONS – not for final formulary decision.</t>
  </si>
  <si>
    <t>PSA</t>
  </si>
  <si>
    <t>1,000 fixed-uniform simulations (seed 20260724). Dynamic mode follows updated inputs while retaining reproducibility.</t>
  </si>
  <si>
    <t>Yellow cells</t>
  </si>
  <si>
    <t>Editable inputs/assumptions.</t>
  </si>
  <si>
    <t>Blue cells</t>
  </si>
  <si>
    <t>Calculated cells/formulas.</t>
  </si>
  <si>
    <t>Model equations</t>
  </si>
  <si>
    <t>Output</t>
  </si>
  <si>
    <t>Equation</t>
  </si>
  <si>
    <t>Annual total cost</t>
  </si>
  <si>
    <t>Annual medicine cost + (rehospitalization probability × HF admission cost) + annual monitoring cost</t>
  </si>
  <si>
    <t>Annual QALY</t>
  </si>
  <si>
    <t>Stable-state utility − (rehospitalization probability × QALY loss per admission)</t>
  </si>
  <si>
    <t>Discounted cost</t>
  </si>
  <si>
    <t>Annual cost ÷ (1 + cost discount rate)^(year − 1)</t>
  </si>
  <si>
    <t>Discounted QALY</t>
  </si>
  <si>
    <t>Annual QALY ÷ (1 + outcome discount rate)^(year − 1)</t>
  </si>
  <si>
    <t>ICER</t>
  </si>
  <si>
    <t>(Cost ARNI − Cost ACEI) ÷ (QALY ARNI − QALY ACEI)</t>
  </si>
  <si>
    <t>INB</t>
  </si>
  <si>
    <t>(WTP × incremental QALY) − incremental cost</t>
  </si>
  <si>
    <t>CEAC</t>
  </si>
  <si>
    <t>Proportion of PSA simulations with positive INB at each WTP threshold</t>
  </si>
  <si>
    <t>Important limitations</t>
  </si>
  <si>
    <t>QALY inputs were not available in the uploaded files; utility and QALY loss are explicitly illustrative and editable.</t>
  </si>
  <si>
    <t>Select Baseline validation to reproduce the original test case, or Dynamic fixed-seed to make PSA and CEAC follow current inputs.</t>
  </si>
  <si>
    <t>The 12-month RWE rehospitalization proportions are reused for each active model year if the horizon is increased beyond one year.</t>
  </si>
  <si>
    <t>Mortality, adverse events, treatment discontinuation, and state transitions are not modeled in this test workbook.</t>
  </si>
  <si>
    <t>All proxy costs must be replaced with validated RS Unud data before policy use.</t>
  </si>
  <si>
    <t>Model Inputs – ARNI versus ACEI</t>
  </si>
  <si>
    <t>Yellow cells are editable. Source status distinguishes observed, proxy, and illustrative assumptions.</t>
  </si>
  <si>
    <t>Parameter</t>
  </si>
  <si>
    <t>Base value</t>
  </si>
  <si>
    <t>Unit</t>
  </si>
  <si>
    <t>Source</t>
  </si>
  <si>
    <t>Notes</t>
  </si>
  <si>
    <t>Case ID</t>
  </si>
  <si>
    <t>HF_ARNI_ACEI_001</t>
  </si>
  <si>
    <t>text</t>
  </si>
  <si>
    <t>Observed</t>
  </si>
  <si>
    <t>Uploaded DeciBridge files</t>
  </si>
  <si>
    <t>Must match across all imported tables.</t>
  </si>
  <si>
    <t>Time horizon</t>
  </si>
  <si>
    <t>years</t>
  </si>
  <si>
    <t>Test setting</t>
  </si>
  <si>
    <t>User-defined</t>
  </si>
  <si>
    <t>Allowed range: 1–5 years.</t>
  </si>
  <si>
    <t>Cost discount rate</t>
  </si>
  <si>
    <t>annual proportion</t>
  </si>
  <si>
    <t>Illustrative</t>
  </si>
  <si>
    <t>Editable test assumption</t>
  </si>
  <si>
    <t>Year 1 is not discounted; later years are discounted.</t>
  </si>
  <si>
    <t>Outcome discount rate</t>
  </si>
  <si>
    <t>WTP threshold</t>
  </si>
  <si>
    <t>IDR/QALY</t>
  </si>
  <si>
    <t>Not an official Indonesian threshold.</t>
  </si>
  <si>
    <t>ARNI rehospitalization probability</t>
  </si>
  <si>
    <t>Observed RWE</t>
  </si>
  <si>
    <t>Casepack: 18/40</t>
  </si>
  <si>
    <t>12-month rehospitalization.</t>
  </si>
  <si>
    <t>ACEI rehospitalization probability</t>
  </si>
  <si>
    <t>Casepack: 46/65</t>
  </si>
  <si>
    <t>ARNI median LOS</t>
  </si>
  <si>
    <t>days/admission</t>
  </si>
  <si>
    <t>Casepack</t>
  </si>
  <si>
    <t>Secondary clinical validation field.</t>
  </si>
  <si>
    <t>ACEI median LOS</t>
  </si>
  <si>
    <t>ARNI annual medicine cost</t>
  </si>
  <si>
    <t>IDR/patient-year</t>
  </si>
  <si>
    <t>Proxy</t>
  </si>
  <si>
    <t>Template: 01_Harga_Obat</t>
  </si>
  <si>
    <t>Rp21,388/tablet × 60/month × 12.</t>
  </si>
  <si>
    <t>ACEI annual medicine cost</t>
  </si>
  <si>
    <t>Rp450/tablet × 60/month × 12.</t>
  </si>
  <si>
    <t>HF admission cost – base case</t>
  </si>
  <si>
    <t>IDR/admission</t>
  </si>
  <si>
    <t>Casepack: Biaya Tabanan.xlsx</t>
  </si>
  <si>
    <t>Median proxy; not RS Unud final.</t>
  </si>
  <si>
    <t>HF admission cost – alternative</t>
  </si>
  <si>
    <t>Template: Jogja Hospital 2023</t>
  </si>
  <si>
    <t>Mean proxy for scenario checking.</t>
  </si>
  <si>
    <t>Stable HFrEF utility</t>
  </si>
  <si>
    <t>utility weight</t>
  </si>
  <si>
    <t>Not sourced from uploaded files.</t>
  </si>
  <si>
    <t>QALY loss per HF admission</t>
  </si>
  <si>
    <t>QALY/admission</t>
  </si>
  <si>
    <t>ARNI monitoring cost</t>
  </si>
  <si>
    <t>Excluded by default</t>
  </si>
  <si>
    <t>Editable</t>
  </si>
  <si>
    <t>Enter validated annual monitoring cost if included.</t>
  </si>
  <si>
    <t>ACEI monitoring cost</t>
  </si>
  <si>
    <t>Eligible HFrEF population</t>
  </si>
  <si>
    <t>patients/year</t>
  </si>
  <si>
    <t>Illustrative test population</t>
  </si>
  <si>
    <t>Replace with validated RS Unud denominator.</t>
  </si>
  <si>
    <t>Low uptake</t>
  </si>
  <si>
    <t>proportion eligible</t>
  </si>
  <si>
    <t>Scenario</t>
  </si>
  <si>
    <t>Template</t>
  </si>
  <si>
    <t>10%.</t>
  </si>
  <si>
    <t>Medium uptake</t>
  </si>
  <si>
    <t>30%.</t>
  </si>
  <si>
    <t>High uptake</t>
  </si>
  <si>
    <t>50%.</t>
  </si>
  <si>
    <t>PSA simulations</t>
  </si>
  <si>
    <t>iterations</t>
  </si>
  <si>
    <t>Fixed</t>
  </si>
  <si>
    <t>Model specification</t>
  </si>
  <si>
    <t>Fixed-seed draws supplied.</t>
  </si>
  <si>
    <t>PSA seed</t>
  </si>
  <si>
    <t>integer</t>
  </si>
  <si>
    <t>Ensures reproducible expected results.</t>
  </si>
  <si>
    <t>PSA mode</t>
  </si>
  <si>
    <t>Dynamic fixed-seed</t>
  </si>
  <si>
    <t>selection</t>
  </si>
  <si>
    <t>User control</t>
  </si>
  <si>
    <t>Dropdown</t>
  </si>
  <si>
    <t>Dynamic follows current inputs; Baseline preserves original validation parameters.</t>
  </si>
  <si>
    <t>Deterministic Cost-Utility Analysis</t>
  </si>
  <si>
    <t>Formula-driven results. Change yellow cells in 01_INPUTS; all outputs update.</t>
  </si>
  <si>
    <t>Year</t>
  </si>
  <si>
    <t>Active?</t>
  </si>
  <si>
    <t>Cost DF</t>
  </si>
  <si>
    <t>QALY DF</t>
  </si>
  <si>
    <t>ARNI cost</t>
  </si>
  <si>
    <t>ACEI cost</t>
  </si>
  <si>
    <t>ARNI QALY</t>
  </si>
  <si>
    <t>ACEI QALY</t>
  </si>
  <si>
    <t>Incremental cost</t>
  </si>
  <si>
    <t>Incremental QALY</t>
  </si>
  <si>
    <t>TOTAL</t>
  </si>
  <si>
    <t>Economic outputs</t>
  </si>
  <si>
    <t>Clinical validation outputs</t>
  </si>
  <si>
    <t>Metric</t>
  </si>
  <si>
    <t>Value</t>
  </si>
  <si>
    <t>Interpretation</t>
  </si>
  <si>
    <t>Total cost – ARNI</t>
  </si>
  <si>
    <t>IDR/patient</t>
  </si>
  <si>
    <t>Discounted total</t>
  </si>
  <si>
    <t>Absolute rehospitalization reduction</t>
  </si>
  <si>
    <t>proportion</t>
  </si>
  <si>
    <t>Total cost – ACEI</t>
  </si>
  <si>
    <t>Relative risk</t>
  </si>
  <si>
    <t>RR</t>
  </si>
  <si>
    <t>Total QALY – ARNI</t>
  </si>
  <si>
    <t>QALY/patient</t>
  </si>
  <si>
    <t>Relative risk reduction</t>
  </si>
  <si>
    <t>Total QALY – ACEI</t>
  </si>
  <si>
    <t>NNT (12 months)</t>
  </si>
  <si>
    <t>patients</t>
  </si>
  <si>
    <t>ARNI minus ACEI</t>
  </si>
  <si>
    <t>LOS difference</t>
  </si>
  <si>
    <t>days</t>
  </si>
  <si>
    <t>Incremental effectiveness</t>
  </si>
  <si>
    <t>Admission cost saving/patient-year</t>
  </si>
  <si>
    <t>IDR</t>
  </si>
  <si>
    <t>Incremental cost ÷ incremental QALY</t>
  </si>
  <si>
    <t>Positive favors ARNI at selected WTP</t>
  </si>
  <si>
    <t>Decision at WTP</t>
  </si>
  <si>
    <t>Based only on illustrative economic model</t>
  </si>
  <si>
    <t>Budget Impact Scenarios</t>
  </si>
  <si>
    <t>One-year budget impact for 10%, 30%, and 50% uptake; eligible population is illustrative until replaced.</t>
  </si>
  <si>
    <t>Uptake</t>
  </si>
  <si>
    <t>Eligible patients</t>
  </si>
  <si>
    <t>ARNI patients</t>
  </si>
  <si>
    <t>Drug-only incremental budget</t>
  </si>
  <si>
    <t>Admission cost offset</t>
  </si>
  <si>
    <t>Net budget impact</t>
  </si>
  <si>
    <t>Low</t>
  </si>
  <si>
    <t>Medium</t>
  </si>
  <si>
    <t>High</t>
  </si>
  <si>
    <t>Drug-only budget impact counts medicine cost differences only.</t>
  </si>
  <si>
    <t>Admission cost offset uses absolute rehospitalization reduction × admission cost.</t>
  </si>
  <si>
    <t>Net budget impact also adds any difference in annual monitoring cost.</t>
  </si>
  <si>
    <t>This is a static one-year BIA; population growth, displacement, and multi-year uptake are not included.</t>
  </si>
  <si>
    <t>PSA Distribution Specifications</t>
  </si>
  <si>
    <t>Active parameters follow the selected PSA mode. Change current inputs only in 01_INPUTS.</t>
  </si>
  <si>
    <t>Distribution</t>
  </si>
  <si>
    <t>Baseline mean</t>
  </si>
  <si>
    <t>Current input</t>
  </si>
  <si>
    <t>Active mean</t>
  </si>
  <si>
    <t>Uncertainty</t>
  </si>
  <si>
    <t>Alpha/shape</t>
  </si>
  <si>
    <t>Beta/scale</t>
  </si>
  <si>
    <t>Source/status</t>
  </si>
  <si>
    <t>ARNI rehospitalization</t>
  </si>
  <si>
    <t>Beta</t>
  </si>
  <si>
    <t>Effective N</t>
  </si>
  <si>
    <t>Observed RWE; uncertainty responds to current probability</t>
  </si>
  <si>
    <t>ACEI rehospitalization</t>
  </si>
  <si>
    <t>Gamma</t>
  </si>
  <si>
    <t>CV</t>
  </si>
  <si>
    <t>Illustrative CV 10%</t>
  </si>
  <si>
    <t>HF admission cost</t>
  </si>
  <si>
    <t>Proxy cost; illustrative CV 20%</t>
  </si>
  <si>
    <t>Stable utility</t>
  </si>
  <si>
    <t>SE</t>
  </si>
  <si>
    <t>Illustrative SE 0.03</t>
  </si>
  <si>
    <t>QALY loss/admission</t>
  </si>
  <si>
    <t>Illustrative SE 0.02</t>
  </si>
  <si>
    <t>Mode status</t>
  </si>
  <si>
    <t>Selected mode</t>
  </si>
  <si>
    <t>Behavior</t>
  </si>
  <si>
    <t>Iteration</t>
  </si>
  <si>
    <t>p_rehosp_ARNI</t>
  </si>
  <si>
    <t>p_rehosp_ACEI</t>
  </si>
  <si>
    <t>DrugCost_ARNI</t>
  </si>
  <si>
    <t>DrugCost_ACEI</t>
  </si>
  <si>
    <t>AdmissionCost</t>
  </si>
  <si>
    <t>StableUtility</t>
  </si>
  <si>
    <t>QALYLossAdmission</t>
  </si>
  <si>
    <t>TotalCost_ARNI</t>
  </si>
  <si>
    <t>TotalCost_ACEI</t>
  </si>
  <si>
    <t>DeltaCost</t>
  </si>
  <si>
    <t>QALY_ARNI</t>
  </si>
  <si>
    <t>QALY_ACEI</t>
  </si>
  <si>
    <t>DeltaQALY</t>
  </si>
  <si>
    <t>INB_at_base_WTP</t>
  </si>
  <si>
    <t>CostEffective</t>
  </si>
  <si>
    <t>U_p_ARNI</t>
  </si>
  <si>
    <t>U_p_ACEI</t>
  </si>
  <si>
    <t>U_cost_ARNI</t>
  </si>
  <si>
    <t>U_cost_ACEI</t>
  </si>
  <si>
    <t>U_admission</t>
  </si>
  <si>
    <t>U_utility</t>
  </si>
  <si>
    <t>U_qaly_loss</t>
  </si>
  <si>
    <t>Cost-Effectiveness Plane and CEAC</t>
  </si>
  <si>
    <t>All tables update from current PSA inputs. Raw CE-plane coordinates can be compared directly with the DeciBridge scatter plot.</t>
  </si>
  <si>
    <t>CE plane data</t>
  </si>
  <si>
    <t>CEAC data</t>
  </si>
  <si>
    <t>Dynamic CE-plane quadrant summary</t>
  </si>
  <si>
    <t>Incremental cost (IDR)</t>
  </si>
  <si>
    <t>WTP (IDR/QALY)</t>
  </si>
  <si>
    <t>Probability cost-effective</t>
  </si>
  <si>
    <t>Quadrant</t>
  </si>
  <si>
    <t>Condition</t>
  </si>
  <si>
    <t>Simulations</t>
  </si>
  <si>
    <t>Probability</t>
  </si>
  <si>
    <t>Dominant</t>
  </si>
  <si>
    <t>ΔCost &lt; 0; ΔQALY &gt; 0</t>
  </si>
  <si>
    <t>Higher cost / higher QALY</t>
  </si>
  <si>
    <t>ΔCost ≥ 0; ΔQALY ≥ 0</t>
  </si>
  <si>
    <t>Lower cost / lower QALY</t>
  </si>
  <si>
    <t>ΔCost &lt; 0; ΔQALY ≤ 0</t>
  </si>
  <si>
    <t>Dominated</t>
  </si>
  <si>
    <t>ΔCost &gt; 0; ΔQALY &lt; 0</t>
  </si>
  <si>
    <t>The 1,000 raw coordinates in columns A:B update automatically and are the expected CE-plane data for DeciBridge.</t>
  </si>
  <si>
    <t>The quadrant table provides an immediately visible dynamic check even when a spreadsheet viewer does not refresh an XY scatter chart.</t>
  </si>
  <si>
    <t>Probabilistic Sensitivity Analysis Summary</t>
  </si>
  <si>
    <t>All values reference the 1,000 fixed-seed PSA rows.</t>
  </si>
  <si>
    <t>Mean incremental cost</t>
  </si>
  <si>
    <t>Mean across PSA</t>
  </si>
  <si>
    <t>Mean incremental QALY</t>
  </si>
  <si>
    <t>ICER using mean increments</t>
  </si>
  <si>
    <t>Ratio of means</t>
  </si>
  <si>
    <t>Mean INB at base WTP</t>
  </si>
  <si>
    <t>Positive favors ARNI</t>
  </si>
  <si>
    <t>probability</t>
  </si>
  <si>
    <t>INB &gt; 0 at base WTP</t>
  </si>
  <si>
    <t>Probability ARNI dominant</t>
  </si>
  <si>
    <t>Lower cost and higher QALY</t>
  </si>
  <si>
    <t>Probability ARNI dominated</t>
  </si>
  <si>
    <t>Higher cost and lower QALY</t>
  </si>
  <si>
    <t>2.5th percentile incremental cost</t>
  </si>
  <si>
    <t>PSA percentile</t>
  </si>
  <si>
    <t>97.5th percentile incremental cost</t>
  </si>
  <si>
    <t>Selected WTP</t>
  </si>
  <si>
    <t>From 01_INPUTS</t>
  </si>
  <si>
    <t>Interpretation warning</t>
  </si>
  <si>
    <t>PSA quantifies parameter uncertainty in this simplified test model only.</t>
  </si>
  <si>
    <t>The PSA does not address structural uncertainty, omitted mortality, discontinuation, or adverse events.</t>
  </si>
  <si>
    <t>Do not use the probability cost-effective result for an RS Unud decision until all parameters and model structure are validated.</t>
  </si>
  <si>
    <t>ARNI versus ARB – Extension Readiness</t>
  </si>
  <si>
    <t>Clinical data are available, but economic outputs are intentionally blocked until ARB costs are supplied.</t>
  </si>
  <si>
    <t>ARNI</t>
  </si>
  <si>
    <t>ARB</t>
  </si>
  <si>
    <t>Ready?</t>
  </si>
  <si>
    <t>Required action</t>
  </si>
  <si>
    <t>Rehospitalization</t>
  </si>
  <si>
    <t>Yes</t>
  </si>
  <si>
    <t>Can validate clinical import and RR.</t>
  </si>
  <si>
    <t>Dashboard expected RR = 0.614.</t>
  </si>
  <si>
    <t>Median LOS</t>
  </si>
  <si>
    <t>Dashboard expected difference = −2 days.</t>
  </si>
  <si>
    <t>Annual medicine cost</t>
  </si>
  <si>
    <t>ARNI from template; ARB missing</t>
  </si>
  <si>
    <t>No</t>
  </si>
  <si>
    <t>Add ARB drug, strength, unit price, and dosing.</t>
  </si>
  <si>
    <t>Casepack proxy</t>
  </si>
  <si>
    <t>Replace with validated local cost for final model.</t>
  </si>
  <si>
    <t>utility</t>
  </si>
  <si>
    <t>Test only</t>
  </si>
  <si>
    <t>Validate using appropriate utility evidence.</t>
  </si>
  <si>
    <t>Data Mapping and Quality-Control Checks</t>
  </si>
  <si>
    <t>Use this sheet to compare dashboard outputs against workbook expected results.</t>
  </si>
  <si>
    <t>QC ID</t>
  </si>
  <si>
    <t>Dashboard field</t>
  </si>
  <si>
    <t>Expected workbook cell</t>
  </si>
  <si>
    <t>Expected value</t>
  </si>
  <si>
    <t>Tolerance</t>
  </si>
  <si>
    <t>Severity</t>
  </si>
  <si>
    <t>QC01</t>
  </si>
  <si>
    <t>Total cost ARNI</t>
  </si>
  <si>
    <t>'02_DETERMINISTIC'!B16</t>
  </si>
  <si>
    <t>Critical</t>
  </si>
  <si>
    <t>IDR rounding tolerance ±1.</t>
  </si>
  <si>
    <t>QC02</t>
  </si>
  <si>
    <t>Total cost ACEI</t>
  </si>
  <si>
    <t>'02_DETERMINISTIC'!B17</t>
  </si>
  <si>
    <t>QC03</t>
  </si>
  <si>
    <t>Total QALY ARNI</t>
  </si>
  <si>
    <t>'02_DETERMINISTIC'!B18</t>
  </si>
  <si>
    <t>Compare unrounded value.</t>
  </si>
  <si>
    <t>QC04</t>
  </si>
  <si>
    <t>Total QALY ACEI</t>
  </si>
  <si>
    <t>'02_DETERMINISTIC'!B19</t>
  </si>
  <si>
    <t>QC05</t>
  </si>
  <si>
    <t>'02_DETERMINISTIC'!B20</t>
  </si>
  <si>
    <t>ARNI minus ACEI.</t>
  </si>
  <si>
    <t>QC06</t>
  </si>
  <si>
    <t>'02_DETERMINISTIC'!B21</t>
  </si>
  <si>
    <t>QC07</t>
  </si>
  <si>
    <t>'02_DETERMINISTIC'!B22</t>
  </si>
  <si>
    <t>IDR/QALY tolerance ±10.</t>
  </si>
  <si>
    <t>QC08</t>
  </si>
  <si>
    <t>'02_DETERMINISTIC'!B23</t>
  </si>
  <si>
    <t>Selected WTP.</t>
  </si>
  <si>
    <t>QC09</t>
  </si>
  <si>
    <t>BIA low uptake</t>
  </si>
  <si>
    <t>'03_BIA'!G5</t>
  </si>
  <si>
    <t>Major</t>
  </si>
  <si>
    <t>Net annual BIA.</t>
  </si>
  <si>
    <t>QC10</t>
  </si>
  <si>
    <t>BIA medium uptake</t>
  </si>
  <si>
    <t>'03_BIA'!G6</t>
  </si>
  <si>
    <t>QC11</t>
  </si>
  <si>
    <t>BIA high uptake</t>
  </si>
  <si>
    <t>'03_BIA'!G7</t>
  </si>
  <si>
    <t>QC12</t>
  </si>
  <si>
    <t>PSA probability cost-effective</t>
  </si>
  <si>
    <t>'07_PSA_SUMMARY'!B9</t>
  </si>
  <si>
    <t>Expected fixed-seed result.</t>
  </si>
  <si>
    <t>Manual dashboard comparison</t>
  </si>
  <si>
    <t>Dashboard actual</t>
  </si>
  <si>
    <t>Absolute difference</t>
  </si>
  <si>
    <t>Pass/Fail</t>
  </si>
  <si>
    <t>Tester</t>
  </si>
  <si>
    <t>Test date</t>
  </si>
  <si>
    <t>Dashboard version</t>
  </si>
  <si>
    <t>Evidence/screenshot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</si>
</sst>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"/>
    <numFmt numFmtId="167" formatCode="0.0%"/>
    <numFmt numFmtId="168" formatCode="0.0"/>
  </numFmts>
  <fonts count="7">
    <font>
      <sz val="11"/>
      <name val="Carlito"/>
    </font>
    <font>
      <b/>
      <sz val="10"/>
      <color rgb="FFFFFFFF"/>
      <name val="Aptos"/>
    </font>
    <font>
      <i/>
      <sz val="10"/>
      <color rgb="FF595959"/>
      <name val="Aptos"/>
    </font>
    <font>
      <sz val="10"/>
      <name val="Aptos"/>
    </font>
    <font>
      <b/>
      <sz val="10"/>
      <name val="Aptos"/>
    </font>
    <font>
      <sz val="10"/>
      <color rgb="FF0000FF"/>
      <name val="Aptos"/>
    </font>
    <font>
      <sz val="10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 style="thin">
        <color rgb="FFD6B656"/>
      </right>
      <top/>
      <bottom/>
      <diagonal/>
    </border>
    <border>
      <left style="thin">
        <color rgb="FFD6B656"/>
      </left>
      <right style="thin">
        <color rgb="FFD6B656"/>
      </right>
      <top/>
      <bottom style="thin">
        <color rgb="FFD6B656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wrapText="1"/>
    </xf>
    <xf numFmtId="0" fontId="5" fillId="7" borderId="2" xfId="0" applyFont="1" applyFill="1" applyBorder="1"/>
    <xf numFmtId="0" fontId="5" fillId="7" borderId="3" xfId="0" applyFont="1" applyFill="1" applyBorder="1"/>
    <xf numFmtId="10" fontId="5" fillId="7" borderId="3" xfId="0" applyNumberFormat="1" applyFont="1" applyFill="1" applyBorder="1"/>
    <xf numFmtId="3" fontId="5" fillId="7" borderId="3" xfId="0" applyNumberFormat="1" applyFont="1" applyFill="1" applyBorder="1"/>
    <xf numFmtId="164" fontId="5" fillId="7" borderId="3" xfId="0" applyNumberFormat="1" applyFont="1" applyFill="1" applyBorder="1"/>
    <xf numFmtId="0" fontId="5" fillId="7" borderId="4" xfId="0" applyFont="1" applyFill="1" applyBorder="1"/>
    <xf numFmtId="0" fontId="6" fillId="3" borderId="0" xfId="0" applyFont="1" applyFill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3" fontId="4" fillId="8" borderId="8" xfId="0" applyNumberFormat="1" applyFont="1" applyFill="1" applyBorder="1"/>
    <xf numFmtId="10" fontId="6" fillId="3" borderId="0" xfId="0" applyNumberFormat="1" applyFont="1" applyFill="1"/>
    <xf numFmtId="3" fontId="4" fillId="8" borderId="9" xfId="0" applyNumberFormat="1" applyFont="1" applyFill="1" applyBorder="1"/>
    <xf numFmtId="165" fontId="4" fillId="8" borderId="9" xfId="0" applyNumberFormat="1" applyFont="1" applyFill="1" applyBorder="1"/>
    <xf numFmtId="2" fontId="6" fillId="3" borderId="0" xfId="0" applyNumberFormat="1" applyFont="1" applyFill="1"/>
    <xf numFmtId="3" fontId="6" fillId="3" borderId="0" xfId="0" applyNumberFormat="1" applyFont="1" applyFill="1"/>
    <xf numFmtId="0" fontId="4" fillId="8" borderId="10" xfId="0" applyFont="1" applyFill="1" applyBorder="1"/>
    <xf numFmtId="9" fontId="6" fillId="3" borderId="0" xfId="0" applyNumberFormat="1" applyFont="1" applyFill="1"/>
    <xf numFmtId="165" fontId="3" fillId="0" borderId="0" xfId="0" applyNumberFormat="1" applyFont="1"/>
    <xf numFmtId="165" fontId="6" fillId="3" borderId="0" xfId="0" applyNumberFormat="1" applyFont="1" applyFill="1"/>
    <xf numFmtId="0" fontId="4" fillId="8" borderId="8" xfId="0" applyFont="1" applyFill="1" applyBorder="1"/>
    <xf numFmtId="0" fontId="4" fillId="8" borderId="10" xfId="0" applyFont="1" applyFill="1" applyBorder="1" applyAlignment="1">
      <alignment wrapText="1"/>
    </xf>
    <xf numFmtId="3" fontId="3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7" fontId="6" fillId="3" borderId="0" xfId="0" applyNumberFormat="1" applyFont="1" applyFill="1"/>
    <xf numFmtId="167" fontId="4" fillId="8" borderId="9" xfId="0" applyNumberFormat="1" applyFont="1" applyFill="1" applyBorder="1"/>
    <xf numFmtId="3" fontId="4" fillId="8" borderId="10" xfId="0" applyNumberFormat="1" applyFont="1" applyFill="1" applyBorder="1"/>
    <xf numFmtId="10" fontId="3" fillId="0" borderId="0" xfId="0" applyNumberFormat="1" applyFont="1"/>
    <xf numFmtId="168" fontId="3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vertical="center"/>
    </xf>
    <xf numFmtId="0" fontId="3" fillId="6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9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CEAC: Probability ARNI Is Cost-Effective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Probability cost-effective</c:v>
          </c:tx>
          <c:marker>
            <c:symbol val="none"/>
          </c:marker>
          <c:cat>
            <c:numRef>
              <c:f>'06_CE_PLANE_CEAC'!$D$6:$D$22</c:f>
              <c:numCache>
                <c:formatCode>#,##0</c:formatCode>
                <c:ptCount val="17"/>
                <c:pt idx="0">
                  <c:v>0</c:v>
                </c:pt>
                <c:pt idx="1">
                  <c:v>50000000</c:v>
                </c:pt>
                <c:pt idx="2">
                  <c:v>100000000</c:v>
                </c:pt>
                <c:pt idx="3">
                  <c:v>150000000</c:v>
                </c:pt>
                <c:pt idx="4">
                  <c:v>200000000</c:v>
                </c:pt>
                <c:pt idx="5">
                  <c:v>250000000</c:v>
                </c:pt>
                <c:pt idx="6">
                  <c:v>300000000</c:v>
                </c:pt>
                <c:pt idx="7">
                  <c:v>350000000</c:v>
                </c:pt>
                <c:pt idx="8">
                  <c:v>400000000</c:v>
                </c:pt>
                <c:pt idx="9">
                  <c:v>450000000</c:v>
                </c:pt>
                <c:pt idx="10">
                  <c:v>500000000</c:v>
                </c:pt>
                <c:pt idx="11">
                  <c:v>550000000</c:v>
                </c:pt>
                <c:pt idx="12">
                  <c:v>600000000</c:v>
                </c:pt>
                <c:pt idx="13">
                  <c:v>650000000</c:v>
                </c:pt>
                <c:pt idx="14">
                  <c:v>700000000</c:v>
                </c:pt>
                <c:pt idx="15">
                  <c:v>750000000</c:v>
                </c:pt>
                <c:pt idx="16">
                  <c:v>800000000</c:v>
                </c:pt>
              </c:numCache>
            </c:numRef>
          </c:cat>
          <c:val>
            <c:numRef>
              <c:f>'06_CE_PLANE_CEAC'!$E$6:$E$22</c:f>
              <c:numCache>
                <c:formatCode>0.0%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AA-438C-98A1-A4DF639DA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WTP (IDR/QALY)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Probability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647700</xdr:colOff>
      <xdr:row>24</xdr:row>
      <xdr:rowOff>104775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DBFAED99-765F-8B88-8318-665E675EFB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ni Noviyani" id="{B89101BD-B21F-4E03-93EE-383F397603FC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7-24T02:02:52.31" personId="{B89101BD-B21F-4E03-93EE-383F397603FC}" id="{FC017F6E-F90B-BB35-4D71-5D0C1DA229A1}">
    <text>Illustrative WTP for system testing only. Replace with the threshold adopted in the approved HTA protocol.</text>
  </threadedComment>
  <threadedComment ref="B18" dT="2026-07-24T02:24:45.40" personId="{B89101BD-B21F-4E03-93EE-383F397603FC}" id="{DABDC444-3ECD-3341-F3C6-25FE067158BF}">
    <text>Stable HFrEF utility was not available in the uploaded files; this value is an editable illustrative assumption.</text>
  </threadedComment>
  <threadedComment ref="B19" dT="2026-07-24T02:24:45.40" personId="{B89101BD-B21F-4E03-93EE-383F397603FC}" id="{E373CFFC-6504-BDF9-868B-783CE23F4434}">
    <text>QALY loss per HF admission was not available in the uploaded files; this value is an editable illustrative assumption.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H1"/>
    </sheetView>
  </sheetViews>
  <sheetFormatPr defaultRowHeight="13.5"/>
  <cols>
    <col min="1" max="1" width="24" customWidth="1"/>
    <col min="2" max="2" width="92" customWidth="1"/>
  </cols>
  <sheetData>
    <row r="1" spans="1:8" ht="30" customHeight="1">
      <c r="A1" s="36" t="s">
        <v>0</v>
      </c>
      <c r="B1" s="36" t="s">
        <v>0</v>
      </c>
      <c r="C1" s="36" t="s">
        <v>0</v>
      </c>
      <c r="D1" s="36" t="s">
        <v>0</v>
      </c>
      <c r="E1" s="36" t="s">
        <v>0</v>
      </c>
      <c r="F1" s="36" t="s">
        <v>0</v>
      </c>
      <c r="G1" s="36" t="s">
        <v>0</v>
      </c>
      <c r="H1" s="36" t="s">
        <v>0</v>
      </c>
    </row>
    <row r="2" spans="1:8" ht="32" customHeight="1">
      <c r="A2" s="37" t="s">
        <v>1</v>
      </c>
      <c r="B2" s="37" t="s">
        <v>1</v>
      </c>
      <c r="C2" s="37" t="s">
        <v>1</v>
      </c>
      <c r="D2" s="37" t="s">
        <v>1</v>
      </c>
      <c r="E2" s="37" t="s">
        <v>1</v>
      </c>
      <c r="F2" s="37" t="s">
        <v>1</v>
      </c>
      <c r="G2" s="37" t="s">
        <v>1</v>
      </c>
      <c r="H2" s="37" t="s">
        <v>1</v>
      </c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>
      <c r="A4" s="38" t="s">
        <v>2</v>
      </c>
      <c r="B4" s="38" t="s">
        <v>2</v>
      </c>
      <c r="C4" s="38" t="s">
        <v>2</v>
      </c>
      <c r="D4" s="38" t="s">
        <v>2</v>
      </c>
      <c r="E4" s="38" t="s">
        <v>2</v>
      </c>
      <c r="F4" s="38" t="s">
        <v>2</v>
      </c>
      <c r="G4" s="38" t="s">
        <v>2</v>
      </c>
      <c r="H4" s="38" t="s">
        <v>2</v>
      </c>
    </row>
    <row r="5" spans="1:8" ht="13.9">
      <c r="A5" s="2" t="s">
        <v>3</v>
      </c>
      <c r="B5" s="2" t="s">
        <v>4</v>
      </c>
      <c r="C5" s="1"/>
      <c r="D5" s="1"/>
      <c r="E5" s="1"/>
      <c r="F5" s="1"/>
      <c r="G5" s="1"/>
      <c r="H5" s="1"/>
    </row>
    <row r="6" spans="1:8" ht="26.25">
      <c r="A6" s="3" t="s">
        <v>5</v>
      </c>
      <c r="B6" s="4" t="s">
        <v>6</v>
      </c>
      <c r="C6" s="1"/>
      <c r="D6" s="1"/>
      <c r="E6" s="1"/>
      <c r="F6" s="1"/>
      <c r="G6" s="1"/>
      <c r="H6" s="1"/>
    </row>
    <row r="7" spans="1:8" ht="13.9">
      <c r="A7" s="3" t="s">
        <v>7</v>
      </c>
      <c r="B7" s="4" t="s">
        <v>8</v>
      </c>
      <c r="C7" s="1"/>
      <c r="D7" s="1"/>
      <c r="E7" s="1"/>
      <c r="F7" s="1"/>
      <c r="G7" s="1"/>
      <c r="H7" s="1"/>
    </row>
    <row r="8" spans="1:8" ht="13.9">
      <c r="A8" s="3" t="s">
        <v>9</v>
      </c>
      <c r="B8" s="4" t="s">
        <v>10</v>
      </c>
      <c r="C8" s="1"/>
      <c r="D8" s="1"/>
      <c r="E8" s="1"/>
      <c r="F8" s="1"/>
      <c r="G8" s="1"/>
      <c r="H8" s="1"/>
    </row>
    <row r="9" spans="1:8" ht="13.9">
      <c r="A9" s="3" t="s">
        <v>11</v>
      </c>
      <c r="B9" s="4" t="s">
        <v>12</v>
      </c>
      <c r="C9" s="1"/>
      <c r="D9" s="1"/>
      <c r="E9" s="1"/>
      <c r="F9" s="1"/>
      <c r="G9" s="1"/>
      <c r="H9" s="1"/>
    </row>
    <row r="10" spans="1:8" ht="13.9">
      <c r="A10" s="3" t="s">
        <v>13</v>
      </c>
      <c r="B10" s="4" t="s">
        <v>14</v>
      </c>
      <c r="C10" s="1"/>
      <c r="D10" s="1"/>
      <c r="E10" s="1"/>
      <c r="F10" s="1"/>
      <c r="G10" s="1"/>
      <c r="H10" s="1"/>
    </row>
    <row r="11" spans="1:8" ht="13.9">
      <c r="A11" s="3" t="s">
        <v>15</v>
      </c>
      <c r="B11" s="4" t="s">
        <v>16</v>
      </c>
      <c r="C11" s="1"/>
      <c r="D11" s="1"/>
      <c r="E11" s="1"/>
      <c r="F11" s="1"/>
      <c r="G11" s="1"/>
      <c r="H11" s="1"/>
    </row>
    <row r="12" spans="1:8" ht="13.9">
      <c r="A12" s="3" t="s">
        <v>17</v>
      </c>
      <c r="B12" s="4" t="s">
        <v>18</v>
      </c>
      <c r="C12" s="1"/>
      <c r="D12" s="1"/>
      <c r="E12" s="1"/>
      <c r="F12" s="1"/>
      <c r="G12" s="1"/>
      <c r="H12" s="1"/>
    </row>
    <row r="13" spans="1:8" ht="13.9">
      <c r="A13" s="1"/>
      <c r="B13" s="1"/>
      <c r="C13" s="1"/>
      <c r="D13" s="1"/>
      <c r="E13" s="1"/>
      <c r="F13" s="1"/>
      <c r="G13" s="1"/>
      <c r="H13" s="1"/>
    </row>
    <row r="14" spans="1:8">
      <c r="A14" s="38" t="s">
        <v>19</v>
      </c>
      <c r="B14" s="38" t="s">
        <v>19</v>
      </c>
      <c r="C14" s="38" t="s">
        <v>19</v>
      </c>
      <c r="D14" s="38" t="s">
        <v>19</v>
      </c>
      <c r="E14" s="38" t="s">
        <v>19</v>
      </c>
      <c r="F14" s="38" t="s">
        <v>19</v>
      </c>
      <c r="G14" s="38" t="s">
        <v>19</v>
      </c>
      <c r="H14" s="38" t="s">
        <v>19</v>
      </c>
    </row>
    <row r="15" spans="1:8" ht="13.9">
      <c r="A15" s="2" t="s">
        <v>20</v>
      </c>
      <c r="B15" s="2" t="s">
        <v>21</v>
      </c>
      <c r="C15" s="1"/>
      <c r="D15" s="1"/>
      <c r="E15" s="1"/>
      <c r="F15" s="1"/>
      <c r="G15" s="1"/>
      <c r="H15" s="1"/>
    </row>
    <row r="16" spans="1:8" ht="13.9">
      <c r="A16" s="1" t="s">
        <v>22</v>
      </c>
      <c r="B16" s="4" t="s">
        <v>23</v>
      </c>
      <c r="C16" s="1"/>
      <c r="D16" s="1"/>
      <c r="E16" s="1"/>
      <c r="F16" s="1"/>
      <c r="G16" s="1"/>
      <c r="H16" s="1"/>
    </row>
    <row r="17" spans="1:8" ht="13.9">
      <c r="A17" s="1" t="s">
        <v>24</v>
      </c>
      <c r="B17" s="4" t="s">
        <v>25</v>
      </c>
      <c r="C17" s="1"/>
      <c r="D17" s="1"/>
      <c r="E17" s="1"/>
      <c r="F17" s="1"/>
      <c r="G17" s="1"/>
      <c r="H17" s="1"/>
    </row>
    <row r="18" spans="1:8" ht="13.9">
      <c r="A18" s="1" t="s">
        <v>26</v>
      </c>
      <c r="B18" s="4" t="s">
        <v>27</v>
      </c>
      <c r="C18" s="1"/>
      <c r="D18" s="1"/>
      <c r="E18" s="1"/>
      <c r="F18" s="1"/>
      <c r="G18" s="1"/>
      <c r="H18" s="1"/>
    </row>
    <row r="19" spans="1:8" ht="13.9">
      <c r="A19" s="1" t="s">
        <v>28</v>
      </c>
      <c r="B19" s="4" t="s">
        <v>29</v>
      </c>
      <c r="C19" s="1"/>
      <c r="D19" s="1"/>
      <c r="E19" s="1"/>
      <c r="F19" s="1"/>
      <c r="G19" s="1"/>
      <c r="H19" s="1"/>
    </row>
    <row r="20" spans="1:8" ht="13.9">
      <c r="A20" s="1" t="s">
        <v>30</v>
      </c>
      <c r="B20" s="4" t="s">
        <v>31</v>
      </c>
      <c r="C20" s="1"/>
      <c r="D20" s="1"/>
      <c r="E20" s="1"/>
      <c r="F20" s="1"/>
      <c r="G20" s="1"/>
      <c r="H20" s="1"/>
    </row>
    <row r="21" spans="1:8" ht="13.9">
      <c r="A21" s="1" t="s">
        <v>32</v>
      </c>
      <c r="B21" s="4" t="s">
        <v>33</v>
      </c>
      <c r="C21" s="1"/>
      <c r="D21" s="1"/>
      <c r="E21" s="1"/>
      <c r="F21" s="1"/>
      <c r="G21" s="1"/>
      <c r="H21" s="1"/>
    </row>
    <row r="22" spans="1:8" ht="13.9">
      <c r="A22" s="1" t="s">
        <v>34</v>
      </c>
      <c r="B22" s="4" t="s">
        <v>35</v>
      </c>
      <c r="C22" s="1"/>
      <c r="D22" s="1"/>
      <c r="E22" s="1"/>
      <c r="F22" s="1"/>
      <c r="G22" s="1"/>
      <c r="H22" s="1"/>
    </row>
    <row r="23" spans="1:8" ht="13.9">
      <c r="A23" s="1"/>
      <c r="B23" s="1"/>
      <c r="C23" s="1"/>
      <c r="D23" s="1"/>
      <c r="E23" s="1"/>
      <c r="F23" s="1"/>
      <c r="G23" s="1"/>
      <c r="H23" s="1"/>
    </row>
    <row r="24" spans="1:8">
      <c r="A24" s="38" t="s">
        <v>36</v>
      </c>
      <c r="B24" s="38" t="s">
        <v>36</v>
      </c>
      <c r="C24" s="38" t="s">
        <v>36</v>
      </c>
      <c r="D24" s="38" t="s">
        <v>36</v>
      </c>
      <c r="E24" s="38" t="s">
        <v>36</v>
      </c>
      <c r="F24" s="38" t="s">
        <v>36</v>
      </c>
      <c r="G24" s="38" t="s">
        <v>36</v>
      </c>
      <c r="H24" s="38" t="s">
        <v>36</v>
      </c>
    </row>
    <row r="25" spans="1:8" ht="13.9">
      <c r="A25" s="39" t="s">
        <v>37</v>
      </c>
      <c r="B25" s="39"/>
      <c r="C25" s="39"/>
      <c r="D25" s="39"/>
      <c r="E25" s="39"/>
      <c r="F25" s="39"/>
      <c r="G25" s="39"/>
      <c r="H25" s="39"/>
    </row>
    <row r="26" spans="1:8" ht="13.9">
      <c r="A26" s="39" t="s">
        <v>38</v>
      </c>
      <c r="B26" s="39"/>
      <c r="C26" s="39"/>
      <c r="D26" s="39"/>
      <c r="E26" s="39"/>
      <c r="F26" s="39"/>
      <c r="G26" s="39"/>
      <c r="H26" s="39"/>
    </row>
    <row r="27" spans="1:8" ht="13.9">
      <c r="A27" s="39" t="s">
        <v>39</v>
      </c>
      <c r="B27" s="39"/>
      <c r="C27" s="39"/>
      <c r="D27" s="39"/>
      <c r="E27" s="39"/>
      <c r="F27" s="39"/>
      <c r="G27" s="39"/>
      <c r="H27" s="39"/>
    </row>
    <row r="28" spans="1:8" ht="13.9">
      <c r="A28" s="39" t="s">
        <v>40</v>
      </c>
      <c r="B28" s="39"/>
      <c r="C28" s="39"/>
      <c r="D28" s="39"/>
      <c r="E28" s="39"/>
      <c r="F28" s="39"/>
      <c r="G28" s="39"/>
      <c r="H28" s="39"/>
    </row>
    <row r="29" spans="1:8" ht="13.9">
      <c r="A29" s="39" t="s">
        <v>41</v>
      </c>
      <c r="B29" s="39"/>
      <c r="C29" s="39"/>
      <c r="D29" s="39"/>
      <c r="E29" s="39"/>
      <c r="F29" s="39"/>
      <c r="G29" s="39"/>
      <c r="H29" s="39"/>
    </row>
  </sheetData>
  <mergeCells count="10">
    <mergeCell ref="A25:H25"/>
    <mergeCell ref="A26:H26"/>
    <mergeCell ref="A27:H27"/>
    <mergeCell ref="A28:H28"/>
    <mergeCell ref="A29:H29"/>
    <mergeCell ref="A1:H1"/>
    <mergeCell ref="A2:H2"/>
    <mergeCell ref="A4:H4"/>
    <mergeCell ref="A14:H14"/>
    <mergeCell ref="A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/>
  </sheetViews>
  <sheetFormatPr defaultRowHeight="13.5"/>
  <cols>
    <col min="1" max="1" width="34" customWidth="1"/>
    <col min="2" max="3" width="20" customWidth="1"/>
    <col min="4" max="4" width="22" customWidth="1"/>
    <col min="5" max="5" width="30" customWidth="1"/>
    <col min="6" max="6" width="52" customWidth="1"/>
  </cols>
  <sheetData>
    <row r="1" spans="1:6" ht="30" customHeight="1">
      <c r="A1" s="40" t="s">
        <v>42</v>
      </c>
      <c r="B1" s="40" t="s">
        <v>42</v>
      </c>
      <c r="C1" s="40" t="s">
        <v>42</v>
      </c>
      <c r="D1" s="40" t="s">
        <v>42</v>
      </c>
      <c r="E1" s="40" t="s">
        <v>42</v>
      </c>
      <c r="F1" s="40" t="s">
        <v>42</v>
      </c>
    </row>
    <row r="2" spans="1:6" ht="32" customHeight="1">
      <c r="A2" s="37" t="s">
        <v>43</v>
      </c>
      <c r="B2" s="37" t="s">
        <v>43</v>
      </c>
      <c r="C2" s="37" t="s">
        <v>43</v>
      </c>
      <c r="D2" s="37" t="s">
        <v>43</v>
      </c>
      <c r="E2" s="37" t="s">
        <v>43</v>
      </c>
      <c r="F2" s="37" t="s">
        <v>43</v>
      </c>
    </row>
    <row r="3" spans="1:6" ht="13.9">
      <c r="A3" s="1"/>
      <c r="B3" s="1"/>
      <c r="C3" s="1"/>
      <c r="D3" s="1"/>
      <c r="E3" s="1"/>
      <c r="F3" s="1"/>
    </row>
    <row r="4" spans="1:6">
      <c r="A4" s="2" t="s">
        <v>44</v>
      </c>
      <c r="B4" s="2" t="s">
        <v>45</v>
      </c>
      <c r="C4" s="2" t="s">
        <v>46</v>
      </c>
      <c r="D4" s="2" t="s">
        <v>11</v>
      </c>
      <c r="E4" s="2" t="s">
        <v>47</v>
      </c>
      <c r="F4" s="2" t="s">
        <v>48</v>
      </c>
    </row>
    <row r="5" spans="1:6" ht="13.9">
      <c r="A5" s="3" t="s">
        <v>49</v>
      </c>
      <c r="B5" s="5" t="s">
        <v>50</v>
      </c>
      <c r="C5" s="1" t="s">
        <v>51</v>
      </c>
      <c r="D5" s="1" t="s">
        <v>52</v>
      </c>
      <c r="E5" s="1" t="s">
        <v>53</v>
      </c>
      <c r="F5" s="1" t="s">
        <v>54</v>
      </c>
    </row>
    <row r="6" spans="1:6" ht="13.9">
      <c r="A6" s="3" t="s">
        <v>55</v>
      </c>
      <c r="B6" s="6">
        <v>1</v>
      </c>
      <c r="C6" s="1" t="s">
        <v>56</v>
      </c>
      <c r="D6" s="1" t="s">
        <v>57</v>
      </c>
      <c r="E6" s="1" t="s">
        <v>58</v>
      </c>
      <c r="F6" s="1" t="s">
        <v>59</v>
      </c>
    </row>
    <row r="7" spans="1:6" ht="13.9">
      <c r="A7" s="3" t="s">
        <v>60</v>
      </c>
      <c r="B7" s="7">
        <v>0.03</v>
      </c>
      <c r="C7" s="1" t="s">
        <v>61</v>
      </c>
      <c r="D7" s="1" t="s">
        <v>62</v>
      </c>
      <c r="E7" s="1" t="s">
        <v>63</v>
      </c>
      <c r="F7" s="1" t="s">
        <v>64</v>
      </c>
    </row>
    <row r="8" spans="1:6" ht="13.9">
      <c r="A8" s="3" t="s">
        <v>65</v>
      </c>
      <c r="B8" s="7">
        <v>0.03</v>
      </c>
      <c r="C8" s="1" t="s">
        <v>61</v>
      </c>
      <c r="D8" s="1" t="s">
        <v>62</v>
      </c>
      <c r="E8" s="1" t="s">
        <v>63</v>
      </c>
      <c r="F8" s="1" t="s">
        <v>64</v>
      </c>
    </row>
    <row r="9" spans="1:6" ht="13.9">
      <c r="A9" s="3" t="s">
        <v>66</v>
      </c>
      <c r="B9" s="8">
        <v>85000000</v>
      </c>
      <c r="C9" s="1" t="s">
        <v>67</v>
      </c>
      <c r="D9" s="1" t="s">
        <v>62</v>
      </c>
      <c r="E9" s="1" t="s">
        <v>63</v>
      </c>
      <c r="F9" s="1" t="s">
        <v>68</v>
      </c>
    </row>
    <row r="10" spans="1:6" ht="13.9">
      <c r="A10" s="3" t="s">
        <v>69</v>
      </c>
      <c r="B10" s="7">
        <v>0.45</v>
      </c>
      <c r="C10" s="1" t="s">
        <v>61</v>
      </c>
      <c r="D10" s="1" t="s">
        <v>70</v>
      </c>
      <c r="E10" s="1" t="s">
        <v>71</v>
      </c>
      <c r="F10" s="1" t="s">
        <v>72</v>
      </c>
    </row>
    <row r="11" spans="1:6" ht="13.9">
      <c r="A11" s="3" t="s">
        <v>73</v>
      </c>
      <c r="B11" s="7">
        <v>0.7077</v>
      </c>
      <c r="C11" s="1" t="s">
        <v>61</v>
      </c>
      <c r="D11" s="1" t="s">
        <v>70</v>
      </c>
      <c r="E11" s="1" t="s">
        <v>74</v>
      </c>
      <c r="F11" s="1" t="s">
        <v>72</v>
      </c>
    </row>
    <row r="12" spans="1:6" ht="13.9">
      <c r="A12" s="3" t="s">
        <v>75</v>
      </c>
      <c r="B12" s="6">
        <v>4</v>
      </c>
      <c r="C12" s="1" t="s">
        <v>76</v>
      </c>
      <c r="D12" s="1" t="s">
        <v>70</v>
      </c>
      <c r="E12" s="1" t="s">
        <v>77</v>
      </c>
      <c r="F12" s="1" t="s">
        <v>78</v>
      </c>
    </row>
    <row r="13" spans="1:6" ht="13.9">
      <c r="A13" s="3" t="s">
        <v>79</v>
      </c>
      <c r="B13" s="6">
        <v>5</v>
      </c>
      <c r="C13" s="1" t="s">
        <v>76</v>
      </c>
      <c r="D13" s="1" t="s">
        <v>70</v>
      </c>
      <c r="E13" s="1" t="s">
        <v>77</v>
      </c>
      <c r="F13" s="1" t="s">
        <v>78</v>
      </c>
    </row>
    <row r="14" spans="1:6" ht="13.9">
      <c r="A14" s="3" t="s">
        <v>80</v>
      </c>
      <c r="B14" s="8">
        <v>15399360</v>
      </c>
      <c r="C14" s="1" t="s">
        <v>81</v>
      </c>
      <c r="D14" s="1" t="s">
        <v>82</v>
      </c>
      <c r="E14" s="1" t="s">
        <v>83</v>
      </c>
      <c r="F14" s="1" t="s">
        <v>84</v>
      </c>
    </row>
    <row r="15" spans="1:6" ht="13.9">
      <c r="A15" s="3" t="s">
        <v>85</v>
      </c>
      <c r="B15" s="8">
        <v>324000</v>
      </c>
      <c r="C15" s="1" t="s">
        <v>81</v>
      </c>
      <c r="D15" s="1" t="s">
        <v>82</v>
      </c>
      <c r="E15" s="1" t="s">
        <v>83</v>
      </c>
      <c r="F15" s="1" t="s">
        <v>86</v>
      </c>
    </row>
    <row r="16" spans="1:6" ht="13.9">
      <c r="A16" s="3" t="s">
        <v>87</v>
      </c>
      <c r="B16" s="8">
        <v>6889093</v>
      </c>
      <c r="C16" s="1" t="s">
        <v>88</v>
      </c>
      <c r="D16" s="1" t="s">
        <v>82</v>
      </c>
      <c r="E16" s="1" t="s">
        <v>89</v>
      </c>
      <c r="F16" s="1" t="s">
        <v>90</v>
      </c>
    </row>
    <row r="17" spans="1:6" ht="13.9">
      <c r="A17" s="3" t="s">
        <v>91</v>
      </c>
      <c r="B17" s="8">
        <v>9105003</v>
      </c>
      <c r="C17" s="1" t="s">
        <v>88</v>
      </c>
      <c r="D17" s="1" t="s">
        <v>82</v>
      </c>
      <c r="E17" s="1" t="s">
        <v>92</v>
      </c>
      <c r="F17" s="1" t="s">
        <v>93</v>
      </c>
    </row>
    <row r="18" spans="1:6" ht="13.9">
      <c r="A18" s="3" t="s">
        <v>94</v>
      </c>
      <c r="B18" s="9">
        <v>0.7</v>
      </c>
      <c r="C18" s="1" t="s">
        <v>95</v>
      </c>
      <c r="D18" s="1" t="s">
        <v>62</v>
      </c>
      <c r="E18" s="1" t="s">
        <v>63</v>
      </c>
      <c r="F18" s="1" t="s">
        <v>96</v>
      </c>
    </row>
    <row r="19" spans="1:6" ht="13.9">
      <c r="A19" s="3" t="s">
        <v>97</v>
      </c>
      <c r="B19" s="9">
        <v>0.1</v>
      </c>
      <c r="C19" s="1" t="s">
        <v>98</v>
      </c>
      <c r="D19" s="1" t="s">
        <v>62</v>
      </c>
      <c r="E19" s="1" t="s">
        <v>63</v>
      </c>
      <c r="F19" s="1" t="s">
        <v>96</v>
      </c>
    </row>
    <row r="20" spans="1:6" ht="13.9">
      <c r="A20" s="3" t="s">
        <v>99</v>
      </c>
      <c r="B20" s="8">
        <v>0</v>
      </c>
      <c r="C20" s="1" t="s">
        <v>81</v>
      </c>
      <c r="D20" s="1" t="s">
        <v>100</v>
      </c>
      <c r="E20" s="1" t="s">
        <v>101</v>
      </c>
      <c r="F20" s="1" t="s">
        <v>102</v>
      </c>
    </row>
    <row r="21" spans="1:6" ht="13.9">
      <c r="A21" s="3" t="s">
        <v>103</v>
      </c>
      <c r="B21" s="8">
        <v>0</v>
      </c>
      <c r="C21" s="1" t="s">
        <v>81</v>
      </c>
      <c r="D21" s="1" t="s">
        <v>100</v>
      </c>
      <c r="E21" s="1" t="s">
        <v>101</v>
      </c>
      <c r="F21" s="1" t="s">
        <v>102</v>
      </c>
    </row>
    <row r="22" spans="1:6" ht="13.9">
      <c r="A22" s="3" t="s">
        <v>104</v>
      </c>
      <c r="B22" s="8">
        <v>100</v>
      </c>
      <c r="C22" s="1" t="s">
        <v>105</v>
      </c>
      <c r="D22" s="1" t="s">
        <v>106</v>
      </c>
      <c r="E22" s="1" t="s">
        <v>101</v>
      </c>
      <c r="F22" s="1" t="s">
        <v>107</v>
      </c>
    </row>
    <row r="23" spans="1:6" ht="13.9">
      <c r="A23" s="3" t="s">
        <v>108</v>
      </c>
      <c r="B23" s="7">
        <v>0.1</v>
      </c>
      <c r="C23" s="1" t="s">
        <v>109</v>
      </c>
      <c r="D23" s="1" t="s">
        <v>110</v>
      </c>
      <c r="E23" s="1" t="s">
        <v>111</v>
      </c>
      <c r="F23" s="1" t="s">
        <v>112</v>
      </c>
    </row>
    <row r="24" spans="1:6" ht="13.9">
      <c r="A24" s="3" t="s">
        <v>113</v>
      </c>
      <c r="B24" s="7">
        <v>0.3</v>
      </c>
      <c r="C24" s="1" t="s">
        <v>109</v>
      </c>
      <c r="D24" s="1" t="s">
        <v>110</v>
      </c>
      <c r="E24" s="1" t="s">
        <v>111</v>
      </c>
      <c r="F24" s="1" t="s">
        <v>114</v>
      </c>
    </row>
    <row r="25" spans="1:6" ht="13.9">
      <c r="A25" s="3" t="s">
        <v>115</v>
      </c>
      <c r="B25" s="7">
        <v>0.5</v>
      </c>
      <c r="C25" s="1" t="s">
        <v>109</v>
      </c>
      <c r="D25" s="1" t="s">
        <v>110</v>
      </c>
      <c r="E25" s="1" t="s">
        <v>111</v>
      </c>
      <c r="F25" s="1" t="s">
        <v>116</v>
      </c>
    </row>
    <row r="26" spans="1:6" ht="13.9">
      <c r="A26" s="3" t="s">
        <v>117</v>
      </c>
      <c r="B26" s="8">
        <v>1000</v>
      </c>
      <c r="C26" s="1" t="s">
        <v>118</v>
      </c>
      <c r="D26" s="1" t="s">
        <v>119</v>
      </c>
      <c r="E26" s="1" t="s">
        <v>120</v>
      </c>
      <c r="F26" s="1" t="s">
        <v>121</v>
      </c>
    </row>
    <row r="27" spans="1:6" ht="13.9">
      <c r="A27" s="3" t="s">
        <v>122</v>
      </c>
      <c r="B27" s="8">
        <v>20260724</v>
      </c>
      <c r="C27" s="1" t="s">
        <v>123</v>
      </c>
      <c r="D27" s="1" t="s">
        <v>119</v>
      </c>
      <c r="E27" s="1" t="s">
        <v>120</v>
      </c>
      <c r="F27" s="1" t="s">
        <v>124</v>
      </c>
    </row>
    <row r="28" spans="1:6" ht="13.9">
      <c r="A28" s="3" t="s">
        <v>125</v>
      </c>
      <c r="B28" s="10" t="s">
        <v>126</v>
      </c>
      <c r="C28" s="1" t="s">
        <v>127</v>
      </c>
      <c r="D28" s="1" t="s">
        <v>128</v>
      </c>
      <c r="E28" s="1" t="s">
        <v>129</v>
      </c>
      <c r="F28" s="1" t="s">
        <v>130</v>
      </c>
    </row>
  </sheetData>
  <mergeCells count="2">
    <mergeCell ref="A1:F1"/>
    <mergeCell ref="A2:F2"/>
  </mergeCells>
  <conditionalFormatting sqref="D5:D28">
    <cfRule type="containsText" dxfId="8" priority="1" operator="containsText" text="Illustrative"/>
    <cfRule type="containsText" dxfId="7" priority="2" operator="containsText" text="Proxy"/>
  </conditionalFormatting>
  <dataValidations count="2">
    <dataValidation type="whole" sqref="B6" xr:uid="{00000000-0002-0000-0100-000000000000}">
      <formula1>1</formula1>
      <formula2>5</formula2>
    </dataValidation>
    <dataValidation type="list" sqref="B28" xr:uid="{00000000-0002-0000-0100-000001000000}">
      <formula1>"Dynamic fixed-seed,Baseline validation"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workbookViewId="0"/>
  </sheetViews>
  <sheetFormatPr defaultRowHeight="13.5"/>
  <cols>
    <col min="1" max="1" width="12" customWidth="1"/>
    <col min="2" max="3" width="16" customWidth="1"/>
    <col min="4" max="4" width="40" customWidth="1"/>
    <col min="5" max="5" width="16" customWidth="1"/>
    <col min="6" max="6" width="35" customWidth="1"/>
    <col min="7" max="7" width="16" customWidth="1"/>
    <col min="8" max="8" width="20" customWidth="1"/>
    <col min="9" max="10" width="16" customWidth="1"/>
  </cols>
  <sheetData>
    <row r="1" spans="1:10" ht="30" customHeight="1">
      <c r="A1" s="36" t="s">
        <v>131</v>
      </c>
      <c r="B1" s="36" t="s">
        <v>131</v>
      </c>
      <c r="C1" s="36" t="s">
        <v>131</v>
      </c>
      <c r="D1" s="36" t="s">
        <v>131</v>
      </c>
      <c r="E1" s="36" t="s">
        <v>131</v>
      </c>
      <c r="F1" s="36" t="s">
        <v>131</v>
      </c>
      <c r="G1" s="36" t="s">
        <v>131</v>
      </c>
      <c r="H1" s="36" t="s">
        <v>131</v>
      </c>
      <c r="I1" s="36" t="s">
        <v>131</v>
      </c>
      <c r="J1" s="36" t="s">
        <v>131</v>
      </c>
    </row>
    <row r="2" spans="1:10" ht="32" customHeight="1">
      <c r="A2" s="37" t="s">
        <v>132</v>
      </c>
      <c r="B2" s="37" t="s">
        <v>132</v>
      </c>
      <c r="C2" s="37" t="s">
        <v>132</v>
      </c>
      <c r="D2" s="37" t="s">
        <v>132</v>
      </c>
      <c r="E2" s="37" t="s">
        <v>132</v>
      </c>
      <c r="F2" s="37" t="s">
        <v>132</v>
      </c>
      <c r="G2" s="37" t="s">
        <v>132</v>
      </c>
      <c r="H2" s="37" t="s">
        <v>132</v>
      </c>
      <c r="I2" s="37" t="s">
        <v>132</v>
      </c>
      <c r="J2" s="37" t="s">
        <v>132</v>
      </c>
    </row>
    <row r="3" spans="1:10" ht="13.9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138</v>
      </c>
      <c r="G4" s="2" t="s">
        <v>139</v>
      </c>
      <c r="H4" s="2" t="s">
        <v>140</v>
      </c>
      <c r="I4" s="2" t="s">
        <v>141</v>
      </c>
      <c r="J4" s="2" t="s">
        <v>142</v>
      </c>
    </row>
    <row r="5" spans="1:10" ht="13.9">
      <c r="A5" s="1">
        <v>1</v>
      </c>
      <c r="B5" s="11">
        <f>IF(A5&lt;='01_INPUTS'!B6,1,0)</f>
        <v>1</v>
      </c>
      <c r="C5" s="11">
        <f>IF(B5=1,1/(1+'01_INPUTS'!B7)^(A5-1),0)</f>
        <v>1</v>
      </c>
      <c r="D5" s="11">
        <f>IF(B5=1,1/(1+'01_INPUTS'!B8)^(A5-1),0)</f>
        <v>1</v>
      </c>
      <c r="E5" s="11">
        <f>B5*C5*('01_INPUTS'!B14+'01_INPUTS'!B10*'01_INPUTS'!B16+'01_INPUTS'!B20)</f>
        <v>18499451.850000001</v>
      </c>
      <c r="F5" s="11">
        <f>B5*C5*('01_INPUTS'!B15+'01_INPUTS'!B11*'01_INPUTS'!B16+'01_INPUTS'!B21)</f>
        <v>5199411.1161000002</v>
      </c>
      <c r="G5" s="11">
        <f>B5*D5*('01_INPUTS'!B18-'01_INPUTS'!B10*'01_INPUTS'!B19)</f>
        <v>0.65499999999999992</v>
      </c>
      <c r="H5" s="11">
        <f>B5*D5*('01_INPUTS'!B18-'01_INPUTS'!B11*'01_INPUTS'!B19)</f>
        <v>0.62922999999999996</v>
      </c>
      <c r="I5" s="11">
        <f>E5-F5</f>
        <v>13300040.733900001</v>
      </c>
      <c r="J5" s="11">
        <f>G5-H5</f>
        <v>2.576999999999996E-2</v>
      </c>
    </row>
    <row r="6" spans="1:10" ht="13.9">
      <c r="A6" s="1">
        <v>2</v>
      </c>
      <c r="B6" s="11">
        <f>IF(A6&lt;='01_INPUTS'!B6,1,0)</f>
        <v>0</v>
      </c>
      <c r="C6" s="11">
        <f>IF(B6=1,1/(1+'01_INPUTS'!B7)^(A6-1),0)</f>
        <v>0</v>
      </c>
      <c r="D6" s="11">
        <f>IF(B6=1,1/(1+'01_INPUTS'!B8)^(A6-1),0)</f>
        <v>0</v>
      </c>
      <c r="E6" s="11">
        <f>B6*C6*('01_INPUTS'!B14+'01_INPUTS'!B10*'01_INPUTS'!B16+'01_INPUTS'!B20)</f>
        <v>0</v>
      </c>
      <c r="F6" s="11">
        <f>B6*C6*('01_INPUTS'!B15+'01_INPUTS'!B11*'01_INPUTS'!B16+'01_INPUTS'!B21)</f>
        <v>0</v>
      </c>
      <c r="G6" s="11">
        <f>B6*D6*('01_INPUTS'!B18-'01_INPUTS'!B10*'01_INPUTS'!B19)</f>
        <v>0</v>
      </c>
      <c r="H6" s="11">
        <f>B6*D6*('01_INPUTS'!B18-'01_INPUTS'!B11*'01_INPUTS'!B19)</f>
        <v>0</v>
      </c>
      <c r="I6" s="11">
        <f>E6-F6</f>
        <v>0</v>
      </c>
      <c r="J6" s="11">
        <f>G6-H6</f>
        <v>0</v>
      </c>
    </row>
    <row r="7" spans="1:10" ht="13.9">
      <c r="A7" s="1">
        <v>3</v>
      </c>
      <c r="B7" s="11">
        <f>IF(A7&lt;='01_INPUTS'!B6,1,0)</f>
        <v>0</v>
      </c>
      <c r="C7" s="11">
        <f>IF(B7=1,1/(1+'01_INPUTS'!B7)^(A7-1),0)</f>
        <v>0</v>
      </c>
      <c r="D7" s="11">
        <f>IF(B7=1,1/(1+'01_INPUTS'!B8)^(A7-1),0)</f>
        <v>0</v>
      </c>
      <c r="E7" s="11">
        <f>B7*C7*('01_INPUTS'!B14+'01_INPUTS'!B10*'01_INPUTS'!B16+'01_INPUTS'!B20)</f>
        <v>0</v>
      </c>
      <c r="F7" s="11">
        <f>B7*C7*('01_INPUTS'!B15+'01_INPUTS'!B11*'01_INPUTS'!B16+'01_INPUTS'!B21)</f>
        <v>0</v>
      </c>
      <c r="G7" s="11">
        <f>B7*D7*('01_INPUTS'!B18-'01_INPUTS'!B10*'01_INPUTS'!B19)</f>
        <v>0</v>
      </c>
      <c r="H7" s="11">
        <f>B7*D7*('01_INPUTS'!B18-'01_INPUTS'!B11*'01_INPUTS'!B19)</f>
        <v>0</v>
      </c>
      <c r="I7" s="11">
        <f>E7-F7</f>
        <v>0</v>
      </c>
      <c r="J7" s="11">
        <f>G7-H7</f>
        <v>0</v>
      </c>
    </row>
    <row r="8" spans="1:10" ht="13.9">
      <c r="A8" s="1">
        <v>4</v>
      </c>
      <c r="B8" s="11">
        <f>IF(A8&lt;='01_INPUTS'!B6,1,0)</f>
        <v>0</v>
      </c>
      <c r="C8" s="11">
        <f>IF(B8=1,1/(1+'01_INPUTS'!B7)^(A8-1),0)</f>
        <v>0</v>
      </c>
      <c r="D8" s="11">
        <f>IF(B8=1,1/(1+'01_INPUTS'!B8)^(A8-1),0)</f>
        <v>0</v>
      </c>
      <c r="E8" s="11">
        <f>B8*C8*('01_INPUTS'!B14+'01_INPUTS'!B10*'01_INPUTS'!B16+'01_INPUTS'!B20)</f>
        <v>0</v>
      </c>
      <c r="F8" s="11">
        <f>B8*C8*('01_INPUTS'!B15+'01_INPUTS'!B11*'01_INPUTS'!B16+'01_INPUTS'!B21)</f>
        <v>0</v>
      </c>
      <c r="G8" s="11">
        <f>B8*D8*('01_INPUTS'!B18-'01_INPUTS'!B10*'01_INPUTS'!B19)</f>
        <v>0</v>
      </c>
      <c r="H8" s="11">
        <f>B8*D8*('01_INPUTS'!B18-'01_INPUTS'!B11*'01_INPUTS'!B19)</f>
        <v>0</v>
      </c>
      <c r="I8" s="11">
        <f>E8-F8</f>
        <v>0</v>
      </c>
      <c r="J8" s="11">
        <f>G8-H8</f>
        <v>0</v>
      </c>
    </row>
    <row r="9" spans="1:10" ht="13.9">
      <c r="A9" s="1">
        <v>5</v>
      </c>
      <c r="B9" s="11">
        <f>IF(A9&lt;='01_INPUTS'!B6,1,0)</f>
        <v>0</v>
      </c>
      <c r="C9" s="11">
        <f>IF(B9=1,1/(1+'01_INPUTS'!B7)^(A9-1),0)</f>
        <v>0</v>
      </c>
      <c r="D9" s="11">
        <f>IF(B9=1,1/(1+'01_INPUTS'!B8)^(A9-1),0)</f>
        <v>0</v>
      </c>
      <c r="E9" s="11">
        <f>B9*C9*('01_INPUTS'!B14+'01_INPUTS'!B10*'01_INPUTS'!B16+'01_INPUTS'!B20)</f>
        <v>0</v>
      </c>
      <c r="F9" s="11">
        <f>B9*C9*('01_INPUTS'!B15+'01_INPUTS'!B11*'01_INPUTS'!B16+'01_INPUTS'!B21)</f>
        <v>0</v>
      </c>
      <c r="G9" s="11">
        <f>B9*D9*('01_INPUTS'!B18-'01_INPUTS'!B10*'01_INPUTS'!B19)</f>
        <v>0</v>
      </c>
      <c r="H9" s="11">
        <f>B9*D9*('01_INPUTS'!B18-'01_INPUTS'!B11*'01_INPUTS'!B19)</f>
        <v>0</v>
      </c>
      <c r="I9" s="11">
        <f>E9-F9</f>
        <v>0</v>
      </c>
      <c r="J9" s="11">
        <f>G9-H9</f>
        <v>0</v>
      </c>
    </row>
    <row r="10" spans="1:10" ht="13.9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3.9">
      <c r="A11" s="12" t="s">
        <v>143</v>
      </c>
      <c r="B11" s="13"/>
      <c r="C11" s="13"/>
      <c r="D11" s="13"/>
      <c r="E11" s="13">
        <f t="shared" ref="E11:J11" si="0">SUM(E5:E9)</f>
        <v>18499451.850000001</v>
      </c>
      <c r="F11" s="13">
        <f t="shared" si="0"/>
        <v>5199411.1161000002</v>
      </c>
      <c r="G11" s="13">
        <f t="shared" si="0"/>
        <v>0.65499999999999992</v>
      </c>
      <c r="H11" s="13">
        <f t="shared" si="0"/>
        <v>0.62922999999999996</v>
      </c>
      <c r="I11" s="13">
        <f t="shared" si="0"/>
        <v>13300040.733900001</v>
      </c>
      <c r="J11" s="14">
        <f t="shared" si="0"/>
        <v>2.576999999999996E-2</v>
      </c>
    </row>
    <row r="12" spans="1:10" ht="13.9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3.9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3.9">
      <c r="A14" s="38" t="s">
        <v>144</v>
      </c>
      <c r="B14" s="38" t="s">
        <v>144</v>
      </c>
      <c r="C14" s="38" t="s">
        <v>144</v>
      </c>
      <c r="D14" s="38" t="s">
        <v>144</v>
      </c>
      <c r="E14" s="1"/>
      <c r="F14" s="38" t="s">
        <v>145</v>
      </c>
      <c r="G14" s="38" t="s">
        <v>145</v>
      </c>
      <c r="H14" s="38" t="s">
        <v>145</v>
      </c>
      <c r="I14" s="38" t="s">
        <v>145</v>
      </c>
      <c r="J14" s="38" t="s">
        <v>145</v>
      </c>
    </row>
    <row r="15" spans="1:10" ht="13.9">
      <c r="A15" s="2" t="s">
        <v>146</v>
      </c>
      <c r="B15" s="2" t="s">
        <v>147</v>
      </c>
      <c r="C15" s="2" t="s">
        <v>46</v>
      </c>
      <c r="D15" s="2" t="s">
        <v>148</v>
      </c>
      <c r="E15" s="1"/>
      <c r="F15" s="2" t="s">
        <v>146</v>
      </c>
      <c r="G15" s="2" t="s">
        <v>147</v>
      </c>
      <c r="H15" s="2" t="s">
        <v>46</v>
      </c>
      <c r="I15" s="1"/>
      <c r="J15" s="1"/>
    </row>
    <row r="16" spans="1:10" ht="13.9">
      <c r="A16" s="1" t="s">
        <v>149</v>
      </c>
      <c r="B16" s="15">
        <f>E11</f>
        <v>18499451.850000001</v>
      </c>
      <c r="C16" s="1" t="s">
        <v>150</v>
      </c>
      <c r="D16" s="1" t="s">
        <v>151</v>
      </c>
      <c r="E16" s="1"/>
      <c r="F16" s="1" t="s">
        <v>152</v>
      </c>
      <c r="G16" s="16">
        <f>'01_INPUTS'!B11-'01_INPUTS'!B10</f>
        <v>0.25769999999999998</v>
      </c>
      <c r="H16" s="1" t="s">
        <v>153</v>
      </c>
      <c r="I16" s="1"/>
      <c r="J16" s="1"/>
    </row>
    <row r="17" spans="1:10" ht="13.9">
      <c r="A17" s="1" t="s">
        <v>154</v>
      </c>
      <c r="B17" s="17">
        <f>F11</f>
        <v>5199411.1161000002</v>
      </c>
      <c r="C17" s="1" t="s">
        <v>150</v>
      </c>
      <c r="D17" s="1" t="s">
        <v>151</v>
      </c>
      <c r="E17" s="1"/>
      <c r="F17" s="1" t="s">
        <v>155</v>
      </c>
      <c r="G17" s="16">
        <f>'01_INPUTS'!B10/'01_INPUTS'!B11</f>
        <v>0.63586265366680794</v>
      </c>
      <c r="H17" s="1" t="s">
        <v>156</v>
      </c>
      <c r="I17" s="1"/>
      <c r="J17" s="1"/>
    </row>
    <row r="18" spans="1:10" ht="13.9">
      <c r="A18" s="1" t="s">
        <v>157</v>
      </c>
      <c r="B18" s="18">
        <f>G11</f>
        <v>0.65499999999999992</v>
      </c>
      <c r="C18" s="1" t="s">
        <v>158</v>
      </c>
      <c r="D18" s="1" t="s">
        <v>151</v>
      </c>
      <c r="E18" s="1"/>
      <c r="F18" s="1" t="s">
        <v>159</v>
      </c>
      <c r="G18" s="16">
        <f>1-G17</f>
        <v>0.36413734633319206</v>
      </c>
      <c r="H18" s="1" t="s">
        <v>153</v>
      </c>
      <c r="I18" s="1"/>
      <c r="J18" s="1"/>
    </row>
    <row r="19" spans="1:10" ht="13.9">
      <c r="A19" s="1" t="s">
        <v>160</v>
      </c>
      <c r="B19" s="18">
        <f>H11</f>
        <v>0.62922999999999996</v>
      </c>
      <c r="C19" s="1" t="s">
        <v>158</v>
      </c>
      <c r="D19" s="1" t="s">
        <v>151</v>
      </c>
      <c r="E19" s="1"/>
      <c r="F19" s="1" t="s">
        <v>161</v>
      </c>
      <c r="G19" s="19">
        <f>IF(G16=0,"NA",1/G16)</f>
        <v>3.8804811796662788</v>
      </c>
      <c r="H19" s="1" t="s">
        <v>162</v>
      </c>
      <c r="I19" s="1"/>
      <c r="J19" s="1"/>
    </row>
    <row r="20" spans="1:10" ht="13.9">
      <c r="A20" s="1" t="s">
        <v>141</v>
      </c>
      <c r="B20" s="17">
        <f>I11</f>
        <v>13300040.733900001</v>
      </c>
      <c r="C20" s="1" t="s">
        <v>150</v>
      </c>
      <c r="D20" s="1" t="s">
        <v>163</v>
      </c>
      <c r="E20" s="1"/>
      <c r="F20" s="1" t="s">
        <v>164</v>
      </c>
      <c r="G20" s="19">
        <f>'01_INPUTS'!B12-'01_INPUTS'!B13</f>
        <v>-1</v>
      </c>
      <c r="H20" s="1" t="s">
        <v>165</v>
      </c>
      <c r="I20" s="1"/>
      <c r="J20" s="1"/>
    </row>
    <row r="21" spans="1:10" ht="13.9">
      <c r="A21" s="1" t="s">
        <v>166</v>
      </c>
      <c r="B21" s="18">
        <f>J11</f>
        <v>2.576999999999996E-2</v>
      </c>
      <c r="C21" s="1" t="s">
        <v>158</v>
      </c>
      <c r="D21" s="1" t="s">
        <v>163</v>
      </c>
      <c r="E21" s="1"/>
      <c r="F21" s="1" t="s">
        <v>167</v>
      </c>
      <c r="G21" s="20">
        <f>G16*'01_INPUTS'!B16</f>
        <v>1775319.2660999999</v>
      </c>
      <c r="H21" s="1" t="s">
        <v>168</v>
      </c>
      <c r="I21" s="1"/>
      <c r="J21" s="1"/>
    </row>
    <row r="22" spans="1:10" ht="13.9">
      <c r="A22" s="1" t="s">
        <v>30</v>
      </c>
      <c r="B22" s="17">
        <f>IF(B21=0,"NA",B20/B21)</f>
        <v>516105577.56693918</v>
      </c>
      <c r="C22" s="1" t="s">
        <v>67</v>
      </c>
      <c r="D22" s="1" t="s">
        <v>169</v>
      </c>
      <c r="E22" s="1"/>
      <c r="F22" s="1"/>
      <c r="G22" s="1"/>
      <c r="H22" s="1"/>
      <c r="I22" s="1"/>
      <c r="J22" s="1"/>
    </row>
    <row r="23" spans="1:10" ht="13.9">
      <c r="A23" s="1" t="s">
        <v>32</v>
      </c>
      <c r="B23" s="17">
        <f>'01_INPUTS'!B9*B21-B20</f>
        <v>-11109590.733900005</v>
      </c>
      <c r="C23" s="1" t="s">
        <v>150</v>
      </c>
      <c r="D23" s="1" t="s">
        <v>170</v>
      </c>
      <c r="E23" s="1"/>
      <c r="F23" s="1"/>
      <c r="G23" s="1"/>
      <c r="H23" s="1"/>
      <c r="I23" s="1"/>
      <c r="J23" s="1"/>
    </row>
    <row r="24" spans="1:10" ht="13.9">
      <c r="A24" s="1" t="s">
        <v>171</v>
      </c>
      <c r="B24" s="21" t="str">
        <f>IF(B23&gt;0,"Cost-effective at selected WTP","Not cost-effective at selected WTP")</f>
        <v>Not cost-effective at selected WTP</v>
      </c>
      <c r="C24" s="1" t="s">
        <v>51</v>
      </c>
      <c r="D24" s="1" t="s">
        <v>172</v>
      </c>
      <c r="E24" s="1"/>
      <c r="F24" s="1"/>
      <c r="G24" s="1"/>
      <c r="H24" s="1"/>
      <c r="I24" s="1"/>
      <c r="J24" s="1"/>
    </row>
  </sheetData>
  <mergeCells count="4">
    <mergeCell ref="A1:J1"/>
    <mergeCell ref="A2:J2"/>
    <mergeCell ref="A14:D14"/>
    <mergeCell ref="F14:J14"/>
  </mergeCells>
  <conditionalFormatting sqref="B24">
    <cfRule type="containsText" dxfId="6" priority="1" operator="containsText" text="Not cost-effective"/>
    <cfRule type="beginsWith" dxfId="5" priority="2" operator="beginsWith" text="Cost-effectiv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/>
  </sheetViews>
  <sheetFormatPr defaultRowHeight="13.5"/>
  <cols>
    <col min="1" max="4" width="16" customWidth="1"/>
    <col min="5" max="7" width="24" customWidth="1"/>
    <col min="8" max="8" width="26" customWidth="1"/>
  </cols>
  <sheetData>
    <row r="1" spans="1:8" ht="30" customHeight="1">
      <c r="A1" s="36" t="s">
        <v>173</v>
      </c>
      <c r="B1" s="36" t="s">
        <v>173</v>
      </c>
      <c r="C1" s="36" t="s">
        <v>173</v>
      </c>
      <c r="D1" s="36" t="s">
        <v>173</v>
      </c>
      <c r="E1" s="36" t="s">
        <v>173</v>
      </c>
      <c r="F1" s="36" t="s">
        <v>173</v>
      </c>
      <c r="G1" s="36" t="s">
        <v>173</v>
      </c>
      <c r="H1" s="36" t="s">
        <v>173</v>
      </c>
    </row>
    <row r="2" spans="1:8" ht="32" customHeight="1">
      <c r="A2" s="37" t="s">
        <v>174</v>
      </c>
      <c r="B2" s="37" t="s">
        <v>174</v>
      </c>
      <c r="C2" s="37" t="s">
        <v>174</v>
      </c>
      <c r="D2" s="37" t="s">
        <v>174</v>
      </c>
      <c r="E2" s="37" t="s">
        <v>174</v>
      </c>
      <c r="F2" s="37" t="s">
        <v>174</v>
      </c>
      <c r="G2" s="37" t="s">
        <v>174</v>
      </c>
      <c r="H2" s="37" t="s">
        <v>174</v>
      </c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>
      <c r="A4" s="2" t="s">
        <v>110</v>
      </c>
      <c r="B4" s="2" t="s">
        <v>175</v>
      </c>
      <c r="C4" s="2" t="s">
        <v>176</v>
      </c>
      <c r="D4" s="2" t="s">
        <v>177</v>
      </c>
      <c r="E4" s="2" t="s">
        <v>178</v>
      </c>
      <c r="F4" s="2" t="s">
        <v>179</v>
      </c>
      <c r="G4" s="2" t="s">
        <v>180</v>
      </c>
      <c r="H4" s="2" t="s">
        <v>11</v>
      </c>
    </row>
    <row r="5" spans="1:8" ht="13.9">
      <c r="A5" s="1" t="s">
        <v>181</v>
      </c>
      <c r="B5" s="22">
        <f>'01_INPUTS'!B23</f>
        <v>0.1</v>
      </c>
      <c r="C5" s="20">
        <f>'01_INPUTS'!B22</f>
        <v>100</v>
      </c>
      <c r="D5" s="20">
        <f>ROUND(B5*C5,0)</f>
        <v>10</v>
      </c>
      <c r="E5" s="20">
        <f>D5*('01_INPUTS'!B14-'01_INPUTS'!B15)</f>
        <v>150753600</v>
      </c>
      <c r="F5" s="20">
        <f>D5*('01_INPUTS'!B11-'01_INPUTS'!B10)*'01_INPUTS'!B16</f>
        <v>17753192.660999998</v>
      </c>
      <c r="G5" s="20">
        <f>E5-F5+D5*('01_INPUTS'!B20-'01_INPUTS'!B21)</f>
        <v>133000407.339</v>
      </c>
      <c r="H5" s="11" t="str">
        <f>IF('01_INPUTS'!B22=100,"Illustrative population","User-provided population")</f>
        <v>Illustrative population</v>
      </c>
    </row>
    <row r="6" spans="1:8" ht="13.9">
      <c r="A6" s="1" t="s">
        <v>182</v>
      </c>
      <c r="B6" s="22">
        <f>'01_INPUTS'!B24</f>
        <v>0.3</v>
      </c>
      <c r="C6" s="20">
        <f>'01_INPUTS'!B22</f>
        <v>100</v>
      </c>
      <c r="D6" s="20">
        <f>ROUND(B6*C6,0)</f>
        <v>30</v>
      </c>
      <c r="E6" s="20">
        <f>D6*('01_INPUTS'!B14-'01_INPUTS'!B15)</f>
        <v>452260800</v>
      </c>
      <c r="F6" s="20">
        <f>D6*('01_INPUTS'!B11-'01_INPUTS'!B10)*'01_INPUTS'!B16</f>
        <v>53259577.983000003</v>
      </c>
      <c r="G6" s="20">
        <f>E6-F6+D6*('01_INPUTS'!B20-'01_INPUTS'!B21)</f>
        <v>399001222.01700002</v>
      </c>
      <c r="H6" s="11" t="str">
        <f>IF('01_INPUTS'!B22=100,"Illustrative population","User-provided population")</f>
        <v>Illustrative population</v>
      </c>
    </row>
    <row r="7" spans="1:8" ht="13.9">
      <c r="A7" s="1" t="s">
        <v>183</v>
      </c>
      <c r="B7" s="22">
        <f>'01_INPUTS'!B25</f>
        <v>0.5</v>
      </c>
      <c r="C7" s="20">
        <f>'01_INPUTS'!B22</f>
        <v>100</v>
      </c>
      <c r="D7" s="20">
        <f>ROUND(B7*C7,0)</f>
        <v>50</v>
      </c>
      <c r="E7" s="20">
        <f>D7*('01_INPUTS'!B14-'01_INPUTS'!B15)</f>
        <v>753768000</v>
      </c>
      <c r="F7" s="20">
        <f>D7*('01_INPUTS'!B11-'01_INPUTS'!B10)*'01_INPUTS'!B16</f>
        <v>88765963.304999992</v>
      </c>
      <c r="G7" s="20">
        <f>E7-F7+D7*('01_INPUTS'!B20-'01_INPUTS'!B21)</f>
        <v>665002036.69500005</v>
      </c>
      <c r="H7" s="11" t="str">
        <f>IF('01_INPUTS'!B22=100,"Illustrative population","User-provided population")</f>
        <v>Illustrative population</v>
      </c>
    </row>
    <row r="8" spans="1:8" ht="13.9">
      <c r="A8" s="1"/>
      <c r="B8" s="1"/>
      <c r="C8" s="1"/>
      <c r="D8" s="1"/>
      <c r="E8" s="1"/>
      <c r="F8" s="1"/>
      <c r="G8" s="1"/>
      <c r="H8" s="1"/>
    </row>
    <row r="9" spans="1:8" ht="13.9">
      <c r="A9" s="1"/>
      <c r="B9" s="1"/>
      <c r="C9" s="1"/>
      <c r="D9" s="1"/>
      <c r="E9" s="1"/>
      <c r="F9" s="1"/>
      <c r="G9" s="1"/>
      <c r="H9" s="1"/>
    </row>
    <row r="10" spans="1:8">
      <c r="A10" s="38" t="s">
        <v>148</v>
      </c>
      <c r="B10" s="38" t="s">
        <v>148</v>
      </c>
      <c r="C10" s="38" t="s">
        <v>148</v>
      </c>
      <c r="D10" s="38" t="s">
        <v>148</v>
      </c>
      <c r="E10" s="38" t="s">
        <v>148</v>
      </c>
      <c r="F10" s="38" t="s">
        <v>148</v>
      </c>
      <c r="G10" s="38" t="s">
        <v>148</v>
      </c>
      <c r="H10" s="38" t="s">
        <v>148</v>
      </c>
    </row>
    <row r="11" spans="1:8" ht="13.9">
      <c r="A11" s="41" t="s">
        <v>184</v>
      </c>
      <c r="B11" s="41"/>
      <c r="C11" s="41"/>
      <c r="D11" s="41"/>
      <c r="E11" s="41"/>
      <c r="F11" s="41"/>
      <c r="G11" s="41"/>
      <c r="H11" s="41"/>
    </row>
    <row r="12" spans="1:8" ht="13.9">
      <c r="A12" s="41" t="s">
        <v>185</v>
      </c>
      <c r="B12" s="41"/>
      <c r="C12" s="41"/>
      <c r="D12" s="41"/>
      <c r="E12" s="41"/>
      <c r="F12" s="41"/>
      <c r="G12" s="41"/>
      <c r="H12" s="41"/>
    </row>
    <row r="13" spans="1:8" ht="13.9">
      <c r="A13" s="41" t="s">
        <v>186</v>
      </c>
      <c r="B13" s="41"/>
      <c r="C13" s="41"/>
      <c r="D13" s="41"/>
      <c r="E13" s="41"/>
      <c r="F13" s="41"/>
      <c r="G13" s="41"/>
      <c r="H13" s="41"/>
    </row>
    <row r="14" spans="1:8" ht="13.9">
      <c r="A14" s="41" t="s">
        <v>187</v>
      </c>
      <c r="B14" s="41"/>
      <c r="C14" s="41"/>
      <c r="D14" s="41"/>
      <c r="E14" s="41"/>
      <c r="F14" s="41"/>
      <c r="G14" s="41"/>
      <c r="H14" s="41"/>
    </row>
  </sheetData>
  <mergeCells count="7">
    <mergeCell ref="A13:H13"/>
    <mergeCell ref="A14:H14"/>
    <mergeCell ref="A1:H1"/>
    <mergeCell ref="A2:H2"/>
    <mergeCell ref="A10:H10"/>
    <mergeCell ref="A11:H1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showGridLines="0" workbookViewId="0"/>
  </sheetViews>
  <sheetFormatPr defaultRowHeight="13.5"/>
  <cols>
    <col min="1" max="1" width="30" customWidth="1"/>
    <col min="2" max="9" width="16" customWidth="1"/>
    <col min="10" max="10" width="42" customWidth="1"/>
  </cols>
  <sheetData>
    <row r="1" spans="1:10" ht="30" customHeight="1">
      <c r="A1" s="40" t="s">
        <v>188</v>
      </c>
      <c r="B1" s="40" t="s">
        <v>188</v>
      </c>
      <c r="C1" s="40" t="s">
        <v>188</v>
      </c>
      <c r="D1" s="40" t="s">
        <v>188</v>
      </c>
      <c r="E1" s="40" t="s">
        <v>188</v>
      </c>
      <c r="F1" s="40" t="s">
        <v>188</v>
      </c>
      <c r="G1" s="40" t="s">
        <v>188</v>
      </c>
      <c r="H1" s="40" t="s">
        <v>188</v>
      </c>
      <c r="I1" s="40" t="s">
        <v>188</v>
      </c>
      <c r="J1" s="40" t="s">
        <v>188</v>
      </c>
    </row>
    <row r="2" spans="1:10" ht="32" customHeight="1">
      <c r="A2" s="37" t="s">
        <v>189</v>
      </c>
      <c r="B2" s="37" t="s">
        <v>189</v>
      </c>
      <c r="C2" s="37" t="s">
        <v>189</v>
      </c>
      <c r="D2" s="37" t="s">
        <v>189</v>
      </c>
      <c r="E2" s="37" t="s">
        <v>189</v>
      </c>
      <c r="F2" s="37" t="s">
        <v>189</v>
      </c>
      <c r="G2" s="37" t="s">
        <v>189</v>
      </c>
      <c r="H2" s="37" t="s">
        <v>189</v>
      </c>
      <c r="I2" s="37" t="s">
        <v>189</v>
      </c>
      <c r="J2" s="37" t="s">
        <v>189</v>
      </c>
    </row>
    <row r="3" spans="1:10" ht="13.9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2" t="s">
        <v>44</v>
      </c>
      <c r="B4" s="2" t="s">
        <v>190</v>
      </c>
      <c r="C4" s="2" t="s">
        <v>191</v>
      </c>
      <c r="D4" s="2" t="s">
        <v>192</v>
      </c>
      <c r="E4" s="2" t="s">
        <v>193</v>
      </c>
      <c r="F4" s="2" t="s">
        <v>194</v>
      </c>
      <c r="G4" s="2" t="s">
        <v>147</v>
      </c>
      <c r="H4" s="2" t="s">
        <v>195</v>
      </c>
      <c r="I4" s="2" t="s">
        <v>196</v>
      </c>
      <c r="J4" s="2" t="s">
        <v>197</v>
      </c>
    </row>
    <row r="5" spans="1:10" ht="13.9">
      <c r="A5" s="1" t="s">
        <v>198</v>
      </c>
      <c r="B5" s="1" t="s">
        <v>199</v>
      </c>
      <c r="C5" s="23">
        <v>0.45</v>
      </c>
      <c r="D5" s="24">
        <f>'01_INPUTS'!B10</f>
        <v>0.45</v>
      </c>
      <c r="E5" s="24">
        <f>IF('01_INPUTS'!B28="Baseline validation",C5,D5)</f>
        <v>0.45</v>
      </c>
      <c r="F5" s="1" t="s">
        <v>200</v>
      </c>
      <c r="G5" s="23">
        <v>40</v>
      </c>
      <c r="H5" s="24">
        <f>E5*G5+1</f>
        <v>19</v>
      </c>
      <c r="I5" s="24">
        <f>(1-E5)*G5+1</f>
        <v>23</v>
      </c>
      <c r="J5" s="1" t="s">
        <v>201</v>
      </c>
    </row>
    <row r="6" spans="1:10" ht="13.9">
      <c r="A6" s="1" t="s">
        <v>202</v>
      </c>
      <c r="B6" s="1" t="s">
        <v>199</v>
      </c>
      <c r="C6" s="23">
        <v>0.7077</v>
      </c>
      <c r="D6" s="24">
        <f>'01_INPUTS'!B11</f>
        <v>0.7077</v>
      </c>
      <c r="E6" s="24">
        <f>IF('01_INPUTS'!B28="Baseline validation",C6,D6)</f>
        <v>0.7077</v>
      </c>
      <c r="F6" s="1" t="s">
        <v>200</v>
      </c>
      <c r="G6" s="23">
        <v>65</v>
      </c>
      <c r="H6" s="24">
        <f>E6*G6+1</f>
        <v>47.000500000000002</v>
      </c>
      <c r="I6" s="24">
        <f>(1-E6)*G6+1</f>
        <v>19.999500000000001</v>
      </c>
      <c r="J6" s="1" t="s">
        <v>201</v>
      </c>
    </row>
    <row r="7" spans="1:10" ht="13.9">
      <c r="A7" s="1" t="s">
        <v>80</v>
      </c>
      <c r="B7" s="1" t="s">
        <v>203</v>
      </c>
      <c r="C7" s="23">
        <v>15399360</v>
      </c>
      <c r="D7" s="24">
        <f>'01_INPUTS'!B14</f>
        <v>15399360</v>
      </c>
      <c r="E7" s="24">
        <f>IF('01_INPUTS'!B28="Baseline validation",C7,D7)</f>
        <v>15399360</v>
      </c>
      <c r="F7" s="1" t="s">
        <v>204</v>
      </c>
      <c r="G7" s="23">
        <v>0.1</v>
      </c>
      <c r="H7" s="24">
        <f>1/(G7^2)</f>
        <v>99.999999999999986</v>
      </c>
      <c r="I7" s="24">
        <f>E7/H7</f>
        <v>153993.60000000003</v>
      </c>
      <c r="J7" s="1" t="s">
        <v>205</v>
      </c>
    </row>
    <row r="8" spans="1:10" ht="13.9">
      <c r="A8" s="1" t="s">
        <v>85</v>
      </c>
      <c r="B8" s="1" t="s">
        <v>203</v>
      </c>
      <c r="C8" s="23">
        <v>324000</v>
      </c>
      <c r="D8" s="24">
        <f>'01_INPUTS'!B15</f>
        <v>324000</v>
      </c>
      <c r="E8" s="24">
        <f>IF('01_INPUTS'!B28="Baseline validation",C8,D8)</f>
        <v>324000</v>
      </c>
      <c r="F8" s="1" t="s">
        <v>204</v>
      </c>
      <c r="G8" s="23">
        <v>0.1</v>
      </c>
      <c r="H8" s="24">
        <f>1/(G8^2)</f>
        <v>99.999999999999986</v>
      </c>
      <c r="I8" s="24">
        <f>E8/H8</f>
        <v>3240.0000000000005</v>
      </c>
      <c r="J8" s="1" t="s">
        <v>205</v>
      </c>
    </row>
    <row r="9" spans="1:10" ht="13.9">
      <c r="A9" s="1" t="s">
        <v>206</v>
      </c>
      <c r="B9" s="1" t="s">
        <v>203</v>
      </c>
      <c r="C9" s="23">
        <v>6889093</v>
      </c>
      <c r="D9" s="24">
        <f>'01_INPUTS'!B16</f>
        <v>6889093</v>
      </c>
      <c r="E9" s="24">
        <f>IF('01_INPUTS'!B28="Baseline validation",C9,D9)</f>
        <v>6889093</v>
      </c>
      <c r="F9" s="1" t="s">
        <v>204</v>
      </c>
      <c r="G9" s="23">
        <v>0.2</v>
      </c>
      <c r="H9" s="24">
        <f>1/(G9^2)</f>
        <v>24.999999999999996</v>
      </c>
      <c r="I9" s="24">
        <f>E9/H9</f>
        <v>275563.72000000003</v>
      </c>
      <c r="J9" s="1" t="s">
        <v>207</v>
      </c>
    </row>
    <row r="10" spans="1:10" ht="13.9">
      <c r="A10" s="1" t="s">
        <v>208</v>
      </c>
      <c r="B10" s="1" t="s">
        <v>199</v>
      </c>
      <c r="C10" s="23">
        <v>0.7</v>
      </c>
      <c r="D10" s="24">
        <f>'01_INPUTS'!B18</f>
        <v>0.7</v>
      </c>
      <c r="E10" s="24">
        <f>IF('01_INPUTS'!B28="Baseline validation",C10,D10)</f>
        <v>0.7</v>
      </c>
      <c r="F10" s="1" t="s">
        <v>209</v>
      </c>
      <c r="G10" s="23">
        <v>0.03</v>
      </c>
      <c r="H10" s="24">
        <f>E10*(E10*(1-E10)/(G10^2)-1)</f>
        <v>162.63333333333335</v>
      </c>
      <c r="I10" s="24">
        <f>(1-E10)*(E10*(1-E10)/(G10^2)-1)</f>
        <v>69.700000000000017</v>
      </c>
      <c r="J10" s="1" t="s">
        <v>210</v>
      </c>
    </row>
    <row r="11" spans="1:10" ht="13.9">
      <c r="A11" s="1" t="s">
        <v>211</v>
      </c>
      <c r="B11" s="1" t="s">
        <v>199</v>
      </c>
      <c r="C11" s="23">
        <v>0.1</v>
      </c>
      <c r="D11" s="24">
        <f>'01_INPUTS'!B19</f>
        <v>0.1</v>
      </c>
      <c r="E11" s="24">
        <f>IF('01_INPUTS'!B28="Baseline validation",C11,D11)</f>
        <v>0.1</v>
      </c>
      <c r="F11" s="1" t="s">
        <v>209</v>
      </c>
      <c r="G11" s="23">
        <v>0.02</v>
      </c>
      <c r="H11" s="24">
        <f>E11*(E11*(1-E11)/(G11^2)-1)</f>
        <v>22.400000000000006</v>
      </c>
      <c r="I11" s="24">
        <f>(1-E11)*(E11*(1-E11)/(G11^2)-1)</f>
        <v>201.60000000000002</v>
      </c>
      <c r="J11" s="1" t="s">
        <v>212</v>
      </c>
    </row>
    <row r="12" spans="1:10" ht="13.9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3.9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38" t="s">
        <v>213</v>
      </c>
      <c r="B14" s="38" t="s">
        <v>213</v>
      </c>
      <c r="C14" s="38" t="s">
        <v>213</v>
      </c>
      <c r="D14" s="38" t="s">
        <v>213</v>
      </c>
      <c r="E14" s="38" t="s">
        <v>213</v>
      </c>
      <c r="F14" s="38" t="s">
        <v>213</v>
      </c>
      <c r="G14" s="38" t="s">
        <v>213</v>
      </c>
      <c r="H14" s="38" t="s">
        <v>213</v>
      </c>
      <c r="I14" s="38" t="s">
        <v>213</v>
      </c>
      <c r="J14" s="38" t="s">
        <v>213</v>
      </c>
    </row>
    <row r="15" spans="1:10" ht="13.9">
      <c r="A15" s="1" t="s">
        <v>214</v>
      </c>
      <c r="B15" s="25" t="str">
        <f>'01_INPUTS'!B28</f>
        <v>Dynamic fixed-seed</v>
      </c>
      <c r="C15" s="1"/>
      <c r="D15" s="1"/>
      <c r="E15" s="1"/>
      <c r="F15" s="1"/>
      <c r="G15" s="1"/>
      <c r="H15" s="1"/>
      <c r="I15" s="1"/>
      <c r="J15" s="1"/>
    </row>
    <row r="16" spans="1:10" ht="52.5">
      <c r="A16" s="1" t="s">
        <v>215</v>
      </c>
      <c r="B16" s="26" t="str">
        <f>IF(B15="Baseline validation","Original parameters retained for dashboard regression testing","All active means follow current values in 01_INPUTS")</f>
        <v>All active means follow current values in 01_INPUTS</v>
      </c>
      <c r="C16" s="1"/>
      <c r="D16" s="1"/>
      <c r="E16" s="1"/>
      <c r="F16" s="1"/>
      <c r="G16" s="1"/>
      <c r="H16" s="1"/>
      <c r="I16" s="1"/>
      <c r="J16" s="1"/>
    </row>
  </sheetData>
  <mergeCells count="3">
    <mergeCell ref="A1:J1"/>
    <mergeCell ref="A2:J2"/>
    <mergeCell ref="A14:J14"/>
  </mergeCells>
  <conditionalFormatting sqref="J5:J11">
    <cfRule type="containsText" dxfId="4" priority="1" operator="containsText" text="Illustrative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1"/>
  <sheetViews>
    <sheetView showGridLines="0" workbookViewId="0"/>
  </sheetViews>
  <sheetFormatPr defaultRowHeight="13.5"/>
  <cols>
    <col min="1" max="24" width="15" customWidth="1"/>
  </cols>
  <sheetData>
    <row r="1" spans="1:24" ht="26.25">
      <c r="A1" s="2" t="s">
        <v>216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30</v>
      </c>
      <c r="P1" s="2" t="s">
        <v>230</v>
      </c>
      <c r="Q1" s="2" t="s">
        <v>231</v>
      </c>
      <c r="R1" s="2" t="s">
        <v>232</v>
      </c>
      <c r="S1" s="2" t="s">
        <v>233</v>
      </c>
      <c r="T1" s="2" t="s">
        <v>234</v>
      </c>
      <c r="U1" s="2" t="s">
        <v>235</v>
      </c>
      <c r="V1" s="2" t="s">
        <v>236</v>
      </c>
      <c r="W1" s="2" t="s">
        <v>237</v>
      </c>
      <c r="X1" s="2" t="s">
        <v>238</v>
      </c>
    </row>
    <row r="2" spans="1:24" ht="13.9">
      <c r="A2" s="1">
        <v>1</v>
      </c>
      <c r="B2" s="23" t="e">
        <f ca="1">_xludf.BETA.INV(R2,'04_PSA_INPUTS'!H5,'04_PSA_INPUTS'!I5)</f>
        <v>#NAME?</v>
      </c>
      <c r="C2" s="23" t="e">
        <f ca="1">_xludf.BETA.INV(S2,'04_PSA_INPUTS'!H6,'04_PSA_INPUTS'!I6)</f>
        <v>#NAME?</v>
      </c>
      <c r="D2" s="27" t="e">
        <f ca="1">_xludf.GAMMA.INV(T2,'04_PSA_INPUTS'!H7,'04_PSA_INPUTS'!I7)</f>
        <v>#NAME?</v>
      </c>
      <c r="E2" s="27" t="e">
        <f ca="1">_xludf.GAMMA.INV(U2,'04_PSA_INPUTS'!H8,'04_PSA_INPUTS'!I8)</f>
        <v>#NAME?</v>
      </c>
      <c r="F2" s="27" t="e">
        <f ca="1">_xludf.GAMMA.INV(V2,'04_PSA_INPUTS'!H9,'04_PSA_INPUTS'!I9)</f>
        <v>#NAME?</v>
      </c>
      <c r="G2" s="23" t="e">
        <f ca="1">_xludf.BETA.INV(W2,'04_PSA_INPUTS'!H10,'04_PSA_INPUTS'!I10)</f>
        <v>#NAME?</v>
      </c>
      <c r="H2" s="23" t="e">
        <f ca="1">_xludf.BETA.INV(X2,'04_PSA_INPUTS'!H11,'04_PSA_INPUTS'!I11)</f>
        <v>#NAME?</v>
      </c>
      <c r="I2" s="27" t="e">
        <f ca="1">D2+B2*F2+'01_INPUTS'!B20</f>
        <v>#NAME?</v>
      </c>
      <c r="J2" s="27" t="e">
        <f ca="1">E2+C2*F2+'01_INPUTS'!B21</f>
        <v>#NAME?</v>
      </c>
      <c r="K2" s="27" t="e">
        <f t="shared" ref="K2:K65" ca="1" si="0">I2-J2</f>
        <v>#NAME?</v>
      </c>
      <c r="L2" s="23" t="e">
        <f t="shared" ref="L2:L65" ca="1" si="1">G2-B2*H2</f>
        <v>#NAME?</v>
      </c>
      <c r="M2" s="23" t="e">
        <f t="shared" ref="M2:M65" ca="1" si="2">G2-C2*H2</f>
        <v>#NAME?</v>
      </c>
      <c r="N2" s="23" t="e">
        <f t="shared" ref="N2:N65" ca="1" si="3">L2-M2</f>
        <v>#NAME?</v>
      </c>
      <c r="O2" s="27" t="e">
        <f t="shared" ref="O2:O65" ca="1" si="4">IF(N2=0,"",K2/N2)</f>
        <v>#NAME?</v>
      </c>
      <c r="P2" s="27" t="e">
        <f ca="1">'01_INPUTS'!B9*N2-K2</f>
        <v>#NAME?</v>
      </c>
      <c r="Q2" s="1" t="e">
        <f t="shared" ref="Q2:Q65" ca="1" si="5">IF(P2&gt;0,1,0)</f>
        <v>#NAME?</v>
      </c>
      <c r="R2" s="28">
        <v>0.59542984468862414</v>
      </c>
      <c r="S2" s="28">
        <v>0.85337416641414165</v>
      </c>
      <c r="T2" s="28">
        <v>0.85474902112036943</v>
      </c>
      <c r="U2" s="28">
        <v>0.80741448793560266</v>
      </c>
      <c r="V2" s="28">
        <v>0.97727951151318848</v>
      </c>
      <c r="W2" s="28">
        <v>0.87234908924438059</v>
      </c>
      <c r="X2" s="28">
        <v>0.85758323408663273</v>
      </c>
    </row>
    <row r="3" spans="1:24" ht="13.9">
      <c r="A3" s="1">
        <v>2</v>
      </c>
      <c r="B3" s="23" t="e">
        <f ca="1">_xludf.BETA.INV(R3,'04_PSA_INPUTS'!H5,'04_PSA_INPUTS'!I5)</f>
        <v>#NAME?</v>
      </c>
      <c r="C3" s="23" t="e">
        <f ca="1">_xludf.BETA.INV(S3,'04_PSA_INPUTS'!H6,'04_PSA_INPUTS'!I6)</f>
        <v>#NAME?</v>
      </c>
      <c r="D3" s="27" t="e">
        <f ca="1">_xludf.GAMMA.INV(T3,'04_PSA_INPUTS'!H7,'04_PSA_INPUTS'!I7)</f>
        <v>#NAME?</v>
      </c>
      <c r="E3" s="27" t="e">
        <f ca="1">_xludf.GAMMA.INV(U3,'04_PSA_INPUTS'!H8,'04_PSA_INPUTS'!I8)</f>
        <v>#NAME?</v>
      </c>
      <c r="F3" s="27" t="e">
        <f ca="1">_xludf.GAMMA.INV(V3,'04_PSA_INPUTS'!H9,'04_PSA_INPUTS'!I9)</f>
        <v>#NAME?</v>
      </c>
      <c r="G3" s="23" t="e">
        <f ca="1">_xludf.BETA.INV(W3,'04_PSA_INPUTS'!H10,'04_PSA_INPUTS'!I10)</f>
        <v>#NAME?</v>
      </c>
      <c r="H3" s="23" t="e">
        <f ca="1">_xludf.BETA.INV(X3,'04_PSA_INPUTS'!H11,'04_PSA_INPUTS'!I11)</f>
        <v>#NAME?</v>
      </c>
      <c r="I3" s="27" t="e">
        <f ca="1">D3+B3*F3+'01_INPUTS'!B20</f>
        <v>#NAME?</v>
      </c>
      <c r="J3" s="27" t="e">
        <f ca="1">E3+C3*F3+'01_INPUTS'!B21</f>
        <v>#NAME?</v>
      </c>
      <c r="K3" s="27" t="e">
        <f t="shared" ca="1" si="0"/>
        <v>#NAME?</v>
      </c>
      <c r="L3" s="23" t="e">
        <f t="shared" ca="1" si="1"/>
        <v>#NAME?</v>
      </c>
      <c r="M3" s="23" t="e">
        <f t="shared" ca="1" si="2"/>
        <v>#NAME?</v>
      </c>
      <c r="N3" s="23" t="e">
        <f t="shared" ca="1" si="3"/>
        <v>#NAME?</v>
      </c>
      <c r="O3" s="27" t="e">
        <f t="shared" ca="1" si="4"/>
        <v>#NAME?</v>
      </c>
      <c r="P3" s="27" t="e">
        <f ca="1">'01_INPUTS'!B9*N3-K3</f>
        <v>#NAME?</v>
      </c>
      <c r="Q3" s="1" t="e">
        <f t="shared" ca="1" si="5"/>
        <v>#NAME?</v>
      </c>
      <c r="R3" s="28">
        <v>0.7743338942527771</v>
      </c>
      <c r="S3" s="28">
        <v>0.39597798674367368</v>
      </c>
      <c r="T3" s="28">
        <v>0.40293735591694713</v>
      </c>
      <c r="U3" s="28">
        <v>0.71032260428182781</v>
      </c>
      <c r="V3" s="28">
        <v>0.42011353652924299</v>
      </c>
      <c r="W3" s="28">
        <v>0.34255354315973818</v>
      </c>
      <c r="X3" s="28">
        <v>0.2614747213665396</v>
      </c>
    </row>
    <row r="4" spans="1:24" ht="13.9">
      <c r="A4" s="1">
        <v>3</v>
      </c>
      <c r="B4" s="23" t="e">
        <f ca="1">_xludf.BETA.INV(R4,'04_PSA_INPUTS'!H5,'04_PSA_INPUTS'!I5)</f>
        <v>#NAME?</v>
      </c>
      <c r="C4" s="23" t="e">
        <f ca="1">_xludf.BETA.INV(S4,'04_PSA_INPUTS'!H6,'04_PSA_INPUTS'!I6)</f>
        <v>#NAME?</v>
      </c>
      <c r="D4" s="27" t="e">
        <f ca="1">_xludf.GAMMA.INV(T4,'04_PSA_INPUTS'!H7,'04_PSA_INPUTS'!I7)</f>
        <v>#NAME?</v>
      </c>
      <c r="E4" s="27" t="e">
        <f ca="1">_xludf.GAMMA.INV(U4,'04_PSA_INPUTS'!H8,'04_PSA_INPUTS'!I8)</f>
        <v>#NAME?</v>
      </c>
      <c r="F4" s="27" t="e">
        <f ca="1">_xludf.GAMMA.INV(V4,'04_PSA_INPUTS'!H9,'04_PSA_INPUTS'!I9)</f>
        <v>#NAME?</v>
      </c>
      <c r="G4" s="23" t="e">
        <f ca="1">_xludf.BETA.INV(W4,'04_PSA_INPUTS'!H10,'04_PSA_INPUTS'!I10)</f>
        <v>#NAME?</v>
      </c>
      <c r="H4" s="23" t="e">
        <f ca="1">_xludf.BETA.INV(X4,'04_PSA_INPUTS'!H11,'04_PSA_INPUTS'!I11)</f>
        <v>#NAME?</v>
      </c>
      <c r="I4" s="27" t="e">
        <f ca="1">D4+B4*F4+'01_INPUTS'!B20</f>
        <v>#NAME?</v>
      </c>
      <c r="J4" s="27" t="e">
        <f ca="1">E4+C4*F4+'01_INPUTS'!B21</f>
        <v>#NAME?</v>
      </c>
      <c r="K4" s="27" t="e">
        <f t="shared" ca="1" si="0"/>
        <v>#NAME?</v>
      </c>
      <c r="L4" s="23" t="e">
        <f t="shared" ca="1" si="1"/>
        <v>#NAME?</v>
      </c>
      <c r="M4" s="23" t="e">
        <f t="shared" ca="1" si="2"/>
        <v>#NAME?</v>
      </c>
      <c r="N4" s="23" t="e">
        <f t="shared" ca="1" si="3"/>
        <v>#NAME?</v>
      </c>
      <c r="O4" s="27" t="e">
        <f t="shared" ca="1" si="4"/>
        <v>#NAME?</v>
      </c>
      <c r="P4" s="27" t="e">
        <f ca="1">'01_INPUTS'!B9*N4-K4</f>
        <v>#NAME?</v>
      </c>
      <c r="Q4" s="1" t="e">
        <f t="shared" ca="1" si="5"/>
        <v>#NAME?</v>
      </c>
      <c r="R4" s="28">
        <v>0.56514220219105482</v>
      </c>
      <c r="S4" s="28">
        <v>0.82894487725570798</v>
      </c>
      <c r="T4" s="28">
        <v>0.43205855274572968</v>
      </c>
      <c r="U4" s="28">
        <v>0.38104961439967155</v>
      </c>
      <c r="V4" s="28">
        <v>0.83900347584858537</v>
      </c>
      <c r="W4" s="28">
        <v>0.20886718318797648</v>
      </c>
      <c r="X4" s="28">
        <v>0.17588500748388469</v>
      </c>
    </row>
    <row r="5" spans="1:24" ht="13.9">
      <c r="A5" s="1">
        <v>4</v>
      </c>
      <c r="B5" s="23" t="e">
        <f ca="1">_xludf.BETA.INV(R5,'04_PSA_INPUTS'!H5,'04_PSA_INPUTS'!I5)</f>
        <v>#NAME?</v>
      </c>
      <c r="C5" s="23" t="e">
        <f ca="1">_xludf.BETA.INV(S5,'04_PSA_INPUTS'!H6,'04_PSA_INPUTS'!I6)</f>
        <v>#NAME?</v>
      </c>
      <c r="D5" s="27" t="e">
        <f ca="1">_xludf.GAMMA.INV(T5,'04_PSA_INPUTS'!H7,'04_PSA_INPUTS'!I7)</f>
        <v>#NAME?</v>
      </c>
      <c r="E5" s="27" t="e">
        <f ca="1">_xludf.GAMMA.INV(U5,'04_PSA_INPUTS'!H8,'04_PSA_INPUTS'!I8)</f>
        <v>#NAME?</v>
      </c>
      <c r="F5" s="27" t="e">
        <f ca="1">_xludf.GAMMA.INV(V5,'04_PSA_INPUTS'!H9,'04_PSA_INPUTS'!I9)</f>
        <v>#NAME?</v>
      </c>
      <c r="G5" s="23" t="e">
        <f ca="1">_xludf.BETA.INV(W5,'04_PSA_INPUTS'!H10,'04_PSA_INPUTS'!I10)</f>
        <v>#NAME?</v>
      </c>
      <c r="H5" s="23" t="e">
        <f ca="1">_xludf.BETA.INV(X5,'04_PSA_INPUTS'!H11,'04_PSA_INPUTS'!I11)</f>
        <v>#NAME?</v>
      </c>
      <c r="I5" s="27" t="e">
        <f ca="1">D5+B5*F5+'01_INPUTS'!B20</f>
        <v>#NAME?</v>
      </c>
      <c r="J5" s="27" t="e">
        <f ca="1">E5+C5*F5+'01_INPUTS'!B21</f>
        <v>#NAME?</v>
      </c>
      <c r="K5" s="27" t="e">
        <f t="shared" ca="1" si="0"/>
        <v>#NAME?</v>
      </c>
      <c r="L5" s="23" t="e">
        <f t="shared" ca="1" si="1"/>
        <v>#NAME?</v>
      </c>
      <c r="M5" s="23" t="e">
        <f t="shared" ca="1" si="2"/>
        <v>#NAME?</v>
      </c>
      <c r="N5" s="23" t="e">
        <f t="shared" ca="1" si="3"/>
        <v>#NAME?</v>
      </c>
      <c r="O5" s="27" t="e">
        <f t="shared" ca="1" si="4"/>
        <v>#NAME?</v>
      </c>
      <c r="P5" s="27" t="e">
        <f ca="1">'01_INPUTS'!B9*N5-K5</f>
        <v>#NAME?</v>
      </c>
      <c r="Q5" s="1" t="e">
        <f t="shared" ca="1" si="5"/>
        <v>#NAME?</v>
      </c>
      <c r="R5" s="28">
        <v>0.34360757772810757</v>
      </c>
      <c r="S5" s="28">
        <v>0.7104967727791518</v>
      </c>
      <c r="T5" s="28">
        <v>0.87053893343545496</v>
      </c>
      <c r="U5" s="28">
        <v>0.58722469350323081</v>
      </c>
      <c r="V5" s="28">
        <v>0.25799170974642038</v>
      </c>
      <c r="W5" s="28">
        <v>0.18662831955589354</v>
      </c>
      <c r="X5" s="28">
        <v>0.36372541449964046</v>
      </c>
    </row>
    <row r="6" spans="1:24" ht="13.9">
      <c r="A6" s="1">
        <v>5</v>
      </c>
      <c r="B6" s="23" t="e">
        <f ca="1">_xludf.BETA.INV(R6,'04_PSA_INPUTS'!H5,'04_PSA_INPUTS'!I5)</f>
        <v>#NAME?</v>
      </c>
      <c r="C6" s="23" t="e">
        <f ca="1">_xludf.BETA.INV(S6,'04_PSA_INPUTS'!H6,'04_PSA_INPUTS'!I6)</f>
        <v>#NAME?</v>
      </c>
      <c r="D6" s="27" t="e">
        <f ca="1">_xludf.GAMMA.INV(T6,'04_PSA_INPUTS'!H7,'04_PSA_INPUTS'!I7)</f>
        <v>#NAME?</v>
      </c>
      <c r="E6" s="27" t="e">
        <f ca="1">_xludf.GAMMA.INV(U6,'04_PSA_INPUTS'!H8,'04_PSA_INPUTS'!I8)</f>
        <v>#NAME?</v>
      </c>
      <c r="F6" s="27" t="e">
        <f ca="1">_xludf.GAMMA.INV(V6,'04_PSA_INPUTS'!H9,'04_PSA_INPUTS'!I9)</f>
        <v>#NAME?</v>
      </c>
      <c r="G6" s="23" t="e">
        <f ca="1">_xludf.BETA.INV(W6,'04_PSA_INPUTS'!H10,'04_PSA_INPUTS'!I10)</f>
        <v>#NAME?</v>
      </c>
      <c r="H6" s="23" t="e">
        <f ca="1">_xludf.BETA.INV(X6,'04_PSA_INPUTS'!H11,'04_PSA_INPUTS'!I11)</f>
        <v>#NAME?</v>
      </c>
      <c r="I6" s="27" t="e">
        <f ca="1">D6+B6*F6+'01_INPUTS'!B20</f>
        <v>#NAME?</v>
      </c>
      <c r="J6" s="27" t="e">
        <f ca="1">E6+C6*F6+'01_INPUTS'!B21</f>
        <v>#NAME?</v>
      </c>
      <c r="K6" s="27" t="e">
        <f t="shared" ca="1" si="0"/>
        <v>#NAME?</v>
      </c>
      <c r="L6" s="23" t="e">
        <f t="shared" ca="1" si="1"/>
        <v>#NAME?</v>
      </c>
      <c r="M6" s="23" t="e">
        <f t="shared" ca="1" si="2"/>
        <v>#NAME?</v>
      </c>
      <c r="N6" s="23" t="e">
        <f t="shared" ca="1" si="3"/>
        <v>#NAME?</v>
      </c>
      <c r="O6" s="27" t="e">
        <f t="shared" ca="1" si="4"/>
        <v>#NAME?</v>
      </c>
      <c r="P6" s="27" t="e">
        <f ca="1">'01_INPUTS'!B9*N6-K6</f>
        <v>#NAME?</v>
      </c>
      <c r="Q6" s="1" t="e">
        <f t="shared" ca="1" si="5"/>
        <v>#NAME?</v>
      </c>
      <c r="R6" s="28">
        <v>9.4469818286597729E-3</v>
      </c>
      <c r="S6" s="28">
        <v>0.13853907305747271</v>
      </c>
      <c r="T6" s="28">
        <v>0.17702434351667762</v>
      </c>
      <c r="U6" s="28">
        <v>0.67983699031174183</v>
      </c>
      <c r="V6" s="28">
        <v>0.37754765967838466</v>
      </c>
      <c r="W6" s="28">
        <v>0.90289794374257326</v>
      </c>
      <c r="X6" s="28">
        <v>0.15275539387948811</v>
      </c>
    </row>
    <row r="7" spans="1:24" ht="13.9">
      <c r="A7" s="1">
        <v>6</v>
      </c>
      <c r="B7" s="23" t="e">
        <f ca="1">_xludf.BETA.INV(R7,'04_PSA_INPUTS'!H5,'04_PSA_INPUTS'!I5)</f>
        <v>#NAME?</v>
      </c>
      <c r="C7" s="23" t="e">
        <f ca="1">_xludf.BETA.INV(S7,'04_PSA_INPUTS'!H6,'04_PSA_INPUTS'!I6)</f>
        <v>#NAME?</v>
      </c>
      <c r="D7" s="27" t="e">
        <f ca="1">_xludf.GAMMA.INV(T7,'04_PSA_INPUTS'!H7,'04_PSA_INPUTS'!I7)</f>
        <v>#NAME?</v>
      </c>
      <c r="E7" s="27" t="e">
        <f ca="1">_xludf.GAMMA.INV(U7,'04_PSA_INPUTS'!H8,'04_PSA_INPUTS'!I8)</f>
        <v>#NAME?</v>
      </c>
      <c r="F7" s="27" t="e">
        <f ca="1">_xludf.GAMMA.INV(V7,'04_PSA_INPUTS'!H9,'04_PSA_INPUTS'!I9)</f>
        <v>#NAME?</v>
      </c>
      <c r="G7" s="23" t="e">
        <f ca="1">_xludf.BETA.INV(W7,'04_PSA_INPUTS'!H10,'04_PSA_INPUTS'!I10)</f>
        <v>#NAME?</v>
      </c>
      <c r="H7" s="23" t="e">
        <f ca="1">_xludf.BETA.INV(X7,'04_PSA_INPUTS'!H11,'04_PSA_INPUTS'!I11)</f>
        <v>#NAME?</v>
      </c>
      <c r="I7" s="27" t="e">
        <f ca="1">D7+B7*F7+'01_INPUTS'!B20</f>
        <v>#NAME?</v>
      </c>
      <c r="J7" s="27" t="e">
        <f ca="1">E7+C7*F7+'01_INPUTS'!B21</f>
        <v>#NAME?</v>
      </c>
      <c r="K7" s="27" t="e">
        <f t="shared" ca="1" si="0"/>
        <v>#NAME?</v>
      </c>
      <c r="L7" s="23" t="e">
        <f t="shared" ca="1" si="1"/>
        <v>#NAME?</v>
      </c>
      <c r="M7" s="23" t="e">
        <f t="shared" ca="1" si="2"/>
        <v>#NAME?</v>
      </c>
      <c r="N7" s="23" t="e">
        <f t="shared" ca="1" si="3"/>
        <v>#NAME?</v>
      </c>
      <c r="O7" s="27" t="e">
        <f t="shared" ca="1" si="4"/>
        <v>#NAME?</v>
      </c>
      <c r="P7" s="27" t="e">
        <f ca="1">'01_INPUTS'!B9*N7-K7</f>
        <v>#NAME?</v>
      </c>
      <c r="Q7" s="1" t="e">
        <f t="shared" ca="1" si="5"/>
        <v>#NAME?</v>
      </c>
      <c r="R7" s="28">
        <v>0.35481747146695852</v>
      </c>
      <c r="S7" s="28">
        <v>0.38531391648575664</v>
      </c>
      <c r="T7" s="28">
        <v>0.89068505587056279</v>
      </c>
      <c r="U7" s="28">
        <v>0.54451129562221467</v>
      </c>
      <c r="V7" s="28">
        <v>0.9707977008074522</v>
      </c>
      <c r="W7" s="28">
        <v>0.83096633455716074</v>
      </c>
      <c r="X7" s="28">
        <v>0.99970180680975318</v>
      </c>
    </row>
    <row r="8" spans="1:24" ht="13.9">
      <c r="A8" s="1">
        <v>7</v>
      </c>
      <c r="B8" s="23" t="e">
        <f ca="1">_xludf.BETA.INV(R8,'04_PSA_INPUTS'!H5,'04_PSA_INPUTS'!I5)</f>
        <v>#NAME?</v>
      </c>
      <c r="C8" s="23" t="e">
        <f ca="1">_xludf.BETA.INV(S8,'04_PSA_INPUTS'!H6,'04_PSA_INPUTS'!I6)</f>
        <v>#NAME?</v>
      </c>
      <c r="D8" s="27" t="e">
        <f ca="1">_xludf.GAMMA.INV(T8,'04_PSA_INPUTS'!H7,'04_PSA_INPUTS'!I7)</f>
        <v>#NAME?</v>
      </c>
      <c r="E8" s="27" t="e">
        <f ca="1">_xludf.GAMMA.INV(U8,'04_PSA_INPUTS'!H8,'04_PSA_INPUTS'!I8)</f>
        <v>#NAME?</v>
      </c>
      <c r="F8" s="27" t="e">
        <f ca="1">_xludf.GAMMA.INV(V8,'04_PSA_INPUTS'!H9,'04_PSA_INPUTS'!I9)</f>
        <v>#NAME?</v>
      </c>
      <c r="G8" s="23" t="e">
        <f ca="1">_xludf.BETA.INV(W8,'04_PSA_INPUTS'!H10,'04_PSA_INPUTS'!I10)</f>
        <v>#NAME?</v>
      </c>
      <c r="H8" s="23" t="e">
        <f ca="1">_xludf.BETA.INV(X8,'04_PSA_INPUTS'!H11,'04_PSA_INPUTS'!I11)</f>
        <v>#NAME?</v>
      </c>
      <c r="I8" s="27" t="e">
        <f ca="1">D8+B8*F8+'01_INPUTS'!B20</f>
        <v>#NAME?</v>
      </c>
      <c r="J8" s="27" t="e">
        <f ca="1">E8+C8*F8+'01_INPUTS'!B21</f>
        <v>#NAME?</v>
      </c>
      <c r="K8" s="27" t="e">
        <f t="shared" ca="1" si="0"/>
        <v>#NAME?</v>
      </c>
      <c r="L8" s="23" t="e">
        <f t="shared" ca="1" si="1"/>
        <v>#NAME?</v>
      </c>
      <c r="M8" s="23" t="e">
        <f t="shared" ca="1" si="2"/>
        <v>#NAME?</v>
      </c>
      <c r="N8" s="23" t="e">
        <f t="shared" ca="1" si="3"/>
        <v>#NAME?</v>
      </c>
      <c r="O8" s="27" t="e">
        <f t="shared" ca="1" si="4"/>
        <v>#NAME?</v>
      </c>
      <c r="P8" s="27" t="e">
        <f ca="1">'01_INPUTS'!B9*N8-K8</f>
        <v>#NAME?</v>
      </c>
      <c r="Q8" s="1" t="e">
        <f t="shared" ca="1" si="5"/>
        <v>#NAME?</v>
      </c>
      <c r="R8" s="28">
        <v>0.97384578245691955</v>
      </c>
      <c r="S8" s="28">
        <v>4.9857998732477427E-2</v>
      </c>
      <c r="T8" s="28">
        <v>0.98408976942300797</v>
      </c>
      <c r="U8" s="28">
        <v>0.36080814967863262</v>
      </c>
      <c r="V8" s="28">
        <v>0.49235751177184284</v>
      </c>
      <c r="W8" s="28">
        <v>1.1080653173848987E-2</v>
      </c>
      <c r="X8" s="28">
        <v>0.41827401402406394</v>
      </c>
    </row>
    <row r="9" spans="1:24" ht="13.9">
      <c r="A9" s="1">
        <v>8</v>
      </c>
      <c r="B9" s="23" t="e">
        <f ca="1">_xludf.BETA.INV(R9,'04_PSA_INPUTS'!H5,'04_PSA_INPUTS'!I5)</f>
        <v>#NAME?</v>
      </c>
      <c r="C9" s="23" t="e">
        <f ca="1">_xludf.BETA.INV(S9,'04_PSA_INPUTS'!H6,'04_PSA_INPUTS'!I6)</f>
        <v>#NAME?</v>
      </c>
      <c r="D9" s="27" t="e">
        <f ca="1">_xludf.GAMMA.INV(T9,'04_PSA_INPUTS'!H7,'04_PSA_INPUTS'!I7)</f>
        <v>#NAME?</v>
      </c>
      <c r="E9" s="27" t="e">
        <f ca="1">_xludf.GAMMA.INV(U9,'04_PSA_INPUTS'!H8,'04_PSA_INPUTS'!I8)</f>
        <v>#NAME?</v>
      </c>
      <c r="F9" s="27" t="e">
        <f ca="1">_xludf.GAMMA.INV(V9,'04_PSA_INPUTS'!H9,'04_PSA_INPUTS'!I9)</f>
        <v>#NAME?</v>
      </c>
      <c r="G9" s="23" t="e">
        <f ca="1">_xludf.BETA.INV(W9,'04_PSA_INPUTS'!H10,'04_PSA_INPUTS'!I10)</f>
        <v>#NAME?</v>
      </c>
      <c r="H9" s="23" t="e">
        <f ca="1">_xludf.BETA.INV(X9,'04_PSA_INPUTS'!H11,'04_PSA_INPUTS'!I11)</f>
        <v>#NAME?</v>
      </c>
      <c r="I9" s="27" t="e">
        <f ca="1">D9+B9*F9+'01_INPUTS'!B20</f>
        <v>#NAME?</v>
      </c>
      <c r="J9" s="27" t="e">
        <f ca="1">E9+C9*F9+'01_INPUTS'!B21</f>
        <v>#NAME?</v>
      </c>
      <c r="K9" s="27" t="e">
        <f t="shared" ca="1" si="0"/>
        <v>#NAME?</v>
      </c>
      <c r="L9" s="23" t="e">
        <f t="shared" ca="1" si="1"/>
        <v>#NAME?</v>
      </c>
      <c r="M9" s="23" t="e">
        <f t="shared" ca="1" si="2"/>
        <v>#NAME?</v>
      </c>
      <c r="N9" s="23" t="e">
        <f t="shared" ca="1" si="3"/>
        <v>#NAME?</v>
      </c>
      <c r="O9" s="27" t="e">
        <f t="shared" ca="1" si="4"/>
        <v>#NAME?</v>
      </c>
      <c r="P9" s="27" t="e">
        <f ca="1">'01_INPUTS'!B9*N9-K9</f>
        <v>#NAME?</v>
      </c>
      <c r="Q9" s="1" t="e">
        <f t="shared" ca="1" si="5"/>
        <v>#NAME?</v>
      </c>
      <c r="R9" s="28">
        <v>0.5689400783739984</v>
      </c>
      <c r="S9" s="28">
        <v>0.33330682967789471</v>
      </c>
      <c r="T9" s="28">
        <v>0.51246177265420556</v>
      </c>
      <c r="U9" s="28">
        <v>0.42151510342955589</v>
      </c>
      <c r="V9" s="28">
        <v>0.81069763051345944</v>
      </c>
      <c r="W9" s="28">
        <v>0.31157325441017747</v>
      </c>
      <c r="X9" s="28">
        <v>0.14950265223160386</v>
      </c>
    </row>
    <row r="10" spans="1:24" ht="13.9">
      <c r="A10" s="1">
        <v>9</v>
      </c>
      <c r="B10" s="23" t="e">
        <f ca="1">_xludf.BETA.INV(R10,'04_PSA_INPUTS'!H5,'04_PSA_INPUTS'!I5)</f>
        <v>#NAME?</v>
      </c>
      <c r="C10" s="23" t="e">
        <f ca="1">_xludf.BETA.INV(S10,'04_PSA_INPUTS'!H6,'04_PSA_INPUTS'!I6)</f>
        <v>#NAME?</v>
      </c>
      <c r="D10" s="27" t="e">
        <f ca="1">_xludf.GAMMA.INV(T10,'04_PSA_INPUTS'!H7,'04_PSA_INPUTS'!I7)</f>
        <v>#NAME?</v>
      </c>
      <c r="E10" s="27" t="e">
        <f ca="1">_xludf.GAMMA.INV(U10,'04_PSA_INPUTS'!H8,'04_PSA_INPUTS'!I8)</f>
        <v>#NAME?</v>
      </c>
      <c r="F10" s="27" t="e">
        <f ca="1">_xludf.GAMMA.INV(V10,'04_PSA_INPUTS'!H9,'04_PSA_INPUTS'!I9)</f>
        <v>#NAME?</v>
      </c>
      <c r="G10" s="23" t="e">
        <f ca="1">_xludf.BETA.INV(W10,'04_PSA_INPUTS'!H10,'04_PSA_INPUTS'!I10)</f>
        <v>#NAME?</v>
      </c>
      <c r="H10" s="23" t="e">
        <f ca="1">_xludf.BETA.INV(X10,'04_PSA_INPUTS'!H11,'04_PSA_INPUTS'!I11)</f>
        <v>#NAME?</v>
      </c>
      <c r="I10" s="27" t="e">
        <f ca="1">D10+B10*F10+'01_INPUTS'!B20</f>
        <v>#NAME?</v>
      </c>
      <c r="J10" s="27" t="e">
        <f ca="1">E10+C10*F10+'01_INPUTS'!B21</f>
        <v>#NAME?</v>
      </c>
      <c r="K10" s="27" t="e">
        <f t="shared" ca="1" si="0"/>
        <v>#NAME?</v>
      </c>
      <c r="L10" s="23" t="e">
        <f t="shared" ca="1" si="1"/>
        <v>#NAME?</v>
      </c>
      <c r="M10" s="23" t="e">
        <f t="shared" ca="1" si="2"/>
        <v>#NAME?</v>
      </c>
      <c r="N10" s="23" t="e">
        <f t="shared" ca="1" si="3"/>
        <v>#NAME?</v>
      </c>
      <c r="O10" s="27" t="e">
        <f t="shared" ca="1" si="4"/>
        <v>#NAME?</v>
      </c>
      <c r="P10" s="27" t="e">
        <f ca="1">'01_INPUTS'!B9*N10-K10</f>
        <v>#NAME?</v>
      </c>
      <c r="Q10" s="1" t="e">
        <f t="shared" ca="1" si="5"/>
        <v>#NAME?</v>
      </c>
      <c r="R10" s="28">
        <v>0.80603484646417201</v>
      </c>
      <c r="S10" s="28">
        <v>0.63524625147692859</v>
      </c>
      <c r="T10" s="28">
        <v>0.49112567491829395</v>
      </c>
      <c r="U10" s="28">
        <v>0.15584526653401554</v>
      </c>
      <c r="V10" s="28">
        <v>0.79029971873387694</v>
      </c>
      <c r="W10" s="28">
        <v>0.83961506676860154</v>
      </c>
      <c r="X10" s="28">
        <v>0.84839473059400916</v>
      </c>
    </row>
    <row r="11" spans="1:24" ht="13.9">
      <c r="A11" s="1">
        <v>10</v>
      </c>
      <c r="B11" s="23" t="e">
        <f ca="1">_xludf.BETA.INV(R11,'04_PSA_INPUTS'!H5,'04_PSA_INPUTS'!I5)</f>
        <v>#NAME?</v>
      </c>
      <c r="C11" s="23" t="e">
        <f ca="1">_xludf.BETA.INV(S11,'04_PSA_INPUTS'!H6,'04_PSA_INPUTS'!I6)</f>
        <v>#NAME?</v>
      </c>
      <c r="D11" s="27" t="e">
        <f ca="1">_xludf.GAMMA.INV(T11,'04_PSA_INPUTS'!H7,'04_PSA_INPUTS'!I7)</f>
        <v>#NAME?</v>
      </c>
      <c r="E11" s="27" t="e">
        <f ca="1">_xludf.GAMMA.INV(U11,'04_PSA_INPUTS'!H8,'04_PSA_INPUTS'!I8)</f>
        <v>#NAME?</v>
      </c>
      <c r="F11" s="27" t="e">
        <f ca="1">_xludf.GAMMA.INV(V11,'04_PSA_INPUTS'!H9,'04_PSA_INPUTS'!I9)</f>
        <v>#NAME?</v>
      </c>
      <c r="G11" s="23" t="e">
        <f ca="1">_xludf.BETA.INV(W11,'04_PSA_INPUTS'!H10,'04_PSA_INPUTS'!I10)</f>
        <v>#NAME?</v>
      </c>
      <c r="H11" s="23" t="e">
        <f ca="1">_xludf.BETA.INV(X11,'04_PSA_INPUTS'!H11,'04_PSA_INPUTS'!I11)</f>
        <v>#NAME?</v>
      </c>
      <c r="I11" s="27" t="e">
        <f ca="1">D11+B11*F11+'01_INPUTS'!B20</f>
        <v>#NAME?</v>
      </c>
      <c r="J11" s="27" t="e">
        <f ca="1">E11+C11*F11+'01_INPUTS'!B21</f>
        <v>#NAME?</v>
      </c>
      <c r="K11" s="27" t="e">
        <f t="shared" ca="1" si="0"/>
        <v>#NAME?</v>
      </c>
      <c r="L11" s="23" t="e">
        <f t="shared" ca="1" si="1"/>
        <v>#NAME?</v>
      </c>
      <c r="M11" s="23" t="e">
        <f t="shared" ca="1" si="2"/>
        <v>#NAME?</v>
      </c>
      <c r="N11" s="23" t="e">
        <f t="shared" ca="1" si="3"/>
        <v>#NAME?</v>
      </c>
      <c r="O11" s="27" t="e">
        <f t="shared" ca="1" si="4"/>
        <v>#NAME?</v>
      </c>
      <c r="P11" s="27" t="e">
        <f ca="1">'01_INPUTS'!B9*N11-K11</f>
        <v>#NAME?</v>
      </c>
      <c r="Q11" s="1" t="e">
        <f t="shared" ca="1" si="5"/>
        <v>#NAME?</v>
      </c>
      <c r="R11" s="28">
        <v>0.54834650293923914</v>
      </c>
      <c r="S11" s="28">
        <v>0.9254517403896898</v>
      </c>
      <c r="T11" s="28">
        <v>0.22026996244676411</v>
      </c>
      <c r="U11" s="28">
        <v>0.79709807736799121</v>
      </c>
      <c r="V11" s="28">
        <v>3.7196885794401169E-2</v>
      </c>
      <c r="W11" s="28">
        <v>0.95171876298263669</v>
      </c>
      <c r="X11" s="28">
        <v>0.20807443675585091</v>
      </c>
    </row>
    <row r="12" spans="1:24" ht="13.9">
      <c r="A12" s="1">
        <v>11</v>
      </c>
      <c r="B12" s="23" t="e">
        <f ca="1">_xludf.BETA.INV(R12,'04_PSA_INPUTS'!H5,'04_PSA_INPUTS'!I5)</f>
        <v>#NAME?</v>
      </c>
      <c r="C12" s="23" t="e">
        <f ca="1">_xludf.BETA.INV(S12,'04_PSA_INPUTS'!H6,'04_PSA_INPUTS'!I6)</f>
        <v>#NAME?</v>
      </c>
      <c r="D12" s="27" t="e">
        <f ca="1">_xludf.GAMMA.INV(T12,'04_PSA_INPUTS'!H7,'04_PSA_INPUTS'!I7)</f>
        <v>#NAME?</v>
      </c>
      <c r="E12" s="27" t="e">
        <f ca="1">_xludf.GAMMA.INV(U12,'04_PSA_INPUTS'!H8,'04_PSA_INPUTS'!I8)</f>
        <v>#NAME?</v>
      </c>
      <c r="F12" s="27" t="e">
        <f ca="1">_xludf.GAMMA.INV(V12,'04_PSA_INPUTS'!H9,'04_PSA_INPUTS'!I9)</f>
        <v>#NAME?</v>
      </c>
      <c r="G12" s="23" t="e">
        <f ca="1">_xludf.BETA.INV(W12,'04_PSA_INPUTS'!H10,'04_PSA_INPUTS'!I10)</f>
        <v>#NAME?</v>
      </c>
      <c r="H12" s="23" t="e">
        <f ca="1">_xludf.BETA.INV(X12,'04_PSA_INPUTS'!H11,'04_PSA_INPUTS'!I11)</f>
        <v>#NAME?</v>
      </c>
      <c r="I12" s="27" t="e">
        <f ca="1">D12+B12*F12+'01_INPUTS'!B20</f>
        <v>#NAME?</v>
      </c>
      <c r="J12" s="27" t="e">
        <f ca="1">E12+C12*F12+'01_INPUTS'!B21</f>
        <v>#NAME?</v>
      </c>
      <c r="K12" s="27" t="e">
        <f t="shared" ca="1" si="0"/>
        <v>#NAME?</v>
      </c>
      <c r="L12" s="23" t="e">
        <f t="shared" ca="1" si="1"/>
        <v>#NAME?</v>
      </c>
      <c r="M12" s="23" t="e">
        <f t="shared" ca="1" si="2"/>
        <v>#NAME?</v>
      </c>
      <c r="N12" s="23" t="e">
        <f t="shared" ca="1" si="3"/>
        <v>#NAME?</v>
      </c>
      <c r="O12" s="27" t="e">
        <f t="shared" ca="1" si="4"/>
        <v>#NAME?</v>
      </c>
      <c r="P12" s="27" t="e">
        <f ca="1">'01_INPUTS'!B9*N12-K12</f>
        <v>#NAME?</v>
      </c>
      <c r="Q12" s="1" t="e">
        <f t="shared" ca="1" si="5"/>
        <v>#NAME?</v>
      </c>
      <c r="R12" s="28">
        <v>0.5248101984616369</v>
      </c>
      <c r="S12" s="28">
        <v>0.51498771086335182</v>
      </c>
      <c r="T12" s="28">
        <v>0.15554826310835779</v>
      </c>
      <c r="U12" s="28">
        <v>0.93610190856270492</v>
      </c>
      <c r="V12" s="28">
        <v>0.16751501383259892</v>
      </c>
      <c r="W12" s="28">
        <v>0.84223013161681592</v>
      </c>
      <c r="X12" s="28">
        <v>0.15109838056378067</v>
      </c>
    </row>
    <row r="13" spans="1:24" ht="13.9">
      <c r="A13" s="1">
        <v>12</v>
      </c>
      <c r="B13" s="23" t="e">
        <f ca="1">_xludf.BETA.INV(R13,'04_PSA_INPUTS'!H5,'04_PSA_INPUTS'!I5)</f>
        <v>#NAME?</v>
      </c>
      <c r="C13" s="23" t="e">
        <f ca="1">_xludf.BETA.INV(S13,'04_PSA_INPUTS'!H6,'04_PSA_INPUTS'!I6)</f>
        <v>#NAME?</v>
      </c>
      <c r="D13" s="27" t="e">
        <f ca="1">_xludf.GAMMA.INV(T13,'04_PSA_INPUTS'!H7,'04_PSA_INPUTS'!I7)</f>
        <v>#NAME?</v>
      </c>
      <c r="E13" s="27" t="e">
        <f ca="1">_xludf.GAMMA.INV(U13,'04_PSA_INPUTS'!H8,'04_PSA_INPUTS'!I8)</f>
        <v>#NAME?</v>
      </c>
      <c r="F13" s="27" t="e">
        <f ca="1">_xludf.GAMMA.INV(V13,'04_PSA_INPUTS'!H9,'04_PSA_INPUTS'!I9)</f>
        <v>#NAME?</v>
      </c>
      <c r="G13" s="23" t="e">
        <f ca="1">_xludf.BETA.INV(W13,'04_PSA_INPUTS'!H10,'04_PSA_INPUTS'!I10)</f>
        <v>#NAME?</v>
      </c>
      <c r="H13" s="23" t="e">
        <f ca="1">_xludf.BETA.INV(X13,'04_PSA_INPUTS'!H11,'04_PSA_INPUTS'!I11)</f>
        <v>#NAME?</v>
      </c>
      <c r="I13" s="27" t="e">
        <f ca="1">D13+B13*F13+'01_INPUTS'!B20</f>
        <v>#NAME?</v>
      </c>
      <c r="J13" s="27" t="e">
        <f ca="1">E13+C13*F13+'01_INPUTS'!B21</f>
        <v>#NAME?</v>
      </c>
      <c r="K13" s="27" t="e">
        <f t="shared" ca="1" si="0"/>
        <v>#NAME?</v>
      </c>
      <c r="L13" s="23" t="e">
        <f t="shared" ca="1" si="1"/>
        <v>#NAME?</v>
      </c>
      <c r="M13" s="23" t="e">
        <f t="shared" ca="1" si="2"/>
        <v>#NAME?</v>
      </c>
      <c r="N13" s="23" t="e">
        <f t="shared" ca="1" si="3"/>
        <v>#NAME?</v>
      </c>
      <c r="O13" s="27" t="e">
        <f t="shared" ca="1" si="4"/>
        <v>#NAME?</v>
      </c>
      <c r="P13" s="27" t="e">
        <f ca="1">'01_INPUTS'!B9*N13-K13</f>
        <v>#NAME?</v>
      </c>
      <c r="Q13" s="1" t="e">
        <f t="shared" ca="1" si="5"/>
        <v>#NAME?</v>
      </c>
      <c r="R13" s="28">
        <v>0.91630494641140103</v>
      </c>
      <c r="S13" s="28">
        <v>0.79980992386117578</v>
      </c>
      <c r="T13" s="28">
        <v>0.50627314927987754</v>
      </c>
      <c r="U13" s="28">
        <v>0.33772048726677895</v>
      </c>
      <c r="V13" s="28">
        <v>0.42095800908282399</v>
      </c>
      <c r="W13" s="28">
        <v>0.90187859395518899</v>
      </c>
      <c r="X13" s="28">
        <v>0.28751272428780794</v>
      </c>
    </row>
    <row r="14" spans="1:24" ht="13.9">
      <c r="A14" s="1">
        <v>13</v>
      </c>
      <c r="B14" s="23" t="e">
        <f ca="1">_xludf.BETA.INV(R14,'04_PSA_INPUTS'!H5,'04_PSA_INPUTS'!I5)</f>
        <v>#NAME?</v>
      </c>
      <c r="C14" s="23" t="e">
        <f ca="1">_xludf.BETA.INV(S14,'04_PSA_INPUTS'!H6,'04_PSA_INPUTS'!I6)</f>
        <v>#NAME?</v>
      </c>
      <c r="D14" s="27" t="e">
        <f ca="1">_xludf.GAMMA.INV(T14,'04_PSA_INPUTS'!H7,'04_PSA_INPUTS'!I7)</f>
        <v>#NAME?</v>
      </c>
      <c r="E14" s="27" t="e">
        <f ca="1">_xludf.GAMMA.INV(U14,'04_PSA_INPUTS'!H8,'04_PSA_INPUTS'!I8)</f>
        <v>#NAME?</v>
      </c>
      <c r="F14" s="27" t="e">
        <f ca="1">_xludf.GAMMA.INV(V14,'04_PSA_INPUTS'!H9,'04_PSA_INPUTS'!I9)</f>
        <v>#NAME?</v>
      </c>
      <c r="G14" s="23" t="e">
        <f ca="1">_xludf.BETA.INV(W14,'04_PSA_INPUTS'!H10,'04_PSA_INPUTS'!I10)</f>
        <v>#NAME?</v>
      </c>
      <c r="H14" s="23" t="e">
        <f ca="1">_xludf.BETA.INV(X14,'04_PSA_INPUTS'!H11,'04_PSA_INPUTS'!I11)</f>
        <v>#NAME?</v>
      </c>
      <c r="I14" s="27" t="e">
        <f ca="1">D14+B14*F14+'01_INPUTS'!B20</f>
        <v>#NAME?</v>
      </c>
      <c r="J14" s="27" t="e">
        <f ca="1">E14+C14*F14+'01_INPUTS'!B21</f>
        <v>#NAME?</v>
      </c>
      <c r="K14" s="27" t="e">
        <f t="shared" ca="1" si="0"/>
        <v>#NAME?</v>
      </c>
      <c r="L14" s="23" t="e">
        <f t="shared" ca="1" si="1"/>
        <v>#NAME?</v>
      </c>
      <c r="M14" s="23" t="e">
        <f t="shared" ca="1" si="2"/>
        <v>#NAME?</v>
      </c>
      <c r="N14" s="23" t="e">
        <f t="shared" ca="1" si="3"/>
        <v>#NAME?</v>
      </c>
      <c r="O14" s="27" t="e">
        <f t="shared" ca="1" si="4"/>
        <v>#NAME?</v>
      </c>
      <c r="P14" s="27" t="e">
        <f ca="1">'01_INPUTS'!B9*N14-K14</f>
        <v>#NAME?</v>
      </c>
      <c r="Q14" s="1" t="e">
        <f t="shared" ca="1" si="5"/>
        <v>#NAME?</v>
      </c>
      <c r="R14" s="28">
        <v>0.40605669096112251</v>
      </c>
      <c r="S14" s="28">
        <v>0.32619334408082068</v>
      </c>
      <c r="T14" s="28">
        <v>0.43881464935839176</v>
      </c>
      <c r="U14" s="28">
        <v>0.18029065034352243</v>
      </c>
      <c r="V14" s="28">
        <v>0.90321130631491542</v>
      </c>
      <c r="W14" s="28">
        <v>0.36014099279418588</v>
      </c>
      <c r="X14" s="28">
        <v>6.2810294330120087E-3</v>
      </c>
    </row>
    <row r="15" spans="1:24" ht="13.9">
      <c r="A15" s="1">
        <v>14</v>
      </c>
      <c r="B15" s="23" t="e">
        <f ca="1">_xludf.BETA.INV(R15,'04_PSA_INPUTS'!H5,'04_PSA_INPUTS'!I5)</f>
        <v>#NAME?</v>
      </c>
      <c r="C15" s="23" t="e">
        <f ca="1">_xludf.BETA.INV(S15,'04_PSA_INPUTS'!H6,'04_PSA_INPUTS'!I6)</f>
        <v>#NAME?</v>
      </c>
      <c r="D15" s="27" t="e">
        <f ca="1">_xludf.GAMMA.INV(T15,'04_PSA_INPUTS'!H7,'04_PSA_INPUTS'!I7)</f>
        <v>#NAME?</v>
      </c>
      <c r="E15" s="27" t="e">
        <f ca="1">_xludf.GAMMA.INV(U15,'04_PSA_INPUTS'!H8,'04_PSA_INPUTS'!I8)</f>
        <v>#NAME?</v>
      </c>
      <c r="F15" s="27" t="e">
        <f ca="1">_xludf.GAMMA.INV(V15,'04_PSA_INPUTS'!H9,'04_PSA_INPUTS'!I9)</f>
        <v>#NAME?</v>
      </c>
      <c r="G15" s="23" t="e">
        <f ca="1">_xludf.BETA.INV(W15,'04_PSA_INPUTS'!H10,'04_PSA_INPUTS'!I10)</f>
        <v>#NAME?</v>
      </c>
      <c r="H15" s="23" t="e">
        <f ca="1">_xludf.BETA.INV(X15,'04_PSA_INPUTS'!H11,'04_PSA_INPUTS'!I11)</f>
        <v>#NAME?</v>
      </c>
      <c r="I15" s="27" t="e">
        <f ca="1">D15+B15*F15+'01_INPUTS'!B20</f>
        <v>#NAME?</v>
      </c>
      <c r="J15" s="27" t="e">
        <f ca="1">E15+C15*F15+'01_INPUTS'!B21</f>
        <v>#NAME?</v>
      </c>
      <c r="K15" s="27" t="e">
        <f t="shared" ca="1" si="0"/>
        <v>#NAME?</v>
      </c>
      <c r="L15" s="23" t="e">
        <f t="shared" ca="1" si="1"/>
        <v>#NAME?</v>
      </c>
      <c r="M15" s="23" t="e">
        <f t="shared" ca="1" si="2"/>
        <v>#NAME?</v>
      </c>
      <c r="N15" s="23" t="e">
        <f t="shared" ca="1" si="3"/>
        <v>#NAME?</v>
      </c>
      <c r="O15" s="27" t="e">
        <f t="shared" ca="1" si="4"/>
        <v>#NAME?</v>
      </c>
      <c r="P15" s="27" t="e">
        <f ca="1">'01_INPUTS'!B9*N15-K15</f>
        <v>#NAME?</v>
      </c>
      <c r="Q15" s="1" t="e">
        <f t="shared" ca="1" si="5"/>
        <v>#NAME?</v>
      </c>
      <c r="R15" s="28">
        <v>0.87412802968174219</v>
      </c>
      <c r="S15" s="28">
        <v>0.76323962374590337</v>
      </c>
      <c r="T15" s="28">
        <v>0.90191245474852622</v>
      </c>
      <c r="U15" s="28">
        <v>0.4193934197537601</v>
      </c>
      <c r="V15" s="28">
        <v>0.48104646010324359</v>
      </c>
      <c r="W15" s="28">
        <v>0.50956619228236377</v>
      </c>
      <c r="X15" s="28">
        <v>0.55092531931586564</v>
      </c>
    </row>
    <row r="16" spans="1:24" ht="13.9">
      <c r="A16" s="1">
        <v>15</v>
      </c>
      <c r="B16" s="23" t="e">
        <f ca="1">_xludf.BETA.INV(R16,'04_PSA_INPUTS'!H5,'04_PSA_INPUTS'!I5)</f>
        <v>#NAME?</v>
      </c>
      <c r="C16" s="23" t="e">
        <f ca="1">_xludf.BETA.INV(S16,'04_PSA_INPUTS'!H6,'04_PSA_INPUTS'!I6)</f>
        <v>#NAME?</v>
      </c>
      <c r="D16" s="27" t="e">
        <f ca="1">_xludf.GAMMA.INV(T16,'04_PSA_INPUTS'!H7,'04_PSA_INPUTS'!I7)</f>
        <v>#NAME?</v>
      </c>
      <c r="E16" s="27" t="e">
        <f ca="1">_xludf.GAMMA.INV(U16,'04_PSA_INPUTS'!H8,'04_PSA_INPUTS'!I8)</f>
        <v>#NAME?</v>
      </c>
      <c r="F16" s="27" t="e">
        <f ca="1">_xludf.GAMMA.INV(V16,'04_PSA_INPUTS'!H9,'04_PSA_INPUTS'!I9)</f>
        <v>#NAME?</v>
      </c>
      <c r="G16" s="23" t="e">
        <f ca="1">_xludf.BETA.INV(W16,'04_PSA_INPUTS'!H10,'04_PSA_INPUTS'!I10)</f>
        <v>#NAME?</v>
      </c>
      <c r="H16" s="23" t="e">
        <f ca="1">_xludf.BETA.INV(X16,'04_PSA_INPUTS'!H11,'04_PSA_INPUTS'!I11)</f>
        <v>#NAME?</v>
      </c>
      <c r="I16" s="27" t="e">
        <f ca="1">D16+B16*F16+'01_INPUTS'!B20</f>
        <v>#NAME?</v>
      </c>
      <c r="J16" s="27" t="e">
        <f ca="1">E16+C16*F16+'01_INPUTS'!B21</f>
        <v>#NAME?</v>
      </c>
      <c r="K16" s="27" t="e">
        <f t="shared" ca="1" si="0"/>
        <v>#NAME?</v>
      </c>
      <c r="L16" s="23" t="e">
        <f t="shared" ca="1" si="1"/>
        <v>#NAME?</v>
      </c>
      <c r="M16" s="23" t="e">
        <f t="shared" ca="1" si="2"/>
        <v>#NAME?</v>
      </c>
      <c r="N16" s="23" t="e">
        <f t="shared" ca="1" si="3"/>
        <v>#NAME?</v>
      </c>
      <c r="O16" s="27" t="e">
        <f t="shared" ca="1" si="4"/>
        <v>#NAME?</v>
      </c>
      <c r="P16" s="27" t="e">
        <f ca="1">'01_INPUTS'!B9*N16-K16</f>
        <v>#NAME?</v>
      </c>
      <c r="Q16" s="1" t="e">
        <f t="shared" ca="1" si="5"/>
        <v>#NAME?</v>
      </c>
      <c r="R16" s="28">
        <v>0.48684133589267731</v>
      </c>
      <c r="S16" s="28">
        <v>0.28072797902859747</v>
      </c>
      <c r="T16" s="28">
        <v>0.57817117148078978</v>
      </c>
      <c r="U16" s="28">
        <v>0.62632730416953564</v>
      </c>
      <c r="V16" s="28">
        <v>0.61324180103838444</v>
      </c>
      <c r="W16" s="28">
        <v>0.43299980252049863</v>
      </c>
      <c r="X16" s="28">
        <v>0.57236791797913611</v>
      </c>
    </row>
    <row r="17" spans="1:24" ht="13.9">
      <c r="A17" s="1">
        <v>16</v>
      </c>
      <c r="B17" s="23" t="e">
        <f ca="1">_xludf.BETA.INV(R17,'04_PSA_INPUTS'!H5,'04_PSA_INPUTS'!I5)</f>
        <v>#NAME?</v>
      </c>
      <c r="C17" s="23" t="e">
        <f ca="1">_xludf.BETA.INV(S17,'04_PSA_INPUTS'!H6,'04_PSA_INPUTS'!I6)</f>
        <v>#NAME?</v>
      </c>
      <c r="D17" s="27" t="e">
        <f ca="1">_xludf.GAMMA.INV(T17,'04_PSA_INPUTS'!H7,'04_PSA_INPUTS'!I7)</f>
        <v>#NAME?</v>
      </c>
      <c r="E17" s="27" t="e">
        <f ca="1">_xludf.GAMMA.INV(U17,'04_PSA_INPUTS'!H8,'04_PSA_INPUTS'!I8)</f>
        <v>#NAME?</v>
      </c>
      <c r="F17" s="27" t="e">
        <f ca="1">_xludf.GAMMA.INV(V17,'04_PSA_INPUTS'!H9,'04_PSA_INPUTS'!I9)</f>
        <v>#NAME?</v>
      </c>
      <c r="G17" s="23" t="e">
        <f ca="1">_xludf.BETA.INV(W17,'04_PSA_INPUTS'!H10,'04_PSA_INPUTS'!I10)</f>
        <v>#NAME?</v>
      </c>
      <c r="H17" s="23" t="e">
        <f ca="1">_xludf.BETA.INV(X17,'04_PSA_INPUTS'!H11,'04_PSA_INPUTS'!I11)</f>
        <v>#NAME?</v>
      </c>
      <c r="I17" s="27" t="e">
        <f ca="1">D17+B17*F17+'01_INPUTS'!B20</f>
        <v>#NAME?</v>
      </c>
      <c r="J17" s="27" t="e">
        <f ca="1">E17+C17*F17+'01_INPUTS'!B21</f>
        <v>#NAME?</v>
      </c>
      <c r="K17" s="27" t="e">
        <f t="shared" ca="1" si="0"/>
        <v>#NAME?</v>
      </c>
      <c r="L17" s="23" t="e">
        <f t="shared" ca="1" si="1"/>
        <v>#NAME?</v>
      </c>
      <c r="M17" s="23" t="e">
        <f t="shared" ca="1" si="2"/>
        <v>#NAME?</v>
      </c>
      <c r="N17" s="23" t="e">
        <f t="shared" ca="1" si="3"/>
        <v>#NAME?</v>
      </c>
      <c r="O17" s="27" t="e">
        <f t="shared" ca="1" si="4"/>
        <v>#NAME?</v>
      </c>
      <c r="P17" s="27" t="e">
        <f ca="1">'01_INPUTS'!B9*N17-K17</f>
        <v>#NAME?</v>
      </c>
      <c r="Q17" s="1" t="e">
        <f t="shared" ca="1" si="5"/>
        <v>#NAME?</v>
      </c>
      <c r="R17" s="28">
        <v>0.46217532316222787</v>
      </c>
      <c r="S17" s="28">
        <v>0.67562501039355993</v>
      </c>
      <c r="T17" s="28">
        <v>0.24186855787411332</v>
      </c>
      <c r="U17" s="28">
        <v>1.0287720477208495E-2</v>
      </c>
      <c r="V17" s="28">
        <v>6.2165749259293079E-3</v>
      </c>
      <c r="W17" s="28">
        <v>0.32776461122557521</v>
      </c>
      <c r="X17" s="28">
        <v>0.66877373144961894</v>
      </c>
    </row>
    <row r="18" spans="1:24" ht="13.9">
      <c r="A18" s="1">
        <v>17</v>
      </c>
      <c r="B18" s="23" t="e">
        <f ca="1">_xludf.BETA.INV(R18,'04_PSA_INPUTS'!H5,'04_PSA_INPUTS'!I5)</f>
        <v>#NAME?</v>
      </c>
      <c r="C18" s="23" t="e">
        <f ca="1">_xludf.BETA.INV(S18,'04_PSA_INPUTS'!H6,'04_PSA_INPUTS'!I6)</f>
        <v>#NAME?</v>
      </c>
      <c r="D18" s="27" t="e">
        <f ca="1">_xludf.GAMMA.INV(T18,'04_PSA_INPUTS'!H7,'04_PSA_INPUTS'!I7)</f>
        <v>#NAME?</v>
      </c>
      <c r="E18" s="27" t="e">
        <f ca="1">_xludf.GAMMA.INV(U18,'04_PSA_INPUTS'!H8,'04_PSA_INPUTS'!I8)</f>
        <v>#NAME?</v>
      </c>
      <c r="F18" s="27" t="e">
        <f ca="1">_xludf.GAMMA.INV(V18,'04_PSA_INPUTS'!H9,'04_PSA_INPUTS'!I9)</f>
        <v>#NAME?</v>
      </c>
      <c r="G18" s="23" t="e">
        <f ca="1">_xludf.BETA.INV(W18,'04_PSA_INPUTS'!H10,'04_PSA_INPUTS'!I10)</f>
        <v>#NAME?</v>
      </c>
      <c r="H18" s="23" t="e">
        <f ca="1">_xludf.BETA.INV(X18,'04_PSA_INPUTS'!H11,'04_PSA_INPUTS'!I11)</f>
        <v>#NAME?</v>
      </c>
      <c r="I18" s="27" t="e">
        <f ca="1">D18+B18*F18+'01_INPUTS'!B20</f>
        <v>#NAME?</v>
      </c>
      <c r="J18" s="27" t="e">
        <f ca="1">E18+C18*F18+'01_INPUTS'!B21</f>
        <v>#NAME?</v>
      </c>
      <c r="K18" s="27" t="e">
        <f t="shared" ca="1" si="0"/>
        <v>#NAME?</v>
      </c>
      <c r="L18" s="23" t="e">
        <f t="shared" ca="1" si="1"/>
        <v>#NAME?</v>
      </c>
      <c r="M18" s="23" t="e">
        <f t="shared" ca="1" si="2"/>
        <v>#NAME?</v>
      </c>
      <c r="N18" s="23" t="e">
        <f t="shared" ca="1" si="3"/>
        <v>#NAME?</v>
      </c>
      <c r="O18" s="27" t="e">
        <f t="shared" ca="1" si="4"/>
        <v>#NAME?</v>
      </c>
      <c r="P18" s="27" t="e">
        <f ca="1">'01_INPUTS'!B9*N18-K18</f>
        <v>#NAME?</v>
      </c>
      <c r="Q18" s="1" t="e">
        <f t="shared" ca="1" si="5"/>
        <v>#NAME?</v>
      </c>
      <c r="R18" s="28">
        <v>0.30768241011537611</v>
      </c>
      <c r="S18" s="28">
        <v>0.23279399331659079</v>
      </c>
      <c r="T18" s="28">
        <v>0.58335450896993279</v>
      </c>
      <c r="U18" s="28">
        <v>0.32894357270561159</v>
      </c>
      <c r="V18" s="28">
        <v>0.94068827736191452</v>
      </c>
      <c r="W18" s="28">
        <v>0.70336181297898293</v>
      </c>
      <c r="X18" s="28">
        <v>6.5895996289327741E-2</v>
      </c>
    </row>
    <row r="19" spans="1:24" ht="13.9">
      <c r="A19" s="1">
        <v>18</v>
      </c>
      <c r="B19" s="23" t="e">
        <f ca="1">_xludf.BETA.INV(R19,'04_PSA_INPUTS'!H5,'04_PSA_INPUTS'!I5)</f>
        <v>#NAME?</v>
      </c>
      <c r="C19" s="23" t="e">
        <f ca="1">_xludf.BETA.INV(S19,'04_PSA_INPUTS'!H6,'04_PSA_INPUTS'!I6)</f>
        <v>#NAME?</v>
      </c>
      <c r="D19" s="27" t="e">
        <f ca="1">_xludf.GAMMA.INV(T19,'04_PSA_INPUTS'!H7,'04_PSA_INPUTS'!I7)</f>
        <v>#NAME?</v>
      </c>
      <c r="E19" s="27" t="e">
        <f ca="1">_xludf.GAMMA.INV(U19,'04_PSA_INPUTS'!H8,'04_PSA_INPUTS'!I8)</f>
        <v>#NAME?</v>
      </c>
      <c r="F19" s="27" t="e">
        <f ca="1">_xludf.GAMMA.INV(V19,'04_PSA_INPUTS'!H9,'04_PSA_INPUTS'!I9)</f>
        <v>#NAME?</v>
      </c>
      <c r="G19" s="23" t="e">
        <f ca="1">_xludf.BETA.INV(W19,'04_PSA_INPUTS'!H10,'04_PSA_INPUTS'!I10)</f>
        <v>#NAME?</v>
      </c>
      <c r="H19" s="23" t="e">
        <f ca="1">_xludf.BETA.INV(X19,'04_PSA_INPUTS'!H11,'04_PSA_INPUTS'!I11)</f>
        <v>#NAME?</v>
      </c>
      <c r="I19" s="27" t="e">
        <f ca="1">D19+B19*F19+'01_INPUTS'!B20</f>
        <v>#NAME?</v>
      </c>
      <c r="J19" s="27" t="e">
        <f ca="1">E19+C19*F19+'01_INPUTS'!B21</f>
        <v>#NAME?</v>
      </c>
      <c r="K19" s="27" t="e">
        <f t="shared" ca="1" si="0"/>
        <v>#NAME?</v>
      </c>
      <c r="L19" s="23" t="e">
        <f t="shared" ca="1" si="1"/>
        <v>#NAME?</v>
      </c>
      <c r="M19" s="23" t="e">
        <f t="shared" ca="1" si="2"/>
        <v>#NAME?</v>
      </c>
      <c r="N19" s="23" t="e">
        <f t="shared" ca="1" si="3"/>
        <v>#NAME?</v>
      </c>
      <c r="O19" s="27" t="e">
        <f t="shared" ca="1" si="4"/>
        <v>#NAME?</v>
      </c>
      <c r="P19" s="27" t="e">
        <f ca="1">'01_INPUTS'!B9*N19-K19</f>
        <v>#NAME?</v>
      </c>
      <c r="Q19" s="1" t="e">
        <f t="shared" ca="1" si="5"/>
        <v>#NAME?</v>
      </c>
      <c r="R19" s="28">
        <v>6.0064551886171103E-2</v>
      </c>
      <c r="S19" s="28">
        <v>0.26052990229800344</v>
      </c>
      <c r="T19" s="28">
        <v>0.35653108917176723</v>
      </c>
      <c r="U19" s="28">
        <v>0.85706830490380526</v>
      </c>
      <c r="V19" s="28">
        <v>0.1356787602417171</v>
      </c>
      <c r="W19" s="28">
        <v>0.14050024840980768</v>
      </c>
      <c r="X19" s="28">
        <v>0.5854511926881969</v>
      </c>
    </row>
    <row r="20" spans="1:24" ht="13.9">
      <c r="A20" s="1">
        <v>19</v>
      </c>
      <c r="B20" s="23" t="e">
        <f ca="1">_xludf.BETA.INV(R20,'04_PSA_INPUTS'!H5,'04_PSA_INPUTS'!I5)</f>
        <v>#NAME?</v>
      </c>
      <c r="C20" s="23" t="e">
        <f ca="1">_xludf.BETA.INV(S20,'04_PSA_INPUTS'!H6,'04_PSA_INPUTS'!I6)</f>
        <v>#NAME?</v>
      </c>
      <c r="D20" s="27" t="e">
        <f ca="1">_xludf.GAMMA.INV(T20,'04_PSA_INPUTS'!H7,'04_PSA_INPUTS'!I7)</f>
        <v>#NAME?</v>
      </c>
      <c r="E20" s="27" t="e">
        <f ca="1">_xludf.GAMMA.INV(U20,'04_PSA_INPUTS'!H8,'04_PSA_INPUTS'!I8)</f>
        <v>#NAME?</v>
      </c>
      <c r="F20" s="27" t="e">
        <f ca="1">_xludf.GAMMA.INV(V20,'04_PSA_INPUTS'!H9,'04_PSA_INPUTS'!I9)</f>
        <v>#NAME?</v>
      </c>
      <c r="G20" s="23" t="e">
        <f ca="1">_xludf.BETA.INV(W20,'04_PSA_INPUTS'!H10,'04_PSA_INPUTS'!I10)</f>
        <v>#NAME?</v>
      </c>
      <c r="H20" s="23" t="e">
        <f ca="1">_xludf.BETA.INV(X20,'04_PSA_INPUTS'!H11,'04_PSA_INPUTS'!I11)</f>
        <v>#NAME?</v>
      </c>
      <c r="I20" s="27" t="e">
        <f ca="1">D20+B20*F20+'01_INPUTS'!B20</f>
        <v>#NAME?</v>
      </c>
      <c r="J20" s="27" t="e">
        <f ca="1">E20+C20*F20+'01_INPUTS'!B21</f>
        <v>#NAME?</v>
      </c>
      <c r="K20" s="27" t="e">
        <f t="shared" ca="1" si="0"/>
        <v>#NAME?</v>
      </c>
      <c r="L20" s="23" t="e">
        <f t="shared" ca="1" si="1"/>
        <v>#NAME?</v>
      </c>
      <c r="M20" s="23" t="e">
        <f t="shared" ca="1" si="2"/>
        <v>#NAME?</v>
      </c>
      <c r="N20" s="23" t="e">
        <f t="shared" ca="1" si="3"/>
        <v>#NAME?</v>
      </c>
      <c r="O20" s="27" t="e">
        <f t="shared" ca="1" si="4"/>
        <v>#NAME?</v>
      </c>
      <c r="P20" s="27" t="e">
        <f ca="1">'01_INPUTS'!B9*N20-K20</f>
        <v>#NAME?</v>
      </c>
      <c r="Q20" s="1" t="e">
        <f t="shared" ca="1" si="5"/>
        <v>#NAME?</v>
      </c>
      <c r="R20" s="28">
        <v>0.55061991652473807</v>
      </c>
      <c r="S20" s="28">
        <v>0.5129379911813885</v>
      </c>
      <c r="T20" s="28">
        <v>0.3071069261059165</v>
      </c>
      <c r="U20" s="28">
        <v>0.31237236596643925</v>
      </c>
      <c r="V20" s="28">
        <v>0.25454316823743284</v>
      </c>
      <c r="W20" s="28">
        <v>0.59673006110824645</v>
      </c>
      <c r="X20" s="28">
        <v>0.39574338844977319</v>
      </c>
    </row>
    <row r="21" spans="1:24" ht="13.9">
      <c r="A21" s="1">
        <v>20</v>
      </c>
      <c r="B21" s="23" t="e">
        <f ca="1">_xludf.BETA.INV(R21,'04_PSA_INPUTS'!H5,'04_PSA_INPUTS'!I5)</f>
        <v>#NAME?</v>
      </c>
      <c r="C21" s="23" t="e">
        <f ca="1">_xludf.BETA.INV(S21,'04_PSA_INPUTS'!H6,'04_PSA_INPUTS'!I6)</f>
        <v>#NAME?</v>
      </c>
      <c r="D21" s="27" t="e">
        <f ca="1">_xludf.GAMMA.INV(T21,'04_PSA_INPUTS'!H7,'04_PSA_INPUTS'!I7)</f>
        <v>#NAME?</v>
      </c>
      <c r="E21" s="27" t="e">
        <f ca="1">_xludf.GAMMA.INV(U21,'04_PSA_INPUTS'!H8,'04_PSA_INPUTS'!I8)</f>
        <v>#NAME?</v>
      </c>
      <c r="F21" s="27" t="e">
        <f ca="1">_xludf.GAMMA.INV(V21,'04_PSA_INPUTS'!H9,'04_PSA_INPUTS'!I9)</f>
        <v>#NAME?</v>
      </c>
      <c r="G21" s="23" t="e">
        <f ca="1">_xludf.BETA.INV(W21,'04_PSA_INPUTS'!H10,'04_PSA_INPUTS'!I10)</f>
        <v>#NAME?</v>
      </c>
      <c r="H21" s="23" t="e">
        <f ca="1">_xludf.BETA.INV(X21,'04_PSA_INPUTS'!H11,'04_PSA_INPUTS'!I11)</f>
        <v>#NAME?</v>
      </c>
      <c r="I21" s="27" t="e">
        <f ca="1">D21+B21*F21+'01_INPUTS'!B20</f>
        <v>#NAME?</v>
      </c>
      <c r="J21" s="27" t="e">
        <f ca="1">E21+C21*F21+'01_INPUTS'!B21</f>
        <v>#NAME?</v>
      </c>
      <c r="K21" s="27" t="e">
        <f t="shared" ca="1" si="0"/>
        <v>#NAME?</v>
      </c>
      <c r="L21" s="23" t="e">
        <f t="shared" ca="1" si="1"/>
        <v>#NAME?</v>
      </c>
      <c r="M21" s="23" t="e">
        <f t="shared" ca="1" si="2"/>
        <v>#NAME?</v>
      </c>
      <c r="N21" s="23" t="e">
        <f t="shared" ca="1" si="3"/>
        <v>#NAME?</v>
      </c>
      <c r="O21" s="27" t="e">
        <f t="shared" ca="1" si="4"/>
        <v>#NAME?</v>
      </c>
      <c r="P21" s="27" t="e">
        <f ca="1">'01_INPUTS'!B9*N21-K21</f>
        <v>#NAME?</v>
      </c>
      <c r="Q21" s="1" t="e">
        <f t="shared" ca="1" si="5"/>
        <v>#NAME?</v>
      </c>
      <c r="R21" s="28">
        <v>0.22088744351640344</v>
      </c>
      <c r="S21" s="28">
        <v>0.64531920268200338</v>
      </c>
      <c r="T21" s="28">
        <v>0.93834112025797367</v>
      </c>
      <c r="U21" s="28">
        <v>0.161909697111696</v>
      </c>
      <c r="V21" s="28">
        <v>0.74984376388601959</v>
      </c>
      <c r="W21" s="28">
        <v>0.12902333191595972</v>
      </c>
      <c r="X21" s="28">
        <v>3.785989573225379E-2</v>
      </c>
    </row>
    <row r="22" spans="1:24" ht="13.9">
      <c r="A22" s="1">
        <v>21</v>
      </c>
      <c r="B22" s="23" t="e">
        <f ca="1">_xludf.BETA.INV(R22,'04_PSA_INPUTS'!H5,'04_PSA_INPUTS'!I5)</f>
        <v>#NAME?</v>
      </c>
      <c r="C22" s="23" t="e">
        <f ca="1">_xludf.BETA.INV(S22,'04_PSA_INPUTS'!H6,'04_PSA_INPUTS'!I6)</f>
        <v>#NAME?</v>
      </c>
      <c r="D22" s="27" t="e">
        <f ca="1">_xludf.GAMMA.INV(T22,'04_PSA_INPUTS'!H7,'04_PSA_INPUTS'!I7)</f>
        <v>#NAME?</v>
      </c>
      <c r="E22" s="27" t="e">
        <f ca="1">_xludf.GAMMA.INV(U22,'04_PSA_INPUTS'!H8,'04_PSA_INPUTS'!I8)</f>
        <v>#NAME?</v>
      </c>
      <c r="F22" s="27" t="e">
        <f ca="1">_xludf.GAMMA.INV(V22,'04_PSA_INPUTS'!H9,'04_PSA_INPUTS'!I9)</f>
        <v>#NAME?</v>
      </c>
      <c r="G22" s="23" t="e">
        <f ca="1">_xludf.BETA.INV(W22,'04_PSA_INPUTS'!H10,'04_PSA_INPUTS'!I10)</f>
        <v>#NAME?</v>
      </c>
      <c r="H22" s="23" t="e">
        <f ca="1">_xludf.BETA.INV(X22,'04_PSA_INPUTS'!H11,'04_PSA_INPUTS'!I11)</f>
        <v>#NAME?</v>
      </c>
      <c r="I22" s="27" t="e">
        <f ca="1">D22+B22*F22+'01_INPUTS'!B20</f>
        <v>#NAME?</v>
      </c>
      <c r="J22" s="27" t="e">
        <f ca="1">E22+C22*F22+'01_INPUTS'!B21</f>
        <v>#NAME?</v>
      </c>
      <c r="K22" s="27" t="e">
        <f t="shared" ca="1" si="0"/>
        <v>#NAME?</v>
      </c>
      <c r="L22" s="23" t="e">
        <f t="shared" ca="1" si="1"/>
        <v>#NAME?</v>
      </c>
      <c r="M22" s="23" t="e">
        <f t="shared" ca="1" si="2"/>
        <v>#NAME?</v>
      </c>
      <c r="N22" s="23" t="e">
        <f t="shared" ca="1" si="3"/>
        <v>#NAME?</v>
      </c>
      <c r="O22" s="27" t="e">
        <f t="shared" ca="1" si="4"/>
        <v>#NAME?</v>
      </c>
      <c r="P22" s="27" t="e">
        <f ca="1">'01_INPUTS'!B9*N22-K22</f>
        <v>#NAME?</v>
      </c>
      <c r="Q22" s="1" t="e">
        <f t="shared" ca="1" si="5"/>
        <v>#NAME?</v>
      </c>
      <c r="R22" s="28">
        <v>0.53822980890981853</v>
      </c>
      <c r="S22" s="28">
        <v>0.87924275128170848</v>
      </c>
      <c r="T22" s="28">
        <v>0.57269545178860426</v>
      </c>
      <c r="U22" s="28">
        <v>5.8258447097614408E-2</v>
      </c>
      <c r="V22" s="28">
        <v>0.79198634950444102</v>
      </c>
      <c r="W22" s="28">
        <v>0.85815302608534694</v>
      </c>
      <c r="X22" s="28">
        <v>0.85617431183345616</v>
      </c>
    </row>
    <row r="23" spans="1:24" ht="13.9">
      <c r="A23" s="1">
        <v>22</v>
      </c>
      <c r="B23" s="23" t="e">
        <f ca="1">_xludf.BETA.INV(R23,'04_PSA_INPUTS'!H5,'04_PSA_INPUTS'!I5)</f>
        <v>#NAME?</v>
      </c>
      <c r="C23" s="23" t="e">
        <f ca="1">_xludf.BETA.INV(S23,'04_PSA_INPUTS'!H6,'04_PSA_INPUTS'!I6)</f>
        <v>#NAME?</v>
      </c>
      <c r="D23" s="27" t="e">
        <f ca="1">_xludf.GAMMA.INV(T23,'04_PSA_INPUTS'!H7,'04_PSA_INPUTS'!I7)</f>
        <v>#NAME?</v>
      </c>
      <c r="E23" s="27" t="e">
        <f ca="1">_xludf.GAMMA.INV(U23,'04_PSA_INPUTS'!H8,'04_PSA_INPUTS'!I8)</f>
        <v>#NAME?</v>
      </c>
      <c r="F23" s="27" t="e">
        <f ca="1">_xludf.GAMMA.INV(V23,'04_PSA_INPUTS'!H9,'04_PSA_INPUTS'!I9)</f>
        <v>#NAME?</v>
      </c>
      <c r="G23" s="23" t="e">
        <f ca="1">_xludf.BETA.INV(W23,'04_PSA_INPUTS'!H10,'04_PSA_INPUTS'!I10)</f>
        <v>#NAME?</v>
      </c>
      <c r="H23" s="23" t="e">
        <f ca="1">_xludf.BETA.INV(X23,'04_PSA_INPUTS'!H11,'04_PSA_INPUTS'!I11)</f>
        <v>#NAME?</v>
      </c>
      <c r="I23" s="27" t="e">
        <f ca="1">D23+B23*F23+'01_INPUTS'!B20</f>
        <v>#NAME?</v>
      </c>
      <c r="J23" s="27" t="e">
        <f ca="1">E23+C23*F23+'01_INPUTS'!B21</f>
        <v>#NAME?</v>
      </c>
      <c r="K23" s="27" t="e">
        <f t="shared" ca="1" si="0"/>
        <v>#NAME?</v>
      </c>
      <c r="L23" s="23" t="e">
        <f t="shared" ca="1" si="1"/>
        <v>#NAME?</v>
      </c>
      <c r="M23" s="23" t="e">
        <f t="shared" ca="1" si="2"/>
        <v>#NAME?</v>
      </c>
      <c r="N23" s="23" t="e">
        <f t="shared" ca="1" si="3"/>
        <v>#NAME?</v>
      </c>
      <c r="O23" s="27" t="e">
        <f t="shared" ca="1" si="4"/>
        <v>#NAME?</v>
      </c>
      <c r="P23" s="27" t="e">
        <f ca="1">'01_INPUTS'!B9*N23-K23</f>
        <v>#NAME?</v>
      </c>
      <c r="Q23" s="1" t="e">
        <f t="shared" ca="1" si="5"/>
        <v>#NAME?</v>
      </c>
      <c r="R23" s="28">
        <v>0.38472014432772994</v>
      </c>
      <c r="S23" s="28">
        <v>0.69028279697522521</v>
      </c>
      <c r="T23" s="28">
        <v>0.32518010260537267</v>
      </c>
      <c r="U23" s="28">
        <v>0.21952723851427436</v>
      </c>
      <c r="V23" s="28">
        <v>0.77691693417727947</v>
      </c>
      <c r="W23" s="28">
        <v>0.74446116061881185</v>
      </c>
      <c r="X23" s="28">
        <v>7.8943223226815462E-2</v>
      </c>
    </row>
    <row r="24" spans="1:24" ht="13.9">
      <c r="A24" s="1">
        <v>23</v>
      </c>
      <c r="B24" s="23" t="e">
        <f ca="1">_xludf.BETA.INV(R24,'04_PSA_INPUTS'!H5,'04_PSA_INPUTS'!I5)</f>
        <v>#NAME?</v>
      </c>
      <c r="C24" s="23" t="e">
        <f ca="1">_xludf.BETA.INV(S24,'04_PSA_INPUTS'!H6,'04_PSA_INPUTS'!I6)</f>
        <v>#NAME?</v>
      </c>
      <c r="D24" s="27" t="e">
        <f ca="1">_xludf.GAMMA.INV(T24,'04_PSA_INPUTS'!H7,'04_PSA_INPUTS'!I7)</f>
        <v>#NAME?</v>
      </c>
      <c r="E24" s="27" t="e">
        <f ca="1">_xludf.GAMMA.INV(U24,'04_PSA_INPUTS'!H8,'04_PSA_INPUTS'!I8)</f>
        <v>#NAME?</v>
      </c>
      <c r="F24" s="27" t="e">
        <f ca="1">_xludf.GAMMA.INV(V24,'04_PSA_INPUTS'!H9,'04_PSA_INPUTS'!I9)</f>
        <v>#NAME?</v>
      </c>
      <c r="G24" s="23" t="e">
        <f ca="1">_xludf.BETA.INV(W24,'04_PSA_INPUTS'!H10,'04_PSA_INPUTS'!I10)</f>
        <v>#NAME?</v>
      </c>
      <c r="H24" s="23" t="e">
        <f ca="1">_xludf.BETA.INV(X24,'04_PSA_INPUTS'!H11,'04_PSA_INPUTS'!I11)</f>
        <v>#NAME?</v>
      </c>
      <c r="I24" s="27" t="e">
        <f ca="1">D24+B24*F24+'01_INPUTS'!B20</f>
        <v>#NAME?</v>
      </c>
      <c r="J24" s="27" t="e">
        <f ca="1">E24+C24*F24+'01_INPUTS'!B21</f>
        <v>#NAME?</v>
      </c>
      <c r="K24" s="27" t="e">
        <f t="shared" ca="1" si="0"/>
        <v>#NAME?</v>
      </c>
      <c r="L24" s="23" t="e">
        <f t="shared" ca="1" si="1"/>
        <v>#NAME?</v>
      </c>
      <c r="M24" s="23" t="e">
        <f t="shared" ca="1" si="2"/>
        <v>#NAME?</v>
      </c>
      <c r="N24" s="23" t="e">
        <f t="shared" ca="1" si="3"/>
        <v>#NAME?</v>
      </c>
      <c r="O24" s="27" t="e">
        <f t="shared" ca="1" si="4"/>
        <v>#NAME?</v>
      </c>
      <c r="P24" s="27" t="e">
        <f ca="1">'01_INPUTS'!B9*N24-K24</f>
        <v>#NAME?</v>
      </c>
      <c r="Q24" s="1" t="e">
        <f t="shared" ca="1" si="5"/>
        <v>#NAME?</v>
      </c>
      <c r="R24" s="28">
        <v>0.80523276282474399</v>
      </c>
      <c r="S24" s="28">
        <v>0.15439994796179235</v>
      </c>
      <c r="T24" s="28">
        <v>0.18937044311314821</v>
      </c>
      <c r="U24" s="28">
        <v>0.4089432202745229</v>
      </c>
      <c r="V24" s="28">
        <v>0.87333945510908961</v>
      </c>
      <c r="W24" s="28">
        <v>0.89972262922674417</v>
      </c>
      <c r="X24" s="28">
        <v>4.0390044450759888E-2</v>
      </c>
    </row>
    <row r="25" spans="1:24" ht="13.9">
      <c r="A25" s="1">
        <v>24</v>
      </c>
      <c r="B25" s="23" t="e">
        <f ca="1">_xludf.BETA.INV(R25,'04_PSA_INPUTS'!H5,'04_PSA_INPUTS'!I5)</f>
        <v>#NAME?</v>
      </c>
      <c r="C25" s="23" t="e">
        <f ca="1">_xludf.BETA.INV(S25,'04_PSA_INPUTS'!H6,'04_PSA_INPUTS'!I6)</f>
        <v>#NAME?</v>
      </c>
      <c r="D25" s="27" t="e">
        <f ca="1">_xludf.GAMMA.INV(T25,'04_PSA_INPUTS'!H7,'04_PSA_INPUTS'!I7)</f>
        <v>#NAME?</v>
      </c>
      <c r="E25" s="27" t="e">
        <f ca="1">_xludf.GAMMA.INV(U25,'04_PSA_INPUTS'!H8,'04_PSA_INPUTS'!I8)</f>
        <v>#NAME?</v>
      </c>
      <c r="F25" s="27" t="e">
        <f ca="1">_xludf.GAMMA.INV(V25,'04_PSA_INPUTS'!H9,'04_PSA_INPUTS'!I9)</f>
        <v>#NAME?</v>
      </c>
      <c r="G25" s="23" t="e">
        <f ca="1">_xludf.BETA.INV(W25,'04_PSA_INPUTS'!H10,'04_PSA_INPUTS'!I10)</f>
        <v>#NAME?</v>
      </c>
      <c r="H25" s="23" t="e">
        <f ca="1">_xludf.BETA.INV(X25,'04_PSA_INPUTS'!H11,'04_PSA_INPUTS'!I11)</f>
        <v>#NAME?</v>
      </c>
      <c r="I25" s="27" t="e">
        <f ca="1">D25+B25*F25+'01_INPUTS'!B20</f>
        <v>#NAME?</v>
      </c>
      <c r="J25" s="27" t="e">
        <f ca="1">E25+C25*F25+'01_INPUTS'!B21</f>
        <v>#NAME?</v>
      </c>
      <c r="K25" s="27" t="e">
        <f t="shared" ca="1" si="0"/>
        <v>#NAME?</v>
      </c>
      <c r="L25" s="23" t="e">
        <f t="shared" ca="1" si="1"/>
        <v>#NAME?</v>
      </c>
      <c r="M25" s="23" t="e">
        <f t="shared" ca="1" si="2"/>
        <v>#NAME?</v>
      </c>
      <c r="N25" s="23" t="e">
        <f t="shared" ca="1" si="3"/>
        <v>#NAME?</v>
      </c>
      <c r="O25" s="27" t="e">
        <f t="shared" ca="1" si="4"/>
        <v>#NAME?</v>
      </c>
      <c r="P25" s="27" t="e">
        <f ca="1">'01_INPUTS'!B9*N25-K25</f>
        <v>#NAME?</v>
      </c>
      <c r="Q25" s="1" t="e">
        <f t="shared" ca="1" si="5"/>
        <v>#NAME?</v>
      </c>
      <c r="R25" s="28">
        <v>0.33599297702312469</v>
      </c>
      <c r="S25" s="28">
        <v>0.2877019289880991</v>
      </c>
      <c r="T25" s="28">
        <v>0.17793841776438057</v>
      </c>
      <c r="U25" s="28">
        <v>0.88799564843066037</v>
      </c>
      <c r="V25" s="28">
        <v>0.99012109008617699</v>
      </c>
      <c r="W25" s="28">
        <v>0.91350428806617856</v>
      </c>
      <c r="X25" s="28">
        <v>0.66642390610650182</v>
      </c>
    </row>
    <row r="26" spans="1:24" ht="13.9">
      <c r="A26" s="1">
        <v>25</v>
      </c>
      <c r="B26" s="23" t="e">
        <f ca="1">_xludf.BETA.INV(R26,'04_PSA_INPUTS'!H5,'04_PSA_INPUTS'!I5)</f>
        <v>#NAME?</v>
      </c>
      <c r="C26" s="23" t="e">
        <f ca="1">_xludf.BETA.INV(S26,'04_PSA_INPUTS'!H6,'04_PSA_INPUTS'!I6)</f>
        <v>#NAME?</v>
      </c>
      <c r="D26" s="27" t="e">
        <f ca="1">_xludf.GAMMA.INV(T26,'04_PSA_INPUTS'!H7,'04_PSA_INPUTS'!I7)</f>
        <v>#NAME?</v>
      </c>
      <c r="E26" s="27" t="e">
        <f ca="1">_xludf.GAMMA.INV(U26,'04_PSA_INPUTS'!H8,'04_PSA_INPUTS'!I8)</f>
        <v>#NAME?</v>
      </c>
      <c r="F26" s="27" t="e">
        <f ca="1">_xludf.GAMMA.INV(V26,'04_PSA_INPUTS'!H9,'04_PSA_INPUTS'!I9)</f>
        <v>#NAME?</v>
      </c>
      <c r="G26" s="23" t="e">
        <f ca="1">_xludf.BETA.INV(W26,'04_PSA_INPUTS'!H10,'04_PSA_INPUTS'!I10)</f>
        <v>#NAME?</v>
      </c>
      <c r="H26" s="23" t="e">
        <f ca="1">_xludf.BETA.INV(X26,'04_PSA_INPUTS'!H11,'04_PSA_INPUTS'!I11)</f>
        <v>#NAME?</v>
      </c>
      <c r="I26" s="27" t="e">
        <f ca="1">D26+B26*F26+'01_INPUTS'!B20</f>
        <v>#NAME?</v>
      </c>
      <c r="J26" s="27" t="e">
        <f ca="1">E26+C26*F26+'01_INPUTS'!B21</f>
        <v>#NAME?</v>
      </c>
      <c r="K26" s="27" t="e">
        <f t="shared" ca="1" si="0"/>
        <v>#NAME?</v>
      </c>
      <c r="L26" s="23" t="e">
        <f t="shared" ca="1" si="1"/>
        <v>#NAME?</v>
      </c>
      <c r="M26" s="23" t="e">
        <f t="shared" ca="1" si="2"/>
        <v>#NAME?</v>
      </c>
      <c r="N26" s="23" t="e">
        <f t="shared" ca="1" si="3"/>
        <v>#NAME?</v>
      </c>
      <c r="O26" s="27" t="e">
        <f t="shared" ca="1" si="4"/>
        <v>#NAME?</v>
      </c>
      <c r="P26" s="27" t="e">
        <f ca="1">'01_INPUTS'!B9*N26-K26</f>
        <v>#NAME?</v>
      </c>
      <c r="Q26" s="1" t="e">
        <f t="shared" ca="1" si="5"/>
        <v>#NAME?</v>
      </c>
      <c r="R26" s="28">
        <v>0.67887075338512659</v>
      </c>
      <c r="S26" s="28">
        <v>0.77240050071850419</v>
      </c>
      <c r="T26" s="28">
        <v>0.46824685810133815</v>
      </c>
      <c r="U26" s="28">
        <v>4.2103337356820703E-2</v>
      </c>
      <c r="V26" s="28">
        <v>0.37060969579033554</v>
      </c>
      <c r="W26" s="28">
        <v>0.83133214758709073</v>
      </c>
      <c r="X26" s="28">
        <v>0.2904356992803514</v>
      </c>
    </row>
    <row r="27" spans="1:24" ht="13.9">
      <c r="A27" s="1">
        <v>26</v>
      </c>
      <c r="B27" s="23" t="e">
        <f ca="1">_xludf.BETA.INV(R27,'04_PSA_INPUTS'!H5,'04_PSA_INPUTS'!I5)</f>
        <v>#NAME?</v>
      </c>
      <c r="C27" s="23" t="e">
        <f ca="1">_xludf.BETA.INV(S27,'04_PSA_INPUTS'!H6,'04_PSA_INPUTS'!I6)</f>
        <v>#NAME?</v>
      </c>
      <c r="D27" s="27" t="e">
        <f ca="1">_xludf.GAMMA.INV(T27,'04_PSA_INPUTS'!H7,'04_PSA_INPUTS'!I7)</f>
        <v>#NAME?</v>
      </c>
      <c r="E27" s="27" t="e">
        <f ca="1">_xludf.GAMMA.INV(U27,'04_PSA_INPUTS'!H8,'04_PSA_INPUTS'!I8)</f>
        <v>#NAME?</v>
      </c>
      <c r="F27" s="27" t="e">
        <f ca="1">_xludf.GAMMA.INV(V27,'04_PSA_INPUTS'!H9,'04_PSA_INPUTS'!I9)</f>
        <v>#NAME?</v>
      </c>
      <c r="G27" s="23" t="e">
        <f ca="1">_xludf.BETA.INV(W27,'04_PSA_INPUTS'!H10,'04_PSA_INPUTS'!I10)</f>
        <v>#NAME?</v>
      </c>
      <c r="H27" s="23" t="e">
        <f ca="1">_xludf.BETA.INV(X27,'04_PSA_INPUTS'!H11,'04_PSA_INPUTS'!I11)</f>
        <v>#NAME?</v>
      </c>
      <c r="I27" s="27" t="e">
        <f ca="1">D27+B27*F27+'01_INPUTS'!B20</f>
        <v>#NAME?</v>
      </c>
      <c r="J27" s="27" t="e">
        <f ca="1">E27+C27*F27+'01_INPUTS'!B21</f>
        <v>#NAME?</v>
      </c>
      <c r="K27" s="27" t="e">
        <f t="shared" ca="1" si="0"/>
        <v>#NAME?</v>
      </c>
      <c r="L27" s="23" t="e">
        <f t="shared" ca="1" si="1"/>
        <v>#NAME?</v>
      </c>
      <c r="M27" s="23" t="e">
        <f t="shared" ca="1" si="2"/>
        <v>#NAME?</v>
      </c>
      <c r="N27" s="23" t="e">
        <f t="shared" ca="1" si="3"/>
        <v>#NAME?</v>
      </c>
      <c r="O27" s="27" t="e">
        <f t="shared" ca="1" si="4"/>
        <v>#NAME?</v>
      </c>
      <c r="P27" s="27" t="e">
        <f ca="1">'01_INPUTS'!B9*N27-K27</f>
        <v>#NAME?</v>
      </c>
      <c r="Q27" s="1" t="e">
        <f t="shared" ca="1" si="5"/>
        <v>#NAME?</v>
      </c>
      <c r="R27" s="28">
        <v>0.93637223960831761</v>
      </c>
      <c r="S27" s="28">
        <v>0.71798151195980608</v>
      </c>
      <c r="T27" s="28">
        <v>0.17751263245008886</v>
      </c>
      <c r="U27" s="28">
        <v>0.11121218837797642</v>
      </c>
      <c r="V27" s="28">
        <v>2.9119568876922131E-2</v>
      </c>
      <c r="W27" s="28">
        <v>0.72373369103297591</v>
      </c>
      <c r="X27" s="28">
        <v>0.46903110831044614</v>
      </c>
    </row>
    <row r="28" spans="1:24" ht="13.9">
      <c r="A28" s="1">
        <v>27</v>
      </c>
      <c r="B28" s="23" t="e">
        <f ca="1">_xludf.BETA.INV(R28,'04_PSA_INPUTS'!H5,'04_PSA_INPUTS'!I5)</f>
        <v>#NAME?</v>
      </c>
      <c r="C28" s="23" t="e">
        <f ca="1">_xludf.BETA.INV(S28,'04_PSA_INPUTS'!H6,'04_PSA_INPUTS'!I6)</f>
        <v>#NAME?</v>
      </c>
      <c r="D28" s="27" t="e">
        <f ca="1">_xludf.GAMMA.INV(T28,'04_PSA_INPUTS'!H7,'04_PSA_INPUTS'!I7)</f>
        <v>#NAME?</v>
      </c>
      <c r="E28" s="27" t="e">
        <f ca="1">_xludf.GAMMA.INV(U28,'04_PSA_INPUTS'!H8,'04_PSA_INPUTS'!I8)</f>
        <v>#NAME?</v>
      </c>
      <c r="F28" s="27" t="e">
        <f ca="1">_xludf.GAMMA.INV(V28,'04_PSA_INPUTS'!H9,'04_PSA_INPUTS'!I9)</f>
        <v>#NAME?</v>
      </c>
      <c r="G28" s="23" t="e">
        <f ca="1">_xludf.BETA.INV(W28,'04_PSA_INPUTS'!H10,'04_PSA_INPUTS'!I10)</f>
        <v>#NAME?</v>
      </c>
      <c r="H28" s="23" t="e">
        <f ca="1">_xludf.BETA.INV(X28,'04_PSA_INPUTS'!H11,'04_PSA_INPUTS'!I11)</f>
        <v>#NAME?</v>
      </c>
      <c r="I28" s="27" t="e">
        <f ca="1">D28+B28*F28+'01_INPUTS'!B20</f>
        <v>#NAME?</v>
      </c>
      <c r="J28" s="27" t="e">
        <f ca="1">E28+C28*F28+'01_INPUTS'!B21</f>
        <v>#NAME?</v>
      </c>
      <c r="K28" s="27" t="e">
        <f t="shared" ca="1" si="0"/>
        <v>#NAME?</v>
      </c>
      <c r="L28" s="23" t="e">
        <f t="shared" ca="1" si="1"/>
        <v>#NAME?</v>
      </c>
      <c r="M28" s="23" t="e">
        <f t="shared" ca="1" si="2"/>
        <v>#NAME?</v>
      </c>
      <c r="N28" s="23" t="e">
        <f t="shared" ca="1" si="3"/>
        <v>#NAME?</v>
      </c>
      <c r="O28" s="27" t="e">
        <f t="shared" ca="1" si="4"/>
        <v>#NAME?</v>
      </c>
      <c r="P28" s="27" t="e">
        <f ca="1">'01_INPUTS'!B9*N28-K28</f>
        <v>#NAME?</v>
      </c>
      <c r="Q28" s="1" t="e">
        <f t="shared" ca="1" si="5"/>
        <v>#NAME?</v>
      </c>
      <c r="R28" s="28">
        <v>0.47613508114591241</v>
      </c>
      <c r="S28" s="28">
        <v>0.87933649774640799</v>
      </c>
      <c r="T28" s="28">
        <v>0.70249097910709679</v>
      </c>
      <c r="U28" s="28">
        <v>0.13945041643455625</v>
      </c>
      <c r="V28" s="28">
        <v>0.21436373773030937</v>
      </c>
      <c r="W28" s="28">
        <v>0.36085462407208979</v>
      </c>
      <c r="X28" s="28">
        <v>0.62827810947783291</v>
      </c>
    </row>
    <row r="29" spans="1:24" ht="13.9">
      <c r="A29" s="1">
        <v>28</v>
      </c>
      <c r="B29" s="23" t="e">
        <f ca="1">_xludf.BETA.INV(R29,'04_PSA_INPUTS'!H5,'04_PSA_INPUTS'!I5)</f>
        <v>#NAME?</v>
      </c>
      <c r="C29" s="23" t="e">
        <f ca="1">_xludf.BETA.INV(S29,'04_PSA_INPUTS'!H6,'04_PSA_INPUTS'!I6)</f>
        <v>#NAME?</v>
      </c>
      <c r="D29" s="27" t="e">
        <f ca="1">_xludf.GAMMA.INV(T29,'04_PSA_INPUTS'!H7,'04_PSA_INPUTS'!I7)</f>
        <v>#NAME?</v>
      </c>
      <c r="E29" s="27" t="e">
        <f ca="1">_xludf.GAMMA.INV(U29,'04_PSA_INPUTS'!H8,'04_PSA_INPUTS'!I8)</f>
        <v>#NAME?</v>
      </c>
      <c r="F29" s="27" t="e">
        <f ca="1">_xludf.GAMMA.INV(V29,'04_PSA_INPUTS'!H9,'04_PSA_INPUTS'!I9)</f>
        <v>#NAME?</v>
      </c>
      <c r="G29" s="23" t="e">
        <f ca="1">_xludf.BETA.INV(W29,'04_PSA_INPUTS'!H10,'04_PSA_INPUTS'!I10)</f>
        <v>#NAME?</v>
      </c>
      <c r="H29" s="23" t="e">
        <f ca="1">_xludf.BETA.INV(X29,'04_PSA_INPUTS'!H11,'04_PSA_INPUTS'!I11)</f>
        <v>#NAME?</v>
      </c>
      <c r="I29" s="27" t="e">
        <f ca="1">D29+B29*F29+'01_INPUTS'!B20</f>
        <v>#NAME?</v>
      </c>
      <c r="J29" s="27" t="e">
        <f ca="1">E29+C29*F29+'01_INPUTS'!B21</f>
        <v>#NAME?</v>
      </c>
      <c r="K29" s="27" t="e">
        <f t="shared" ca="1" si="0"/>
        <v>#NAME?</v>
      </c>
      <c r="L29" s="23" t="e">
        <f t="shared" ca="1" si="1"/>
        <v>#NAME?</v>
      </c>
      <c r="M29" s="23" t="e">
        <f t="shared" ca="1" si="2"/>
        <v>#NAME?</v>
      </c>
      <c r="N29" s="23" t="e">
        <f t="shared" ca="1" si="3"/>
        <v>#NAME?</v>
      </c>
      <c r="O29" s="27" t="e">
        <f t="shared" ca="1" si="4"/>
        <v>#NAME?</v>
      </c>
      <c r="P29" s="27" t="e">
        <f ca="1">'01_INPUTS'!B9*N29-K29</f>
        <v>#NAME?</v>
      </c>
      <c r="Q29" s="1" t="e">
        <f t="shared" ca="1" si="5"/>
        <v>#NAME?</v>
      </c>
      <c r="R29" s="28">
        <v>0.16209288174286485</v>
      </c>
      <c r="S29" s="28">
        <v>3.099133912473917E-2</v>
      </c>
      <c r="T29" s="28">
        <v>0.75910468492656946</v>
      </c>
      <c r="U29" s="28">
        <v>0.35181341855786741</v>
      </c>
      <c r="V29" s="28">
        <v>4.6143564395606518E-2</v>
      </c>
      <c r="W29" s="28">
        <v>0.89630331262014806</v>
      </c>
      <c r="X29" s="28">
        <v>0.80500657833181322</v>
      </c>
    </row>
    <row r="30" spans="1:24" ht="13.9">
      <c r="A30" s="1">
        <v>29</v>
      </c>
      <c r="B30" s="23" t="e">
        <f ca="1">_xludf.BETA.INV(R30,'04_PSA_INPUTS'!H5,'04_PSA_INPUTS'!I5)</f>
        <v>#NAME?</v>
      </c>
      <c r="C30" s="23" t="e">
        <f ca="1">_xludf.BETA.INV(S30,'04_PSA_INPUTS'!H6,'04_PSA_INPUTS'!I6)</f>
        <v>#NAME?</v>
      </c>
      <c r="D30" s="27" t="e">
        <f ca="1">_xludf.GAMMA.INV(T30,'04_PSA_INPUTS'!H7,'04_PSA_INPUTS'!I7)</f>
        <v>#NAME?</v>
      </c>
      <c r="E30" s="27" t="e">
        <f ca="1">_xludf.GAMMA.INV(U30,'04_PSA_INPUTS'!H8,'04_PSA_INPUTS'!I8)</f>
        <v>#NAME?</v>
      </c>
      <c r="F30" s="27" t="e">
        <f ca="1">_xludf.GAMMA.INV(V30,'04_PSA_INPUTS'!H9,'04_PSA_INPUTS'!I9)</f>
        <v>#NAME?</v>
      </c>
      <c r="G30" s="23" t="e">
        <f ca="1">_xludf.BETA.INV(W30,'04_PSA_INPUTS'!H10,'04_PSA_INPUTS'!I10)</f>
        <v>#NAME?</v>
      </c>
      <c r="H30" s="23" t="e">
        <f ca="1">_xludf.BETA.INV(X30,'04_PSA_INPUTS'!H11,'04_PSA_INPUTS'!I11)</f>
        <v>#NAME?</v>
      </c>
      <c r="I30" s="27" t="e">
        <f ca="1">D30+B30*F30+'01_INPUTS'!B20</f>
        <v>#NAME?</v>
      </c>
      <c r="J30" s="27" t="e">
        <f ca="1">E30+C30*F30+'01_INPUTS'!B21</f>
        <v>#NAME?</v>
      </c>
      <c r="K30" s="27" t="e">
        <f t="shared" ca="1" si="0"/>
        <v>#NAME?</v>
      </c>
      <c r="L30" s="23" t="e">
        <f t="shared" ca="1" si="1"/>
        <v>#NAME?</v>
      </c>
      <c r="M30" s="23" t="e">
        <f t="shared" ca="1" si="2"/>
        <v>#NAME?</v>
      </c>
      <c r="N30" s="23" t="e">
        <f t="shared" ca="1" si="3"/>
        <v>#NAME?</v>
      </c>
      <c r="O30" s="27" t="e">
        <f t="shared" ca="1" si="4"/>
        <v>#NAME?</v>
      </c>
      <c r="P30" s="27" t="e">
        <f ca="1">'01_INPUTS'!B9*N30-K30</f>
        <v>#NAME?</v>
      </c>
      <c r="Q30" s="1" t="e">
        <f t="shared" ca="1" si="5"/>
        <v>#NAME?</v>
      </c>
      <c r="R30" s="28">
        <v>0.68381135631352663</v>
      </c>
      <c r="S30" s="28">
        <v>0.80275786085985601</v>
      </c>
      <c r="T30" s="28">
        <v>1.1304724030196667E-2</v>
      </c>
      <c r="U30" s="28">
        <v>0.94317518058232963</v>
      </c>
      <c r="V30" s="28">
        <v>0.62026486778631806</v>
      </c>
      <c r="W30" s="28">
        <v>0.45494096423499286</v>
      </c>
      <c r="X30" s="28">
        <v>6.2180172652006149E-2</v>
      </c>
    </row>
    <row r="31" spans="1:24" ht="13.9">
      <c r="A31" s="1">
        <v>30</v>
      </c>
      <c r="B31" s="23" t="e">
        <f ca="1">_xludf.BETA.INV(R31,'04_PSA_INPUTS'!H5,'04_PSA_INPUTS'!I5)</f>
        <v>#NAME?</v>
      </c>
      <c r="C31" s="23" t="e">
        <f ca="1">_xludf.BETA.INV(S31,'04_PSA_INPUTS'!H6,'04_PSA_INPUTS'!I6)</f>
        <v>#NAME?</v>
      </c>
      <c r="D31" s="27" t="e">
        <f ca="1">_xludf.GAMMA.INV(T31,'04_PSA_INPUTS'!H7,'04_PSA_INPUTS'!I7)</f>
        <v>#NAME?</v>
      </c>
      <c r="E31" s="27" t="e">
        <f ca="1">_xludf.GAMMA.INV(U31,'04_PSA_INPUTS'!H8,'04_PSA_INPUTS'!I8)</f>
        <v>#NAME?</v>
      </c>
      <c r="F31" s="27" t="e">
        <f ca="1">_xludf.GAMMA.INV(V31,'04_PSA_INPUTS'!H9,'04_PSA_INPUTS'!I9)</f>
        <v>#NAME?</v>
      </c>
      <c r="G31" s="23" t="e">
        <f ca="1">_xludf.BETA.INV(W31,'04_PSA_INPUTS'!H10,'04_PSA_INPUTS'!I10)</f>
        <v>#NAME?</v>
      </c>
      <c r="H31" s="23" t="e">
        <f ca="1">_xludf.BETA.INV(X31,'04_PSA_INPUTS'!H11,'04_PSA_INPUTS'!I11)</f>
        <v>#NAME?</v>
      </c>
      <c r="I31" s="27" t="e">
        <f ca="1">D31+B31*F31+'01_INPUTS'!B20</f>
        <v>#NAME?</v>
      </c>
      <c r="J31" s="27" t="e">
        <f ca="1">E31+C31*F31+'01_INPUTS'!B21</f>
        <v>#NAME?</v>
      </c>
      <c r="K31" s="27" t="e">
        <f t="shared" ca="1" si="0"/>
        <v>#NAME?</v>
      </c>
      <c r="L31" s="23" t="e">
        <f t="shared" ca="1" si="1"/>
        <v>#NAME?</v>
      </c>
      <c r="M31" s="23" t="e">
        <f t="shared" ca="1" si="2"/>
        <v>#NAME?</v>
      </c>
      <c r="N31" s="23" t="e">
        <f t="shared" ca="1" si="3"/>
        <v>#NAME?</v>
      </c>
      <c r="O31" s="27" t="e">
        <f t="shared" ca="1" si="4"/>
        <v>#NAME?</v>
      </c>
      <c r="P31" s="27" t="e">
        <f ca="1">'01_INPUTS'!B9*N31-K31</f>
        <v>#NAME?</v>
      </c>
      <c r="Q31" s="1" t="e">
        <f t="shared" ca="1" si="5"/>
        <v>#NAME?</v>
      </c>
      <c r="R31" s="28">
        <v>0.36028325278311968</v>
      </c>
      <c r="S31" s="28">
        <v>9.9905874114483595E-2</v>
      </c>
      <c r="T31" s="28">
        <v>0.7888093909714371</v>
      </c>
      <c r="U31" s="28">
        <v>0.17113768635317683</v>
      </c>
      <c r="V31" s="28">
        <v>0.79248085129074752</v>
      </c>
      <c r="W31" s="28">
        <v>0.80271818372420967</v>
      </c>
      <c r="X31" s="28">
        <v>0.80431882967241108</v>
      </c>
    </row>
    <row r="32" spans="1:24" ht="13.9">
      <c r="A32" s="1">
        <v>31</v>
      </c>
      <c r="B32" s="23" t="e">
        <f ca="1">_xludf.BETA.INV(R32,'04_PSA_INPUTS'!H5,'04_PSA_INPUTS'!I5)</f>
        <v>#NAME?</v>
      </c>
      <c r="C32" s="23" t="e">
        <f ca="1">_xludf.BETA.INV(S32,'04_PSA_INPUTS'!H6,'04_PSA_INPUTS'!I6)</f>
        <v>#NAME?</v>
      </c>
      <c r="D32" s="27" t="e">
        <f ca="1">_xludf.GAMMA.INV(T32,'04_PSA_INPUTS'!H7,'04_PSA_INPUTS'!I7)</f>
        <v>#NAME?</v>
      </c>
      <c r="E32" s="27" t="e">
        <f ca="1">_xludf.GAMMA.INV(U32,'04_PSA_INPUTS'!H8,'04_PSA_INPUTS'!I8)</f>
        <v>#NAME?</v>
      </c>
      <c r="F32" s="27" t="e">
        <f ca="1">_xludf.GAMMA.INV(V32,'04_PSA_INPUTS'!H9,'04_PSA_INPUTS'!I9)</f>
        <v>#NAME?</v>
      </c>
      <c r="G32" s="23" t="e">
        <f ca="1">_xludf.BETA.INV(W32,'04_PSA_INPUTS'!H10,'04_PSA_INPUTS'!I10)</f>
        <v>#NAME?</v>
      </c>
      <c r="H32" s="23" t="e">
        <f ca="1">_xludf.BETA.INV(X32,'04_PSA_INPUTS'!H11,'04_PSA_INPUTS'!I11)</f>
        <v>#NAME?</v>
      </c>
      <c r="I32" s="27" t="e">
        <f ca="1">D32+B32*F32+'01_INPUTS'!B20</f>
        <v>#NAME?</v>
      </c>
      <c r="J32" s="27" t="e">
        <f ca="1">E32+C32*F32+'01_INPUTS'!B21</f>
        <v>#NAME?</v>
      </c>
      <c r="K32" s="27" t="e">
        <f t="shared" ca="1" si="0"/>
        <v>#NAME?</v>
      </c>
      <c r="L32" s="23" t="e">
        <f t="shared" ca="1" si="1"/>
        <v>#NAME?</v>
      </c>
      <c r="M32" s="23" t="e">
        <f t="shared" ca="1" si="2"/>
        <v>#NAME?</v>
      </c>
      <c r="N32" s="23" t="e">
        <f t="shared" ca="1" si="3"/>
        <v>#NAME?</v>
      </c>
      <c r="O32" s="27" t="e">
        <f t="shared" ca="1" si="4"/>
        <v>#NAME?</v>
      </c>
      <c r="P32" s="27" t="e">
        <f ca="1">'01_INPUTS'!B9*N32-K32</f>
        <v>#NAME?</v>
      </c>
      <c r="Q32" s="1" t="e">
        <f t="shared" ca="1" si="5"/>
        <v>#NAME?</v>
      </c>
      <c r="R32" s="28">
        <v>8.2159914774820209E-2</v>
      </c>
      <c r="S32" s="28">
        <v>0.69932869798503816</v>
      </c>
      <c r="T32" s="28">
        <v>0.42707174108363688</v>
      </c>
      <c r="U32" s="28">
        <v>0.85733851860277355</v>
      </c>
      <c r="V32" s="28">
        <v>0.65570964617654681</v>
      </c>
      <c r="W32" s="28">
        <v>0.11014309106394649</v>
      </c>
      <c r="X32" s="28">
        <v>0.24447316001169384</v>
      </c>
    </row>
    <row r="33" spans="1:24" ht="13.9">
      <c r="A33" s="1">
        <v>32</v>
      </c>
      <c r="B33" s="23" t="e">
        <f ca="1">_xludf.BETA.INV(R33,'04_PSA_INPUTS'!H5,'04_PSA_INPUTS'!I5)</f>
        <v>#NAME?</v>
      </c>
      <c r="C33" s="23" t="e">
        <f ca="1">_xludf.BETA.INV(S33,'04_PSA_INPUTS'!H6,'04_PSA_INPUTS'!I6)</f>
        <v>#NAME?</v>
      </c>
      <c r="D33" s="27" t="e">
        <f ca="1">_xludf.GAMMA.INV(T33,'04_PSA_INPUTS'!H7,'04_PSA_INPUTS'!I7)</f>
        <v>#NAME?</v>
      </c>
      <c r="E33" s="27" t="e">
        <f ca="1">_xludf.GAMMA.INV(U33,'04_PSA_INPUTS'!H8,'04_PSA_INPUTS'!I8)</f>
        <v>#NAME?</v>
      </c>
      <c r="F33" s="27" t="e">
        <f ca="1">_xludf.GAMMA.INV(V33,'04_PSA_INPUTS'!H9,'04_PSA_INPUTS'!I9)</f>
        <v>#NAME?</v>
      </c>
      <c r="G33" s="23" t="e">
        <f ca="1">_xludf.BETA.INV(W33,'04_PSA_INPUTS'!H10,'04_PSA_INPUTS'!I10)</f>
        <v>#NAME?</v>
      </c>
      <c r="H33" s="23" t="e">
        <f ca="1">_xludf.BETA.INV(X33,'04_PSA_INPUTS'!H11,'04_PSA_INPUTS'!I11)</f>
        <v>#NAME?</v>
      </c>
      <c r="I33" s="27" t="e">
        <f ca="1">D33+B33*F33+'01_INPUTS'!B20</f>
        <v>#NAME?</v>
      </c>
      <c r="J33" s="27" t="e">
        <f ca="1">E33+C33*F33+'01_INPUTS'!B21</f>
        <v>#NAME?</v>
      </c>
      <c r="K33" s="27" t="e">
        <f t="shared" ca="1" si="0"/>
        <v>#NAME?</v>
      </c>
      <c r="L33" s="23" t="e">
        <f t="shared" ca="1" si="1"/>
        <v>#NAME?</v>
      </c>
      <c r="M33" s="23" t="e">
        <f t="shared" ca="1" si="2"/>
        <v>#NAME?</v>
      </c>
      <c r="N33" s="23" t="e">
        <f t="shared" ca="1" si="3"/>
        <v>#NAME?</v>
      </c>
      <c r="O33" s="27" t="e">
        <f t="shared" ca="1" si="4"/>
        <v>#NAME?</v>
      </c>
      <c r="P33" s="27" t="e">
        <f ca="1">'01_INPUTS'!B9*N33-K33</f>
        <v>#NAME?</v>
      </c>
      <c r="Q33" s="1" t="e">
        <f t="shared" ca="1" si="5"/>
        <v>#NAME?</v>
      </c>
      <c r="R33" s="28">
        <v>0.52799638221040368</v>
      </c>
      <c r="S33" s="28">
        <v>0.4352301717735827</v>
      </c>
      <c r="T33" s="28">
        <v>0.37641142634674907</v>
      </c>
      <c r="U33" s="28">
        <v>0.20478290901519358</v>
      </c>
      <c r="V33" s="28">
        <v>0.13294650986790657</v>
      </c>
      <c r="W33" s="28">
        <v>0.13275170954875648</v>
      </c>
      <c r="X33" s="28">
        <v>0.46114236046560109</v>
      </c>
    </row>
    <row r="34" spans="1:24" ht="13.9">
      <c r="A34" s="1">
        <v>33</v>
      </c>
      <c r="B34" s="23" t="e">
        <f ca="1">_xludf.BETA.INV(R34,'04_PSA_INPUTS'!H5,'04_PSA_INPUTS'!I5)</f>
        <v>#NAME?</v>
      </c>
      <c r="C34" s="23" t="e">
        <f ca="1">_xludf.BETA.INV(S34,'04_PSA_INPUTS'!H6,'04_PSA_INPUTS'!I6)</f>
        <v>#NAME?</v>
      </c>
      <c r="D34" s="27" t="e">
        <f ca="1">_xludf.GAMMA.INV(T34,'04_PSA_INPUTS'!H7,'04_PSA_INPUTS'!I7)</f>
        <v>#NAME?</v>
      </c>
      <c r="E34" s="27" t="e">
        <f ca="1">_xludf.GAMMA.INV(U34,'04_PSA_INPUTS'!H8,'04_PSA_INPUTS'!I8)</f>
        <v>#NAME?</v>
      </c>
      <c r="F34" s="27" t="e">
        <f ca="1">_xludf.GAMMA.INV(V34,'04_PSA_INPUTS'!H9,'04_PSA_INPUTS'!I9)</f>
        <v>#NAME?</v>
      </c>
      <c r="G34" s="23" t="e">
        <f ca="1">_xludf.BETA.INV(W34,'04_PSA_INPUTS'!H10,'04_PSA_INPUTS'!I10)</f>
        <v>#NAME?</v>
      </c>
      <c r="H34" s="23" t="e">
        <f ca="1">_xludf.BETA.INV(X34,'04_PSA_INPUTS'!H11,'04_PSA_INPUTS'!I11)</f>
        <v>#NAME?</v>
      </c>
      <c r="I34" s="27" t="e">
        <f ca="1">D34+B34*F34+'01_INPUTS'!B20</f>
        <v>#NAME?</v>
      </c>
      <c r="J34" s="27" t="e">
        <f ca="1">E34+C34*F34+'01_INPUTS'!B21</f>
        <v>#NAME?</v>
      </c>
      <c r="K34" s="27" t="e">
        <f t="shared" ca="1" si="0"/>
        <v>#NAME?</v>
      </c>
      <c r="L34" s="23" t="e">
        <f t="shared" ca="1" si="1"/>
        <v>#NAME?</v>
      </c>
      <c r="M34" s="23" t="e">
        <f t="shared" ca="1" si="2"/>
        <v>#NAME?</v>
      </c>
      <c r="N34" s="23" t="e">
        <f t="shared" ca="1" si="3"/>
        <v>#NAME?</v>
      </c>
      <c r="O34" s="27" t="e">
        <f t="shared" ca="1" si="4"/>
        <v>#NAME?</v>
      </c>
      <c r="P34" s="27" t="e">
        <f ca="1">'01_INPUTS'!B9*N34-K34</f>
        <v>#NAME?</v>
      </c>
      <c r="Q34" s="1" t="e">
        <f t="shared" ca="1" si="5"/>
        <v>#NAME?</v>
      </c>
      <c r="R34" s="28">
        <v>0.95489143743179739</v>
      </c>
      <c r="S34" s="28">
        <v>0.4364642589353025</v>
      </c>
      <c r="T34" s="28">
        <v>6.8110790569335222E-2</v>
      </c>
      <c r="U34" s="28">
        <v>0.40751074953004718</v>
      </c>
      <c r="V34" s="28">
        <v>0.84810983808711171</v>
      </c>
      <c r="W34" s="28">
        <v>0.24183545121923089</v>
      </c>
      <c r="X34" s="28">
        <v>0.17925980454310775</v>
      </c>
    </row>
    <row r="35" spans="1:24" ht="13.9">
      <c r="A35" s="1">
        <v>34</v>
      </c>
      <c r="B35" s="23" t="e">
        <f ca="1">_xludf.BETA.INV(R35,'04_PSA_INPUTS'!H5,'04_PSA_INPUTS'!I5)</f>
        <v>#NAME?</v>
      </c>
      <c r="C35" s="23" t="e">
        <f ca="1">_xludf.BETA.INV(S35,'04_PSA_INPUTS'!H6,'04_PSA_INPUTS'!I6)</f>
        <v>#NAME?</v>
      </c>
      <c r="D35" s="27" t="e">
        <f ca="1">_xludf.GAMMA.INV(T35,'04_PSA_INPUTS'!H7,'04_PSA_INPUTS'!I7)</f>
        <v>#NAME?</v>
      </c>
      <c r="E35" s="27" t="e">
        <f ca="1">_xludf.GAMMA.INV(U35,'04_PSA_INPUTS'!H8,'04_PSA_INPUTS'!I8)</f>
        <v>#NAME?</v>
      </c>
      <c r="F35" s="27" t="e">
        <f ca="1">_xludf.GAMMA.INV(V35,'04_PSA_INPUTS'!H9,'04_PSA_INPUTS'!I9)</f>
        <v>#NAME?</v>
      </c>
      <c r="G35" s="23" t="e">
        <f ca="1">_xludf.BETA.INV(W35,'04_PSA_INPUTS'!H10,'04_PSA_INPUTS'!I10)</f>
        <v>#NAME?</v>
      </c>
      <c r="H35" s="23" t="e">
        <f ca="1">_xludf.BETA.INV(X35,'04_PSA_INPUTS'!H11,'04_PSA_INPUTS'!I11)</f>
        <v>#NAME?</v>
      </c>
      <c r="I35" s="27" t="e">
        <f ca="1">D35+B35*F35+'01_INPUTS'!B20</f>
        <v>#NAME?</v>
      </c>
      <c r="J35" s="27" t="e">
        <f ca="1">E35+C35*F35+'01_INPUTS'!B21</f>
        <v>#NAME?</v>
      </c>
      <c r="K35" s="27" t="e">
        <f t="shared" ca="1" si="0"/>
        <v>#NAME?</v>
      </c>
      <c r="L35" s="23" t="e">
        <f t="shared" ca="1" si="1"/>
        <v>#NAME?</v>
      </c>
      <c r="M35" s="23" t="e">
        <f t="shared" ca="1" si="2"/>
        <v>#NAME?</v>
      </c>
      <c r="N35" s="23" t="e">
        <f t="shared" ca="1" si="3"/>
        <v>#NAME?</v>
      </c>
      <c r="O35" s="27" t="e">
        <f t="shared" ca="1" si="4"/>
        <v>#NAME?</v>
      </c>
      <c r="P35" s="27" t="e">
        <f ca="1">'01_INPUTS'!B9*N35-K35</f>
        <v>#NAME?</v>
      </c>
      <c r="Q35" s="1" t="e">
        <f t="shared" ca="1" si="5"/>
        <v>#NAME?</v>
      </c>
      <c r="R35" s="28">
        <v>0.14766823966056108</v>
      </c>
      <c r="S35" s="28">
        <v>0.68838141299784184</v>
      </c>
      <c r="T35" s="28">
        <v>0.17783967847935855</v>
      </c>
      <c r="U35" s="28">
        <v>0.81518967915326357</v>
      </c>
      <c r="V35" s="28">
        <v>0.10009040008299053</v>
      </c>
      <c r="W35" s="28">
        <v>6.1739106895402074E-2</v>
      </c>
      <c r="X35" s="28">
        <v>0.10379788861609995</v>
      </c>
    </row>
    <row r="36" spans="1:24" ht="13.9">
      <c r="A36" s="1">
        <v>35</v>
      </c>
      <c r="B36" s="23" t="e">
        <f ca="1">_xludf.BETA.INV(R36,'04_PSA_INPUTS'!H5,'04_PSA_INPUTS'!I5)</f>
        <v>#NAME?</v>
      </c>
      <c r="C36" s="23" t="e">
        <f ca="1">_xludf.BETA.INV(S36,'04_PSA_INPUTS'!H6,'04_PSA_INPUTS'!I6)</f>
        <v>#NAME?</v>
      </c>
      <c r="D36" s="27" t="e">
        <f ca="1">_xludf.GAMMA.INV(T36,'04_PSA_INPUTS'!H7,'04_PSA_INPUTS'!I7)</f>
        <v>#NAME?</v>
      </c>
      <c r="E36" s="27" t="e">
        <f ca="1">_xludf.GAMMA.INV(U36,'04_PSA_INPUTS'!H8,'04_PSA_INPUTS'!I8)</f>
        <v>#NAME?</v>
      </c>
      <c r="F36" s="27" t="e">
        <f ca="1">_xludf.GAMMA.INV(V36,'04_PSA_INPUTS'!H9,'04_PSA_INPUTS'!I9)</f>
        <v>#NAME?</v>
      </c>
      <c r="G36" s="23" t="e">
        <f ca="1">_xludf.BETA.INV(W36,'04_PSA_INPUTS'!H10,'04_PSA_INPUTS'!I10)</f>
        <v>#NAME?</v>
      </c>
      <c r="H36" s="23" t="e">
        <f ca="1">_xludf.BETA.INV(X36,'04_PSA_INPUTS'!H11,'04_PSA_INPUTS'!I11)</f>
        <v>#NAME?</v>
      </c>
      <c r="I36" s="27" t="e">
        <f ca="1">D36+B36*F36+'01_INPUTS'!B20</f>
        <v>#NAME?</v>
      </c>
      <c r="J36" s="27" t="e">
        <f ca="1">E36+C36*F36+'01_INPUTS'!B21</f>
        <v>#NAME?</v>
      </c>
      <c r="K36" s="27" t="e">
        <f t="shared" ca="1" si="0"/>
        <v>#NAME?</v>
      </c>
      <c r="L36" s="23" t="e">
        <f t="shared" ca="1" si="1"/>
        <v>#NAME?</v>
      </c>
      <c r="M36" s="23" t="e">
        <f t="shared" ca="1" si="2"/>
        <v>#NAME?</v>
      </c>
      <c r="N36" s="23" t="e">
        <f t="shared" ca="1" si="3"/>
        <v>#NAME?</v>
      </c>
      <c r="O36" s="27" t="e">
        <f t="shared" ca="1" si="4"/>
        <v>#NAME?</v>
      </c>
      <c r="P36" s="27" t="e">
        <f ca="1">'01_INPUTS'!B9*N36-K36</f>
        <v>#NAME?</v>
      </c>
      <c r="Q36" s="1" t="e">
        <f t="shared" ca="1" si="5"/>
        <v>#NAME?</v>
      </c>
      <c r="R36" s="28">
        <v>0.49467662232927978</v>
      </c>
      <c r="S36" s="28">
        <v>0.58229836984537542</v>
      </c>
      <c r="T36" s="28">
        <v>0.48921708227135241</v>
      </c>
      <c r="U36" s="28">
        <v>0.47409886540845037</v>
      </c>
      <c r="V36" s="28">
        <v>0.99543186323717237</v>
      </c>
      <c r="W36" s="28">
        <v>0.26044876151718199</v>
      </c>
      <c r="X36" s="28">
        <v>0.74366640159860253</v>
      </c>
    </row>
    <row r="37" spans="1:24" ht="13.9">
      <c r="A37" s="1">
        <v>36</v>
      </c>
      <c r="B37" s="23" t="e">
        <f ca="1">_xludf.BETA.INV(R37,'04_PSA_INPUTS'!H5,'04_PSA_INPUTS'!I5)</f>
        <v>#NAME?</v>
      </c>
      <c r="C37" s="23" t="e">
        <f ca="1">_xludf.BETA.INV(S37,'04_PSA_INPUTS'!H6,'04_PSA_INPUTS'!I6)</f>
        <v>#NAME?</v>
      </c>
      <c r="D37" s="27" t="e">
        <f ca="1">_xludf.GAMMA.INV(T37,'04_PSA_INPUTS'!H7,'04_PSA_INPUTS'!I7)</f>
        <v>#NAME?</v>
      </c>
      <c r="E37" s="27" t="e">
        <f ca="1">_xludf.GAMMA.INV(U37,'04_PSA_INPUTS'!H8,'04_PSA_INPUTS'!I8)</f>
        <v>#NAME?</v>
      </c>
      <c r="F37" s="27" t="e">
        <f ca="1">_xludf.GAMMA.INV(V37,'04_PSA_INPUTS'!H9,'04_PSA_INPUTS'!I9)</f>
        <v>#NAME?</v>
      </c>
      <c r="G37" s="23" t="e">
        <f ca="1">_xludf.BETA.INV(W37,'04_PSA_INPUTS'!H10,'04_PSA_INPUTS'!I10)</f>
        <v>#NAME?</v>
      </c>
      <c r="H37" s="23" t="e">
        <f ca="1">_xludf.BETA.INV(X37,'04_PSA_INPUTS'!H11,'04_PSA_INPUTS'!I11)</f>
        <v>#NAME?</v>
      </c>
      <c r="I37" s="27" t="e">
        <f ca="1">D37+B37*F37+'01_INPUTS'!B20</f>
        <v>#NAME?</v>
      </c>
      <c r="J37" s="27" t="e">
        <f ca="1">E37+C37*F37+'01_INPUTS'!B21</f>
        <v>#NAME?</v>
      </c>
      <c r="K37" s="27" t="e">
        <f t="shared" ca="1" si="0"/>
        <v>#NAME?</v>
      </c>
      <c r="L37" s="23" t="e">
        <f t="shared" ca="1" si="1"/>
        <v>#NAME?</v>
      </c>
      <c r="M37" s="23" t="e">
        <f t="shared" ca="1" si="2"/>
        <v>#NAME?</v>
      </c>
      <c r="N37" s="23" t="e">
        <f t="shared" ca="1" si="3"/>
        <v>#NAME?</v>
      </c>
      <c r="O37" s="27" t="e">
        <f t="shared" ca="1" si="4"/>
        <v>#NAME?</v>
      </c>
      <c r="P37" s="27" t="e">
        <f ca="1">'01_INPUTS'!B9*N37-K37</f>
        <v>#NAME?</v>
      </c>
      <c r="Q37" s="1" t="e">
        <f t="shared" ca="1" si="5"/>
        <v>#NAME?</v>
      </c>
      <c r="R37" s="28">
        <v>0.60412115533836186</v>
      </c>
      <c r="S37" s="28">
        <v>0.15550621971487999</v>
      </c>
      <c r="T37" s="28">
        <v>0.49846657551825047</v>
      </c>
      <c r="U37" s="28">
        <v>0.82374348770827055</v>
      </c>
      <c r="V37" s="28">
        <v>0.18869707337580621</v>
      </c>
      <c r="W37" s="28">
        <v>0.14194688061252236</v>
      </c>
      <c r="X37" s="28">
        <v>0.76720174076035619</v>
      </c>
    </row>
    <row r="38" spans="1:24" ht="13.9">
      <c r="A38" s="1">
        <v>37</v>
      </c>
      <c r="B38" s="23" t="e">
        <f ca="1">_xludf.BETA.INV(R38,'04_PSA_INPUTS'!H5,'04_PSA_INPUTS'!I5)</f>
        <v>#NAME?</v>
      </c>
      <c r="C38" s="23" t="e">
        <f ca="1">_xludf.BETA.INV(S38,'04_PSA_INPUTS'!H6,'04_PSA_INPUTS'!I6)</f>
        <v>#NAME?</v>
      </c>
      <c r="D38" s="27" t="e">
        <f ca="1">_xludf.GAMMA.INV(T38,'04_PSA_INPUTS'!H7,'04_PSA_INPUTS'!I7)</f>
        <v>#NAME?</v>
      </c>
      <c r="E38" s="27" t="e">
        <f ca="1">_xludf.GAMMA.INV(U38,'04_PSA_INPUTS'!H8,'04_PSA_INPUTS'!I8)</f>
        <v>#NAME?</v>
      </c>
      <c r="F38" s="27" t="e">
        <f ca="1">_xludf.GAMMA.INV(V38,'04_PSA_INPUTS'!H9,'04_PSA_INPUTS'!I9)</f>
        <v>#NAME?</v>
      </c>
      <c r="G38" s="23" t="e">
        <f ca="1">_xludf.BETA.INV(W38,'04_PSA_INPUTS'!H10,'04_PSA_INPUTS'!I10)</f>
        <v>#NAME?</v>
      </c>
      <c r="H38" s="23" t="e">
        <f ca="1">_xludf.BETA.INV(X38,'04_PSA_INPUTS'!H11,'04_PSA_INPUTS'!I11)</f>
        <v>#NAME?</v>
      </c>
      <c r="I38" s="27" t="e">
        <f ca="1">D38+B38*F38+'01_INPUTS'!B20</f>
        <v>#NAME?</v>
      </c>
      <c r="J38" s="27" t="e">
        <f ca="1">E38+C38*F38+'01_INPUTS'!B21</f>
        <v>#NAME?</v>
      </c>
      <c r="K38" s="27" t="e">
        <f t="shared" ca="1" si="0"/>
        <v>#NAME?</v>
      </c>
      <c r="L38" s="23" t="e">
        <f t="shared" ca="1" si="1"/>
        <v>#NAME?</v>
      </c>
      <c r="M38" s="23" t="e">
        <f t="shared" ca="1" si="2"/>
        <v>#NAME?</v>
      </c>
      <c r="N38" s="23" t="e">
        <f t="shared" ca="1" si="3"/>
        <v>#NAME?</v>
      </c>
      <c r="O38" s="27" t="e">
        <f t="shared" ca="1" si="4"/>
        <v>#NAME?</v>
      </c>
      <c r="P38" s="27" t="e">
        <f ca="1">'01_INPUTS'!B9*N38-K38</f>
        <v>#NAME?</v>
      </c>
      <c r="Q38" s="1" t="e">
        <f t="shared" ca="1" si="5"/>
        <v>#NAME?</v>
      </c>
      <c r="R38" s="28">
        <v>0.74376619490794837</v>
      </c>
      <c r="S38" s="28">
        <v>0.4621956548653543</v>
      </c>
      <c r="T38" s="28">
        <v>0.71656598360277712</v>
      </c>
      <c r="U38" s="28">
        <v>0.5910714347846806</v>
      </c>
      <c r="V38" s="28">
        <v>0.93136510695330799</v>
      </c>
      <c r="W38" s="28">
        <v>0.54263120912946761</v>
      </c>
      <c r="X38" s="28">
        <v>0.77302049496211112</v>
      </c>
    </row>
    <row r="39" spans="1:24" ht="13.9">
      <c r="A39" s="1">
        <v>38</v>
      </c>
      <c r="B39" s="23" t="e">
        <f ca="1">_xludf.BETA.INV(R39,'04_PSA_INPUTS'!H5,'04_PSA_INPUTS'!I5)</f>
        <v>#NAME?</v>
      </c>
      <c r="C39" s="23" t="e">
        <f ca="1">_xludf.BETA.INV(S39,'04_PSA_INPUTS'!H6,'04_PSA_INPUTS'!I6)</f>
        <v>#NAME?</v>
      </c>
      <c r="D39" s="27" t="e">
        <f ca="1">_xludf.GAMMA.INV(T39,'04_PSA_INPUTS'!H7,'04_PSA_INPUTS'!I7)</f>
        <v>#NAME?</v>
      </c>
      <c r="E39" s="27" t="e">
        <f ca="1">_xludf.GAMMA.INV(U39,'04_PSA_INPUTS'!H8,'04_PSA_INPUTS'!I8)</f>
        <v>#NAME?</v>
      </c>
      <c r="F39" s="27" t="e">
        <f ca="1">_xludf.GAMMA.INV(V39,'04_PSA_INPUTS'!H9,'04_PSA_INPUTS'!I9)</f>
        <v>#NAME?</v>
      </c>
      <c r="G39" s="23" t="e">
        <f ca="1">_xludf.BETA.INV(W39,'04_PSA_INPUTS'!H10,'04_PSA_INPUTS'!I10)</f>
        <v>#NAME?</v>
      </c>
      <c r="H39" s="23" t="e">
        <f ca="1">_xludf.BETA.INV(X39,'04_PSA_INPUTS'!H11,'04_PSA_INPUTS'!I11)</f>
        <v>#NAME?</v>
      </c>
      <c r="I39" s="27" t="e">
        <f ca="1">D39+B39*F39+'01_INPUTS'!B20</f>
        <v>#NAME?</v>
      </c>
      <c r="J39" s="27" t="e">
        <f ca="1">E39+C39*F39+'01_INPUTS'!B21</f>
        <v>#NAME?</v>
      </c>
      <c r="K39" s="27" t="e">
        <f t="shared" ca="1" si="0"/>
        <v>#NAME?</v>
      </c>
      <c r="L39" s="23" t="e">
        <f t="shared" ca="1" si="1"/>
        <v>#NAME?</v>
      </c>
      <c r="M39" s="23" t="e">
        <f t="shared" ca="1" si="2"/>
        <v>#NAME?</v>
      </c>
      <c r="N39" s="23" t="e">
        <f t="shared" ca="1" si="3"/>
        <v>#NAME?</v>
      </c>
      <c r="O39" s="27" t="e">
        <f t="shared" ca="1" si="4"/>
        <v>#NAME?</v>
      </c>
      <c r="P39" s="27" t="e">
        <f ca="1">'01_INPUTS'!B9*N39-K39</f>
        <v>#NAME?</v>
      </c>
      <c r="Q39" s="1" t="e">
        <f t="shared" ca="1" si="5"/>
        <v>#NAME?</v>
      </c>
      <c r="R39" s="28">
        <v>0.76275777071714401</v>
      </c>
      <c r="S39" s="28">
        <v>0.26780301705002785</v>
      </c>
      <c r="T39" s="28">
        <v>0.77815359737724066</v>
      </c>
      <c r="U39" s="28">
        <v>4.0439090458676219E-2</v>
      </c>
      <c r="V39" s="28">
        <v>0.32147946045733988</v>
      </c>
      <c r="W39" s="28">
        <v>0.83398545766249299</v>
      </c>
      <c r="X39" s="28">
        <v>0.87733019632287323</v>
      </c>
    </row>
    <row r="40" spans="1:24" ht="13.9">
      <c r="A40" s="1">
        <v>39</v>
      </c>
      <c r="B40" s="23" t="e">
        <f ca="1">_xludf.BETA.INV(R40,'04_PSA_INPUTS'!H5,'04_PSA_INPUTS'!I5)</f>
        <v>#NAME?</v>
      </c>
      <c r="C40" s="23" t="e">
        <f ca="1">_xludf.BETA.INV(S40,'04_PSA_INPUTS'!H6,'04_PSA_INPUTS'!I6)</f>
        <v>#NAME?</v>
      </c>
      <c r="D40" s="27" t="e">
        <f ca="1">_xludf.GAMMA.INV(T40,'04_PSA_INPUTS'!H7,'04_PSA_INPUTS'!I7)</f>
        <v>#NAME?</v>
      </c>
      <c r="E40" s="27" t="e">
        <f ca="1">_xludf.GAMMA.INV(U40,'04_PSA_INPUTS'!H8,'04_PSA_INPUTS'!I8)</f>
        <v>#NAME?</v>
      </c>
      <c r="F40" s="27" t="e">
        <f ca="1">_xludf.GAMMA.INV(V40,'04_PSA_INPUTS'!H9,'04_PSA_INPUTS'!I9)</f>
        <v>#NAME?</v>
      </c>
      <c r="G40" s="23" t="e">
        <f ca="1">_xludf.BETA.INV(W40,'04_PSA_INPUTS'!H10,'04_PSA_INPUTS'!I10)</f>
        <v>#NAME?</v>
      </c>
      <c r="H40" s="23" t="e">
        <f ca="1">_xludf.BETA.INV(X40,'04_PSA_INPUTS'!H11,'04_PSA_INPUTS'!I11)</f>
        <v>#NAME?</v>
      </c>
      <c r="I40" s="27" t="e">
        <f ca="1">D40+B40*F40+'01_INPUTS'!B20</f>
        <v>#NAME?</v>
      </c>
      <c r="J40" s="27" t="e">
        <f ca="1">E40+C40*F40+'01_INPUTS'!B21</f>
        <v>#NAME?</v>
      </c>
      <c r="K40" s="27" t="e">
        <f t="shared" ca="1" si="0"/>
        <v>#NAME?</v>
      </c>
      <c r="L40" s="23" t="e">
        <f t="shared" ca="1" si="1"/>
        <v>#NAME?</v>
      </c>
      <c r="M40" s="23" t="e">
        <f t="shared" ca="1" si="2"/>
        <v>#NAME?</v>
      </c>
      <c r="N40" s="23" t="e">
        <f t="shared" ca="1" si="3"/>
        <v>#NAME?</v>
      </c>
      <c r="O40" s="27" t="e">
        <f t="shared" ca="1" si="4"/>
        <v>#NAME?</v>
      </c>
      <c r="P40" s="27" t="e">
        <f ca="1">'01_INPUTS'!B9*N40-K40</f>
        <v>#NAME?</v>
      </c>
      <c r="Q40" s="1" t="e">
        <f t="shared" ca="1" si="5"/>
        <v>#NAME?</v>
      </c>
      <c r="R40" s="28">
        <v>0.59351966483518481</v>
      </c>
      <c r="S40" s="28">
        <v>0.17065936326980591</v>
      </c>
      <c r="T40" s="28">
        <v>0.46072243829257786</v>
      </c>
      <c r="U40" s="28">
        <v>0.98115048161707819</v>
      </c>
      <c r="V40" s="28">
        <v>0.1034517758525908</v>
      </c>
      <c r="W40" s="28">
        <v>1.1356538394466043E-2</v>
      </c>
      <c r="X40" s="28">
        <v>0.50443444703705609</v>
      </c>
    </row>
    <row r="41" spans="1:24" ht="13.9">
      <c r="A41" s="1">
        <v>40</v>
      </c>
      <c r="B41" s="23" t="e">
        <f ca="1">_xludf.BETA.INV(R41,'04_PSA_INPUTS'!H5,'04_PSA_INPUTS'!I5)</f>
        <v>#NAME?</v>
      </c>
      <c r="C41" s="23" t="e">
        <f ca="1">_xludf.BETA.INV(S41,'04_PSA_INPUTS'!H6,'04_PSA_INPUTS'!I6)</f>
        <v>#NAME?</v>
      </c>
      <c r="D41" s="27" t="e">
        <f ca="1">_xludf.GAMMA.INV(T41,'04_PSA_INPUTS'!H7,'04_PSA_INPUTS'!I7)</f>
        <v>#NAME?</v>
      </c>
      <c r="E41" s="27" t="e">
        <f ca="1">_xludf.GAMMA.INV(U41,'04_PSA_INPUTS'!H8,'04_PSA_INPUTS'!I8)</f>
        <v>#NAME?</v>
      </c>
      <c r="F41" s="27" t="e">
        <f ca="1">_xludf.GAMMA.INV(V41,'04_PSA_INPUTS'!H9,'04_PSA_INPUTS'!I9)</f>
        <v>#NAME?</v>
      </c>
      <c r="G41" s="23" t="e">
        <f ca="1">_xludf.BETA.INV(W41,'04_PSA_INPUTS'!H10,'04_PSA_INPUTS'!I10)</f>
        <v>#NAME?</v>
      </c>
      <c r="H41" s="23" t="e">
        <f ca="1">_xludf.BETA.INV(X41,'04_PSA_INPUTS'!H11,'04_PSA_INPUTS'!I11)</f>
        <v>#NAME?</v>
      </c>
      <c r="I41" s="27" t="e">
        <f ca="1">D41+B41*F41+'01_INPUTS'!B20</f>
        <v>#NAME?</v>
      </c>
      <c r="J41" s="27" t="e">
        <f ca="1">E41+C41*F41+'01_INPUTS'!B21</f>
        <v>#NAME?</v>
      </c>
      <c r="K41" s="27" t="e">
        <f t="shared" ca="1" si="0"/>
        <v>#NAME?</v>
      </c>
      <c r="L41" s="23" t="e">
        <f t="shared" ca="1" si="1"/>
        <v>#NAME?</v>
      </c>
      <c r="M41" s="23" t="e">
        <f t="shared" ca="1" si="2"/>
        <v>#NAME?</v>
      </c>
      <c r="N41" s="23" t="e">
        <f t="shared" ca="1" si="3"/>
        <v>#NAME?</v>
      </c>
      <c r="O41" s="27" t="e">
        <f t="shared" ca="1" si="4"/>
        <v>#NAME?</v>
      </c>
      <c r="P41" s="27" t="e">
        <f ca="1">'01_INPUTS'!B9*N41-K41</f>
        <v>#NAME?</v>
      </c>
      <c r="Q41" s="1" t="e">
        <f t="shared" ca="1" si="5"/>
        <v>#NAME?</v>
      </c>
      <c r="R41" s="28">
        <v>7.4437335599213839E-2</v>
      </c>
      <c r="S41" s="28">
        <v>0.76721720932982862</v>
      </c>
      <c r="T41" s="28">
        <v>0.79927010484971106</v>
      </c>
      <c r="U41" s="28">
        <v>0.90725124557502568</v>
      </c>
      <c r="V41" s="28">
        <v>4.9952091416344047E-2</v>
      </c>
      <c r="W41" s="28">
        <v>0.12805838976055384</v>
      </c>
      <c r="X41" s="28">
        <v>0.86852930509485304</v>
      </c>
    </row>
    <row r="42" spans="1:24" ht="13.9">
      <c r="A42" s="1">
        <v>41</v>
      </c>
      <c r="B42" s="23" t="e">
        <f ca="1">_xludf.BETA.INV(R42,'04_PSA_INPUTS'!H5,'04_PSA_INPUTS'!I5)</f>
        <v>#NAME?</v>
      </c>
      <c r="C42" s="23" t="e">
        <f ca="1">_xludf.BETA.INV(S42,'04_PSA_INPUTS'!H6,'04_PSA_INPUTS'!I6)</f>
        <v>#NAME?</v>
      </c>
      <c r="D42" s="27" t="e">
        <f ca="1">_xludf.GAMMA.INV(T42,'04_PSA_INPUTS'!H7,'04_PSA_INPUTS'!I7)</f>
        <v>#NAME?</v>
      </c>
      <c r="E42" s="27" t="e">
        <f ca="1">_xludf.GAMMA.INV(U42,'04_PSA_INPUTS'!H8,'04_PSA_INPUTS'!I8)</f>
        <v>#NAME?</v>
      </c>
      <c r="F42" s="27" t="e">
        <f ca="1">_xludf.GAMMA.INV(V42,'04_PSA_INPUTS'!H9,'04_PSA_INPUTS'!I9)</f>
        <v>#NAME?</v>
      </c>
      <c r="G42" s="23" t="e">
        <f ca="1">_xludf.BETA.INV(W42,'04_PSA_INPUTS'!H10,'04_PSA_INPUTS'!I10)</f>
        <v>#NAME?</v>
      </c>
      <c r="H42" s="23" t="e">
        <f ca="1">_xludf.BETA.INV(X42,'04_PSA_INPUTS'!H11,'04_PSA_INPUTS'!I11)</f>
        <v>#NAME?</v>
      </c>
      <c r="I42" s="27" t="e">
        <f ca="1">D42+B42*F42+'01_INPUTS'!B20</f>
        <v>#NAME?</v>
      </c>
      <c r="J42" s="27" t="e">
        <f ca="1">E42+C42*F42+'01_INPUTS'!B21</f>
        <v>#NAME?</v>
      </c>
      <c r="K42" s="27" t="e">
        <f t="shared" ca="1" si="0"/>
        <v>#NAME?</v>
      </c>
      <c r="L42" s="23" t="e">
        <f t="shared" ca="1" si="1"/>
        <v>#NAME?</v>
      </c>
      <c r="M42" s="23" t="e">
        <f t="shared" ca="1" si="2"/>
        <v>#NAME?</v>
      </c>
      <c r="N42" s="23" t="e">
        <f t="shared" ca="1" si="3"/>
        <v>#NAME?</v>
      </c>
      <c r="O42" s="27" t="e">
        <f t="shared" ca="1" si="4"/>
        <v>#NAME?</v>
      </c>
      <c r="P42" s="27" t="e">
        <f ca="1">'01_INPUTS'!B9*N42-K42</f>
        <v>#NAME?</v>
      </c>
      <c r="Q42" s="1" t="e">
        <f t="shared" ca="1" si="5"/>
        <v>#NAME?</v>
      </c>
      <c r="R42" s="28">
        <v>0.49597465037368238</v>
      </c>
      <c r="S42" s="28">
        <v>0.17420337744988501</v>
      </c>
      <c r="T42" s="28">
        <v>0.85655247746035457</v>
      </c>
      <c r="U42" s="28">
        <v>0.85669778101146221</v>
      </c>
      <c r="V42" s="28">
        <v>0.90952184074558318</v>
      </c>
      <c r="W42" s="28">
        <v>0.54948514583520591</v>
      </c>
      <c r="X42" s="28">
        <v>6.8326352629810572E-3</v>
      </c>
    </row>
    <row r="43" spans="1:24" ht="13.9">
      <c r="A43" s="1">
        <v>42</v>
      </c>
      <c r="B43" s="23" t="e">
        <f ca="1">_xludf.BETA.INV(R43,'04_PSA_INPUTS'!H5,'04_PSA_INPUTS'!I5)</f>
        <v>#NAME?</v>
      </c>
      <c r="C43" s="23" t="e">
        <f ca="1">_xludf.BETA.INV(S43,'04_PSA_INPUTS'!H6,'04_PSA_INPUTS'!I6)</f>
        <v>#NAME?</v>
      </c>
      <c r="D43" s="27" t="e">
        <f ca="1">_xludf.GAMMA.INV(T43,'04_PSA_INPUTS'!H7,'04_PSA_INPUTS'!I7)</f>
        <v>#NAME?</v>
      </c>
      <c r="E43" s="27" t="e">
        <f ca="1">_xludf.GAMMA.INV(U43,'04_PSA_INPUTS'!H8,'04_PSA_INPUTS'!I8)</f>
        <v>#NAME?</v>
      </c>
      <c r="F43" s="27" t="e">
        <f ca="1">_xludf.GAMMA.INV(V43,'04_PSA_INPUTS'!H9,'04_PSA_INPUTS'!I9)</f>
        <v>#NAME?</v>
      </c>
      <c r="G43" s="23" t="e">
        <f ca="1">_xludf.BETA.INV(W43,'04_PSA_INPUTS'!H10,'04_PSA_INPUTS'!I10)</f>
        <v>#NAME?</v>
      </c>
      <c r="H43" s="23" t="e">
        <f ca="1">_xludf.BETA.INV(X43,'04_PSA_INPUTS'!H11,'04_PSA_INPUTS'!I11)</f>
        <v>#NAME?</v>
      </c>
      <c r="I43" s="27" t="e">
        <f ca="1">D43+B43*F43+'01_INPUTS'!B20</f>
        <v>#NAME?</v>
      </c>
      <c r="J43" s="27" t="e">
        <f ca="1">E43+C43*F43+'01_INPUTS'!B21</f>
        <v>#NAME?</v>
      </c>
      <c r="K43" s="27" t="e">
        <f t="shared" ca="1" si="0"/>
        <v>#NAME?</v>
      </c>
      <c r="L43" s="23" t="e">
        <f t="shared" ca="1" si="1"/>
        <v>#NAME?</v>
      </c>
      <c r="M43" s="23" t="e">
        <f t="shared" ca="1" si="2"/>
        <v>#NAME?</v>
      </c>
      <c r="N43" s="23" t="e">
        <f t="shared" ca="1" si="3"/>
        <v>#NAME?</v>
      </c>
      <c r="O43" s="27" t="e">
        <f t="shared" ca="1" si="4"/>
        <v>#NAME?</v>
      </c>
      <c r="P43" s="27" t="e">
        <f ca="1">'01_INPUTS'!B9*N43-K43</f>
        <v>#NAME?</v>
      </c>
      <c r="Q43" s="1" t="e">
        <f t="shared" ca="1" si="5"/>
        <v>#NAME?</v>
      </c>
      <c r="R43" s="28">
        <v>4.0823919931426644E-2</v>
      </c>
      <c r="S43" s="28">
        <v>0.4841231694445014</v>
      </c>
      <c r="T43" s="28">
        <v>0.45624019484966993</v>
      </c>
      <c r="U43" s="28">
        <v>0.99950071913190186</v>
      </c>
      <c r="V43" s="28">
        <v>0.54267196333967149</v>
      </c>
      <c r="W43" s="28">
        <v>0.87032543425448239</v>
      </c>
      <c r="X43" s="28">
        <v>0.90030532237142324</v>
      </c>
    </row>
    <row r="44" spans="1:24" ht="13.9">
      <c r="A44" s="1">
        <v>43</v>
      </c>
      <c r="B44" s="23" t="e">
        <f ca="1">_xludf.BETA.INV(R44,'04_PSA_INPUTS'!H5,'04_PSA_INPUTS'!I5)</f>
        <v>#NAME?</v>
      </c>
      <c r="C44" s="23" t="e">
        <f ca="1">_xludf.BETA.INV(S44,'04_PSA_INPUTS'!H6,'04_PSA_INPUTS'!I6)</f>
        <v>#NAME?</v>
      </c>
      <c r="D44" s="27" t="e">
        <f ca="1">_xludf.GAMMA.INV(T44,'04_PSA_INPUTS'!H7,'04_PSA_INPUTS'!I7)</f>
        <v>#NAME?</v>
      </c>
      <c r="E44" s="27" t="e">
        <f ca="1">_xludf.GAMMA.INV(U44,'04_PSA_INPUTS'!H8,'04_PSA_INPUTS'!I8)</f>
        <v>#NAME?</v>
      </c>
      <c r="F44" s="27" t="e">
        <f ca="1">_xludf.GAMMA.INV(V44,'04_PSA_INPUTS'!H9,'04_PSA_INPUTS'!I9)</f>
        <v>#NAME?</v>
      </c>
      <c r="G44" s="23" t="e">
        <f ca="1">_xludf.BETA.INV(W44,'04_PSA_INPUTS'!H10,'04_PSA_INPUTS'!I10)</f>
        <v>#NAME?</v>
      </c>
      <c r="H44" s="23" t="e">
        <f ca="1">_xludf.BETA.INV(X44,'04_PSA_INPUTS'!H11,'04_PSA_INPUTS'!I11)</f>
        <v>#NAME?</v>
      </c>
      <c r="I44" s="27" t="e">
        <f ca="1">D44+B44*F44+'01_INPUTS'!B20</f>
        <v>#NAME?</v>
      </c>
      <c r="J44" s="27" t="e">
        <f ca="1">E44+C44*F44+'01_INPUTS'!B21</f>
        <v>#NAME?</v>
      </c>
      <c r="K44" s="27" t="e">
        <f t="shared" ca="1" si="0"/>
        <v>#NAME?</v>
      </c>
      <c r="L44" s="23" t="e">
        <f t="shared" ca="1" si="1"/>
        <v>#NAME?</v>
      </c>
      <c r="M44" s="23" t="e">
        <f t="shared" ca="1" si="2"/>
        <v>#NAME?</v>
      </c>
      <c r="N44" s="23" t="e">
        <f t="shared" ca="1" si="3"/>
        <v>#NAME?</v>
      </c>
      <c r="O44" s="27" t="e">
        <f t="shared" ca="1" si="4"/>
        <v>#NAME?</v>
      </c>
      <c r="P44" s="27" t="e">
        <f ca="1">'01_INPUTS'!B9*N44-K44</f>
        <v>#NAME?</v>
      </c>
      <c r="Q44" s="1" t="e">
        <f t="shared" ca="1" si="5"/>
        <v>#NAME?</v>
      </c>
      <c r="R44" s="28">
        <v>0.84574623429216444</v>
      </c>
      <c r="S44" s="28">
        <v>0.93441633763723075</v>
      </c>
      <c r="T44" s="28">
        <v>0.68613180331885815</v>
      </c>
      <c r="U44" s="28">
        <v>0.66648832941427827</v>
      </c>
      <c r="V44" s="28">
        <v>0.32454315992072225</v>
      </c>
      <c r="W44" s="28">
        <v>0.6919944491237402</v>
      </c>
      <c r="X44" s="28">
        <v>0.1739058552775532</v>
      </c>
    </row>
    <row r="45" spans="1:24" ht="13.9">
      <c r="A45" s="1">
        <v>44</v>
      </c>
      <c r="B45" s="23" t="e">
        <f ca="1">_xludf.BETA.INV(R45,'04_PSA_INPUTS'!H5,'04_PSA_INPUTS'!I5)</f>
        <v>#NAME?</v>
      </c>
      <c r="C45" s="23" t="e">
        <f ca="1">_xludf.BETA.INV(S45,'04_PSA_INPUTS'!H6,'04_PSA_INPUTS'!I6)</f>
        <v>#NAME?</v>
      </c>
      <c r="D45" s="27" t="e">
        <f ca="1">_xludf.GAMMA.INV(T45,'04_PSA_INPUTS'!H7,'04_PSA_INPUTS'!I7)</f>
        <v>#NAME?</v>
      </c>
      <c r="E45" s="27" t="e">
        <f ca="1">_xludf.GAMMA.INV(U45,'04_PSA_INPUTS'!H8,'04_PSA_INPUTS'!I8)</f>
        <v>#NAME?</v>
      </c>
      <c r="F45" s="27" t="e">
        <f ca="1">_xludf.GAMMA.INV(V45,'04_PSA_INPUTS'!H9,'04_PSA_INPUTS'!I9)</f>
        <v>#NAME?</v>
      </c>
      <c r="G45" s="23" t="e">
        <f ca="1">_xludf.BETA.INV(W45,'04_PSA_INPUTS'!H10,'04_PSA_INPUTS'!I10)</f>
        <v>#NAME?</v>
      </c>
      <c r="H45" s="23" t="e">
        <f ca="1">_xludf.BETA.INV(X45,'04_PSA_INPUTS'!H11,'04_PSA_INPUTS'!I11)</f>
        <v>#NAME?</v>
      </c>
      <c r="I45" s="27" t="e">
        <f ca="1">D45+B45*F45+'01_INPUTS'!B20</f>
        <v>#NAME?</v>
      </c>
      <c r="J45" s="27" t="e">
        <f ca="1">E45+C45*F45+'01_INPUTS'!B21</f>
        <v>#NAME?</v>
      </c>
      <c r="K45" s="27" t="e">
        <f t="shared" ca="1" si="0"/>
        <v>#NAME?</v>
      </c>
      <c r="L45" s="23" t="e">
        <f t="shared" ca="1" si="1"/>
        <v>#NAME?</v>
      </c>
      <c r="M45" s="23" t="e">
        <f t="shared" ca="1" si="2"/>
        <v>#NAME?</v>
      </c>
      <c r="N45" s="23" t="e">
        <f t="shared" ca="1" si="3"/>
        <v>#NAME?</v>
      </c>
      <c r="O45" s="27" t="e">
        <f t="shared" ca="1" si="4"/>
        <v>#NAME?</v>
      </c>
      <c r="P45" s="27" t="e">
        <f ca="1">'01_INPUTS'!B9*N45-K45</f>
        <v>#NAME?</v>
      </c>
      <c r="Q45" s="1" t="e">
        <f t="shared" ca="1" si="5"/>
        <v>#NAME?</v>
      </c>
      <c r="R45" s="28">
        <v>1.110968878492713E-2</v>
      </c>
      <c r="S45" s="28">
        <v>0.30869850073941052</v>
      </c>
      <c r="T45" s="28">
        <v>0.53970591304823756</v>
      </c>
      <c r="U45" s="28">
        <v>0.46938417409546673</v>
      </c>
      <c r="V45" s="28">
        <v>0.75554283708333969</v>
      </c>
      <c r="W45" s="28">
        <v>0.79871112923137844</v>
      </c>
      <c r="X45" s="28">
        <v>0.40314716310240328</v>
      </c>
    </row>
    <row r="46" spans="1:24" ht="13.9">
      <c r="A46" s="1">
        <v>45</v>
      </c>
      <c r="B46" s="23" t="e">
        <f ca="1">_xludf.BETA.INV(R46,'04_PSA_INPUTS'!H5,'04_PSA_INPUTS'!I5)</f>
        <v>#NAME?</v>
      </c>
      <c r="C46" s="23" t="e">
        <f ca="1">_xludf.BETA.INV(S46,'04_PSA_INPUTS'!H6,'04_PSA_INPUTS'!I6)</f>
        <v>#NAME?</v>
      </c>
      <c r="D46" s="27" t="e">
        <f ca="1">_xludf.GAMMA.INV(T46,'04_PSA_INPUTS'!H7,'04_PSA_INPUTS'!I7)</f>
        <v>#NAME?</v>
      </c>
      <c r="E46" s="27" t="e">
        <f ca="1">_xludf.GAMMA.INV(U46,'04_PSA_INPUTS'!H8,'04_PSA_INPUTS'!I8)</f>
        <v>#NAME?</v>
      </c>
      <c r="F46" s="27" t="e">
        <f ca="1">_xludf.GAMMA.INV(V46,'04_PSA_INPUTS'!H9,'04_PSA_INPUTS'!I9)</f>
        <v>#NAME?</v>
      </c>
      <c r="G46" s="23" t="e">
        <f ca="1">_xludf.BETA.INV(W46,'04_PSA_INPUTS'!H10,'04_PSA_INPUTS'!I10)</f>
        <v>#NAME?</v>
      </c>
      <c r="H46" s="23" t="e">
        <f ca="1">_xludf.BETA.INV(X46,'04_PSA_INPUTS'!H11,'04_PSA_INPUTS'!I11)</f>
        <v>#NAME?</v>
      </c>
      <c r="I46" s="27" t="e">
        <f ca="1">D46+B46*F46+'01_INPUTS'!B20</f>
        <v>#NAME?</v>
      </c>
      <c r="J46" s="27" t="e">
        <f ca="1">E46+C46*F46+'01_INPUTS'!B21</f>
        <v>#NAME?</v>
      </c>
      <c r="K46" s="27" t="e">
        <f t="shared" ca="1" si="0"/>
        <v>#NAME?</v>
      </c>
      <c r="L46" s="23" t="e">
        <f t="shared" ca="1" si="1"/>
        <v>#NAME?</v>
      </c>
      <c r="M46" s="23" t="e">
        <f t="shared" ca="1" si="2"/>
        <v>#NAME?</v>
      </c>
      <c r="N46" s="23" t="e">
        <f t="shared" ca="1" si="3"/>
        <v>#NAME?</v>
      </c>
      <c r="O46" s="27" t="e">
        <f t="shared" ca="1" si="4"/>
        <v>#NAME?</v>
      </c>
      <c r="P46" s="27" t="e">
        <f ca="1">'01_INPUTS'!B9*N46-K46</f>
        <v>#NAME?</v>
      </c>
      <c r="Q46" s="1" t="e">
        <f t="shared" ca="1" si="5"/>
        <v>#NAME?</v>
      </c>
      <c r="R46" s="28">
        <v>0.45562758157029748</v>
      </c>
      <c r="S46" s="28">
        <v>0.25202950974926353</v>
      </c>
      <c r="T46" s="28">
        <v>0.77392006502486765</v>
      </c>
      <c r="U46" s="28">
        <v>0.24257240234874189</v>
      </c>
      <c r="V46" s="28">
        <v>0.66254794364795089</v>
      </c>
      <c r="W46" s="28">
        <v>8.0804351018741727E-2</v>
      </c>
      <c r="X46" s="28">
        <v>0.68936024350114167</v>
      </c>
    </row>
    <row r="47" spans="1:24" ht="13.9">
      <c r="A47" s="1">
        <v>46</v>
      </c>
      <c r="B47" s="23" t="e">
        <f ca="1">_xludf.BETA.INV(R47,'04_PSA_INPUTS'!H5,'04_PSA_INPUTS'!I5)</f>
        <v>#NAME?</v>
      </c>
      <c r="C47" s="23" t="e">
        <f ca="1">_xludf.BETA.INV(S47,'04_PSA_INPUTS'!H6,'04_PSA_INPUTS'!I6)</f>
        <v>#NAME?</v>
      </c>
      <c r="D47" s="27" t="e">
        <f ca="1">_xludf.GAMMA.INV(T47,'04_PSA_INPUTS'!H7,'04_PSA_INPUTS'!I7)</f>
        <v>#NAME?</v>
      </c>
      <c r="E47" s="27" t="e">
        <f ca="1">_xludf.GAMMA.INV(U47,'04_PSA_INPUTS'!H8,'04_PSA_INPUTS'!I8)</f>
        <v>#NAME?</v>
      </c>
      <c r="F47" s="27" t="e">
        <f ca="1">_xludf.GAMMA.INV(V47,'04_PSA_INPUTS'!H9,'04_PSA_INPUTS'!I9)</f>
        <v>#NAME?</v>
      </c>
      <c r="G47" s="23" t="e">
        <f ca="1">_xludf.BETA.INV(W47,'04_PSA_INPUTS'!H10,'04_PSA_INPUTS'!I10)</f>
        <v>#NAME?</v>
      </c>
      <c r="H47" s="23" t="e">
        <f ca="1">_xludf.BETA.INV(X47,'04_PSA_INPUTS'!H11,'04_PSA_INPUTS'!I11)</f>
        <v>#NAME?</v>
      </c>
      <c r="I47" s="27" t="e">
        <f ca="1">D47+B47*F47+'01_INPUTS'!B20</f>
        <v>#NAME?</v>
      </c>
      <c r="J47" s="27" t="e">
        <f ca="1">E47+C47*F47+'01_INPUTS'!B21</f>
        <v>#NAME?</v>
      </c>
      <c r="K47" s="27" t="e">
        <f t="shared" ca="1" si="0"/>
        <v>#NAME?</v>
      </c>
      <c r="L47" s="23" t="e">
        <f t="shared" ca="1" si="1"/>
        <v>#NAME?</v>
      </c>
      <c r="M47" s="23" t="e">
        <f t="shared" ca="1" si="2"/>
        <v>#NAME?</v>
      </c>
      <c r="N47" s="23" t="e">
        <f t="shared" ca="1" si="3"/>
        <v>#NAME?</v>
      </c>
      <c r="O47" s="27" t="e">
        <f t="shared" ca="1" si="4"/>
        <v>#NAME?</v>
      </c>
      <c r="P47" s="27" t="e">
        <f ca="1">'01_INPUTS'!B9*N47-K47</f>
        <v>#NAME?</v>
      </c>
      <c r="Q47" s="1" t="e">
        <f t="shared" ca="1" si="5"/>
        <v>#NAME?</v>
      </c>
      <c r="R47" s="28">
        <v>0.87118938728235662</v>
      </c>
      <c r="S47" s="28">
        <v>0.71784606273286045</v>
      </c>
      <c r="T47" s="28">
        <v>0.52762261079624295</v>
      </c>
      <c r="U47" s="28">
        <v>0.46673024236224592</v>
      </c>
      <c r="V47" s="28">
        <v>0.80411013169214129</v>
      </c>
      <c r="W47" s="28">
        <v>8.019448141567409E-2</v>
      </c>
      <c r="X47" s="28">
        <v>0.65018765372224152</v>
      </c>
    </row>
    <row r="48" spans="1:24" ht="13.9">
      <c r="A48" s="1">
        <v>47</v>
      </c>
      <c r="B48" s="23" t="e">
        <f ca="1">_xludf.BETA.INV(R48,'04_PSA_INPUTS'!H5,'04_PSA_INPUTS'!I5)</f>
        <v>#NAME?</v>
      </c>
      <c r="C48" s="23" t="e">
        <f ca="1">_xludf.BETA.INV(S48,'04_PSA_INPUTS'!H6,'04_PSA_INPUTS'!I6)</f>
        <v>#NAME?</v>
      </c>
      <c r="D48" s="27" t="e">
        <f ca="1">_xludf.GAMMA.INV(T48,'04_PSA_INPUTS'!H7,'04_PSA_INPUTS'!I7)</f>
        <v>#NAME?</v>
      </c>
      <c r="E48" s="27" t="e">
        <f ca="1">_xludf.GAMMA.INV(U48,'04_PSA_INPUTS'!H8,'04_PSA_INPUTS'!I8)</f>
        <v>#NAME?</v>
      </c>
      <c r="F48" s="27" t="e">
        <f ca="1">_xludf.GAMMA.INV(V48,'04_PSA_INPUTS'!H9,'04_PSA_INPUTS'!I9)</f>
        <v>#NAME?</v>
      </c>
      <c r="G48" s="23" t="e">
        <f ca="1">_xludf.BETA.INV(W48,'04_PSA_INPUTS'!H10,'04_PSA_INPUTS'!I10)</f>
        <v>#NAME?</v>
      </c>
      <c r="H48" s="23" t="e">
        <f ca="1">_xludf.BETA.INV(X48,'04_PSA_INPUTS'!H11,'04_PSA_INPUTS'!I11)</f>
        <v>#NAME?</v>
      </c>
      <c r="I48" s="27" t="e">
        <f ca="1">D48+B48*F48+'01_INPUTS'!B20</f>
        <v>#NAME?</v>
      </c>
      <c r="J48" s="27" t="e">
        <f ca="1">E48+C48*F48+'01_INPUTS'!B21</f>
        <v>#NAME?</v>
      </c>
      <c r="K48" s="27" t="e">
        <f t="shared" ca="1" si="0"/>
        <v>#NAME?</v>
      </c>
      <c r="L48" s="23" t="e">
        <f t="shared" ca="1" si="1"/>
        <v>#NAME?</v>
      </c>
      <c r="M48" s="23" t="e">
        <f t="shared" ca="1" si="2"/>
        <v>#NAME?</v>
      </c>
      <c r="N48" s="23" t="e">
        <f t="shared" ca="1" si="3"/>
        <v>#NAME?</v>
      </c>
      <c r="O48" s="27" t="e">
        <f t="shared" ca="1" si="4"/>
        <v>#NAME?</v>
      </c>
      <c r="P48" s="27" t="e">
        <f ca="1">'01_INPUTS'!B9*N48-K48</f>
        <v>#NAME?</v>
      </c>
      <c r="Q48" s="1" t="e">
        <f t="shared" ca="1" si="5"/>
        <v>#NAME?</v>
      </c>
      <c r="R48" s="28">
        <v>0.90631688642315567</v>
      </c>
      <c r="S48" s="28">
        <v>0.56824507098644972</v>
      </c>
      <c r="T48" s="28">
        <v>0.96986798080615699</v>
      </c>
      <c r="U48" s="28">
        <v>0.66655378835275769</v>
      </c>
      <c r="V48" s="28">
        <v>0.10342007991857827</v>
      </c>
      <c r="W48" s="28">
        <v>0.80849150149151683</v>
      </c>
      <c r="X48" s="28">
        <v>3.1404235633090138E-2</v>
      </c>
    </row>
    <row r="49" spans="1:24" ht="13.9">
      <c r="A49" s="1">
        <v>48</v>
      </c>
      <c r="B49" s="23" t="e">
        <f ca="1">_xludf.BETA.INV(R49,'04_PSA_INPUTS'!H5,'04_PSA_INPUTS'!I5)</f>
        <v>#NAME?</v>
      </c>
      <c r="C49" s="23" t="e">
        <f ca="1">_xludf.BETA.INV(S49,'04_PSA_INPUTS'!H6,'04_PSA_INPUTS'!I6)</f>
        <v>#NAME?</v>
      </c>
      <c r="D49" s="27" t="e">
        <f ca="1">_xludf.GAMMA.INV(T49,'04_PSA_INPUTS'!H7,'04_PSA_INPUTS'!I7)</f>
        <v>#NAME?</v>
      </c>
      <c r="E49" s="27" t="e">
        <f ca="1">_xludf.GAMMA.INV(U49,'04_PSA_INPUTS'!H8,'04_PSA_INPUTS'!I8)</f>
        <v>#NAME?</v>
      </c>
      <c r="F49" s="27" t="e">
        <f ca="1">_xludf.GAMMA.INV(V49,'04_PSA_INPUTS'!H9,'04_PSA_INPUTS'!I9)</f>
        <v>#NAME?</v>
      </c>
      <c r="G49" s="23" t="e">
        <f ca="1">_xludf.BETA.INV(W49,'04_PSA_INPUTS'!H10,'04_PSA_INPUTS'!I10)</f>
        <v>#NAME?</v>
      </c>
      <c r="H49" s="23" t="e">
        <f ca="1">_xludf.BETA.INV(X49,'04_PSA_INPUTS'!H11,'04_PSA_INPUTS'!I11)</f>
        <v>#NAME?</v>
      </c>
      <c r="I49" s="27" t="e">
        <f ca="1">D49+B49*F49+'01_INPUTS'!B20</f>
        <v>#NAME?</v>
      </c>
      <c r="J49" s="27" t="e">
        <f ca="1">E49+C49*F49+'01_INPUTS'!B21</f>
        <v>#NAME?</v>
      </c>
      <c r="K49" s="27" t="e">
        <f t="shared" ca="1" si="0"/>
        <v>#NAME?</v>
      </c>
      <c r="L49" s="23" t="e">
        <f t="shared" ca="1" si="1"/>
        <v>#NAME?</v>
      </c>
      <c r="M49" s="23" t="e">
        <f t="shared" ca="1" si="2"/>
        <v>#NAME?</v>
      </c>
      <c r="N49" s="23" t="e">
        <f t="shared" ca="1" si="3"/>
        <v>#NAME?</v>
      </c>
      <c r="O49" s="27" t="e">
        <f t="shared" ca="1" si="4"/>
        <v>#NAME?</v>
      </c>
      <c r="P49" s="27" t="e">
        <f ca="1">'01_INPUTS'!B9*N49-K49</f>
        <v>#NAME?</v>
      </c>
      <c r="Q49" s="1" t="e">
        <f t="shared" ca="1" si="5"/>
        <v>#NAME?</v>
      </c>
      <c r="R49" s="28">
        <v>0.18063206924125552</v>
      </c>
      <c r="S49" s="28">
        <v>0.1704240299295634</v>
      </c>
      <c r="T49" s="28">
        <v>0.65821682242676616</v>
      </c>
      <c r="U49" s="28">
        <v>0.24657927779480815</v>
      </c>
      <c r="V49" s="28">
        <v>0.32670725602656603</v>
      </c>
      <c r="W49" s="28">
        <v>0.55209891218692064</v>
      </c>
      <c r="X49" s="28">
        <v>0.24002123158425093</v>
      </c>
    </row>
    <row r="50" spans="1:24" ht="13.9">
      <c r="A50" s="1">
        <v>49</v>
      </c>
      <c r="B50" s="23" t="e">
        <f ca="1">_xludf.BETA.INV(R50,'04_PSA_INPUTS'!H5,'04_PSA_INPUTS'!I5)</f>
        <v>#NAME?</v>
      </c>
      <c r="C50" s="23" t="e">
        <f ca="1">_xludf.BETA.INV(S50,'04_PSA_INPUTS'!H6,'04_PSA_INPUTS'!I6)</f>
        <v>#NAME?</v>
      </c>
      <c r="D50" s="27" t="e">
        <f ca="1">_xludf.GAMMA.INV(T50,'04_PSA_INPUTS'!H7,'04_PSA_INPUTS'!I7)</f>
        <v>#NAME?</v>
      </c>
      <c r="E50" s="27" t="e">
        <f ca="1">_xludf.GAMMA.INV(U50,'04_PSA_INPUTS'!H8,'04_PSA_INPUTS'!I8)</f>
        <v>#NAME?</v>
      </c>
      <c r="F50" s="27" t="e">
        <f ca="1">_xludf.GAMMA.INV(V50,'04_PSA_INPUTS'!H9,'04_PSA_INPUTS'!I9)</f>
        <v>#NAME?</v>
      </c>
      <c r="G50" s="23" t="e">
        <f ca="1">_xludf.BETA.INV(W50,'04_PSA_INPUTS'!H10,'04_PSA_INPUTS'!I10)</f>
        <v>#NAME?</v>
      </c>
      <c r="H50" s="23" t="e">
        <f ca="1">_xludf.BETA.INV(X50,'04_PSA_INPUTS'!H11,'04_PSA_INPUTS'!I11)</f>
        <v>#NAME?</v>
      </c>
      <c r="I50" s="27" t="e">
        <f ca="1">D50+B50*F50+'01_INPUTS'!B20</f>
        <v>#NAME?</v>
      </c>
      <c r="J50" s="27" t="e">
        <f ca="1">E50+C50*F50+'01_INPUTS'!B21</f>
        <v>#NAME?</v>
      </c>
      <c r="K50" s="27" t="e">
        <f t="shared" ca="1" si="0"/>
        <v>#NAME?</v>
      </c>
      <c r="L50" s="23" t="e">
        <f t="shared" ca="1" si="1"/>
        <v>#NAME?</v>
      </c>
      <c r="M50" s="23" t="e">
        <f t="shared" ca="1" si="2"/>
        <v>#NAME?</v>
      </c>
      <c r="N50" s="23" t="e">
        <f t="shared" ca="1" si="3"/>
        <v>#NAME?</v>
      </c>
      <c r="O50" s="27" t="e">
        <f t="shared" ca="1" si="4"/>
        <v>#NAME?</v>
      </c>
      <c r="P50" s="27" t="e">
        <f ca="1">'01_INPUTS'!B9*N50-K50</f>
        <v>#NAME?</v>
      </c>
      <c r="Q50" s="1" t="e">
        <f t="shared" ca="1" si="5"/>
        <v>#NAME?</v>
      </c>
      <c r="R50" s="28">
        <v>0.31396338995546103</v>
      </c>
      <c r="S50" s="28">
        <v>6.0174293583258986E-2</v>
      </c>
      <c r="T50" s="28">
        <v>0.39495468977838755</v>
      </c>
      <c r="U50" s="28">
        <v>0.81324603804387152</v>
      </c>
      <c r="V50" s="28">
        <v>0.58812152617610991</v>
      </c>
      <c r="W50" s="28">
        <v>0.18205279135145247</v>
      </c>
      <c r="X50" s="28">
        <v>0.13055370235815644</v>
      </c>
    </row>
    <row r="51" spans="1:24" ht="13.9">
      <c r="A51" s="1">
        <v>50</v>
      </c>
      <c r="B51" s="23" t="e">
        <f ca="1">_xludf.BETA.INV(R51,'04_PSA_INPUTS'!H5,'04_PSA_INPUTS'!I5)</f>
        <v>#NAME?</v>
      </c>
      <c r="C51" s="23" t="e">
        <f ca="1">_xludf.BETA.INV(S51,'04_PSA_INPUTS'!H6,'04_PSA_INPUTS'!I6)</f>
        <v>#NAME?</v>
      </c>
      <c r="D51" s="27" t="e">
        <f ca="1">_xludf.GAMMA.INV(T51,'04_PSA_INPUTS'!H7,'04_PSA_INPUTS'!I7)</f>
        <v>#NAME?</v>
      </c>
      <c r="E51" s="27" t="e">
        <f ca="1">_xludf.GAMMA.INV(U51,'04_PSA_INPUTS'!H8,'04_PSA_INPUTS'!I8)</f>
        <v>#NAME?</v>
      </c>
      <c r="F51" s="27" t="e">
        <f ca="1">_xludf.GAMMA.INV(V51,'04_PSA_INPUTS'!H9,'04_PSA_INPUTS'!I9)</f>
        <v>#NAME?</v>
      </c>
      <c r="G51" s="23" t="e">
        <f ca="1">_xludf.BETA.INV(W51,'04_PSA_INPUTS'!H10,'04_PSA_INPUTS'!I10)</f>
        <v>#NAME?</v>
      </c>
      <c r="H51" s="23" t="e">
        <f ca="1">_xludf.BETA.INV(X51,'04_PSA_INPUTS'!H11,'04_PSA_INPUTS'!I11)</f>
        <v>#NAME?</v>
      </c>
      <c r="I51" s="27" t="e">
        <f ca="1">D51+B51*F51+'01_INPUTS'!B20</f>
        <v>#NAME?</v>
      </c>
      <c r="J51" s="27" t="e">
        <f ca="1">E51+C51*F51+'01_INPUTS'!B21</f>
        <v>#NAME?</v>
      </c>
      <c r="K51" s="27" t="e">
        <f t="shared" ca="1" si="0"/>
        <v>#NAME?</v>
      </c>
      <c r="L51" s="23" t="e">
        <f t="shared" ca="1" si="1"/>
        <v>#NAME?</v>
      </c>
      <c r="M51" s="23" t="e">
        <f t="shared" ca="1" si="2"/>
        <v>#NAME?</v>
      </c>
      <c r="N51" s="23" t="e">
        <f t="shared" ca="1" si="3"/>
        <v>#NAME?</v>
      </c>
      <c r="O51" s="27" t="e">
        <f t="shared" ca="1" si="4"/>
        <v>#NAME?</v>
      </c>
      <c r="P51" s="27" t="e">
        <f ca="1">'01_INPUTS'!B9*N51-K51</f>
        <v>#NAME?</v>
      </c>
      <c r="Q51" s="1" t="e">
        <f t="shared" ca="1" si="5"/>
        <v>#NAME?</v>
      </c>
      <c r="R51" s="28">
        <v>0.17894560378044844</v>
      </c>
      <c r="S51" s="28">
        <v>0.55549006862565875</v>
      </c>
      <c r="T51" s="28">
        <v>0.66712961927987635</v>
      </c>
      <c r="U51" s="28">
        <v>0.79957811464555562</v>
      </c>
      <c r="V51" s="28">
        <v>0.36282128887251019</v>
      </c>
      <c r="W51" s="28">
        <v>0.69876713817939162</v>
      </c>
      <c r="X51" s="28">
        <v>0.34037112374790013</v>
      </c>
    </row>
    <row r="52" spans="1:24" ht="13.9">
      <c r="A52" s="1">
        <v>51</v>
      </c>
      <c r="B52" s="23" t="e">
        <f ca="1">_xludf.BETA.INV(R52,'04_PSA_INPUTS'!H5,'04_PSA_INPUTS'!I5)</f>
        <v>#NAME?</v>
      </c>
      <c r="C52" s="23" t="e">
        <f ca="1">_xludf.BETA.INV(S52,'04_PSA_INPUTS'!H6,'04_PSA_INPUTS'!I6)</f>
        <v>#NAME?</v>
      </c>
      <c r="D52" s="27" t="e">
        <f ca="1">_xludf.GAMMA.INV(T52,'04_PSA_INPUTS'!H7,'04_PSA_INPUTS'!I7)</f>
        <v>#NAME?</v>
      </c>
      <c r="E52" s="27" t="e">
        <f ca="1">_xludf.GAMMA.INV(U52,'04_PSA_INPUTS'!H8,'04_PSA_INPUTS'!I8)</f>
        <v>#NAME?</v>
      </c>
      <c r="F52" s="27" t="e">
        <f ca="1">_xludf.GAMMA.INV(V52,'04_PSA_INPUTS'!H9,'04_PSA_INPUTS'!I9)</f>
        <v>#NAME?</v>
      </c>
      <c r="G52" s="23" t="e">
        <f ca="1">_xludf.BETA.INV(W52,'04_PSA_INPUTS'!H10,'04_PSA_INPUTS'!I10)</f>
        <v>#NAME?</v>
      </c>
      <c r="H52" s="23" t="e">
        <f ca="1">_xludf.BETA.INV(X52,'04_PSA_INPUTS'!H11,'04_PSA_INPUTS'!I11)</f>
        <v>#NAME?</v>
      </c>
      <c r="I52" s="27" t="e">
        <f ca="1">D52+B52*F52+'01_INPUTS'!B20</f>
        <v>#NAME?</v>
      </c>
      <c r="J52" s="27" t="e">
        <f ca="1">E52+C52*F52+'01_INPUTS'!B21</f>
        <v>#NAME?</v>
      </c>
      <c r="K52" s="27" t="e">
        <f t="shared" ca="1" si="0"/>
        <v>#NAME?</v>
      </c>
      <c r="L52" s="23" t="e">
        <f t="shared" ca="1" si="1"/>
        <v>#NAME?</v>
      </c>
      <c r="M52" s="23" t="e">
        <f t="shared" ca="1" si="2"/>
        <v>#NAME?</v>
      </c>
      <c r="N52" s="23" t="e">
        <f t="shared" ca="1" si="3"/>
        <v>#NAME?</v>
      </c>
      <c r="O52" s="27" t="e">
        <f t="shared" ca="1" si="4"/>
        <v>#NAME?</v>
      </c>
      <c r="P52" s="27" t="e">
        <f ca="1">'01_INPUTS'!B9*N52-K52</f>
        <v>#NAME?</v>
      </c>
      <c r="Q52" s="1" t="e">
        <f t="shared" ca="1" si="5"/>
        <v>#NAME?</v>
      </c>
      <c r="R52" s="28">
        <v>0.55486464314162731</v>
      </c>
      <c r="S52" s="28">
        <v>0.20140814525075257</v>
      </c>
      <c r="T52" s="28">
        <v>0.77938046958297491</v>
      </c>
      <c r="U52" s="28">
        <v>0.15313883731141686</v>
      </c>
      <c r="V52" s="28">
        <v>0.60892357444390655</v>
      </c>
      <c r="W52" s="28">
        <v>0.51522035431116819</v>
      </c>
      <c r="X52" s="28">
        <v>0.69837221223860979</v>
      </c>
    </row>
    <row r="53" spans="1:24" ht="13.9">
      <c r="A53" s="1">
        <v>52</v>
      </c>
      <c r="B53" s="23" t="e">
        <f ca="1">_xludf.BETA.INV(R53,'04_PSA_INPUTS'!H5,'04_PSA_INPUTS'!I5)</f>
        <v>#NAME?</v>
      </c>
      <c r="C53" s="23" t="e">
        <f ca="1">_xludf.BETA.INV(S53,'04_PSA_INPUTS'!H6,'04_PSA_INPUTS'!I6)</f>
        <v>#NAME?</v>
      </c>
      <c r="D53" s="27" t="e">
        <f ca="1">_xludf.GAMMA.INV(T53,'04_PSA_INPUTS'!H7,'04_PSA_INPUTS'!I7)</f>
        <v>#NAME?</v>
      </c>
      <c r="E53" s="27" t="e">
        <f ca="1">_xludf.GAMMA.INV(U53,'04_PSA_INPUTS'!H8,'04_PSA_INPUTS'!I8)</f>
        <v>#NAME?</v>
      </c>
      <c r="F53" s="27" t="e">
        <f ca="1">_xludf.GAMMA.INV(V53,'04_PSA_INPUTS'!H9,'04_PSA_INPUTS'!I9)</f>
        <v>#NAME?</v>
      </c>
      <c r="G53" s="23" t="e">
        <f ca="1">_xludf.BETA.INV(W53,'04_PSA_INPUTS'!H10,'04_PSA_INPUTS'!I10)</f>
        <v>#NAME?</v>
      </c>
      <c r="H53" s="23" t="e">
        <f ca="1">_xludf.BETA.INV(X53,'04_PSA_INPUTS'!H11,'04_PSA_INPUTS'!I11)</f>
        <v>#NAME?</v>
      </c>
      <c r="I53" s="27" t="e">
        <f ca="1">D53+B53*F53+'01_INPUTS'!B20</f>
        <v>#NAME?</v>
      </c>
      <c r="J53" s="27" t="e">
        <f ca="1">E53+C53*F53+'01_INPUTS'!B21</f>
        <v>#NAME?</v>
      </c>
      <c r="K53" s="27" t="e">
        <f t="shared" ca="1" si="0"/>
        <v>#NAME?</v>
      </c>
      <c r="L53" s="23" t="e">
        <f t="shared" ca="1" si="1"/>
        <v>#NAME?</v>
      </c>
      <c r="M53" s="23" t="e">
        <f t="shared" ca="1" si="2"/>
        <v>#NAME?</v>
      </c>
      <c r="N53" s="23" t="e">
        <f t="shared" ca="1" si="3"/>
        <v>#NAME?</v>
      </c>
      <c r="O53" s="27" t="e">
        <f t="shared" ca="1" si="4"/>
        <v>#NAME?</v>
      </c>
      <c r="P53" s="27" t="e">
        <f ca="1">'01_INPUTS'!B9*N53-K53</f>
        <v>#NAME?</v>
      </c>
      <c r="Q53" s="1" t="e">
        <f t="shared" ca="1" si="5"/>
        <v>#NAME?</v>
      </c>
      <c r="R53" s="28">
        <v>0.75501689268276095</v>
      </c>
      <c r="S53" s="28">
        <v>0.34746532747521996</v>
      </c>
      <c r="T53" s="28">
        <v>0.47430620808154345</v>
      </c>
      <c r="U53" s="28">
        <v>9.8090246319770813E-4</v>
      </c>
      <c r="V53" s="28">
        <v>0.98069454822689295</v>
      </c>
      <c r="W53" s="28">
        <v>0.58520456240512431</v>
      </c>
      <c r="X53" s="28">
        <v>0.35985811427235603</v>
      </c>
    </row>
    <row r="54" spans="1:24" ht="13.9">
      <c r="A54" s="1">
        <v>53</v>
      </c>
      <c r="B54" s="23" t="e">
        <f ca="1">_xludf.BETA.INV(R54,'04_PSA_INPUTS'!H5,'04_PSA_INPUTS'!I5)</f>
        <v>#NAME?</v>
      </c>
      <c r="C54" s="23" t="e">
        <f ca="1">_xludf.BETA.INV(S54,'04_PSA_INPUTS'!H6,'04_PSA_INPUTS'!I6)</f>
        <v>#NAME?</v>
      </c>
      <c r="D54" s="27" t="e">
        <f ca="1">_xludf.GAMMA.INV(T54,'04_PSA_INPUTS'!H7,'04_PSA_INPUTS'!I7)</f>
        <v>#NAME?</v>
      </c>
      <c r="E54" s="27" t="e">
        <f ca="1">_xludf.GAMMA.INV(U54,'04_PSA_INPUTS'!H8,'04_PSA_INPUTS'!I8)</f>
        <v>#NAME?</v>
      </c>
      <c r="F54" s="27" t="e">
        <f ca="1">_xludf.GAMMA.INV(V54,'04_PSA_INPUTS'!H9,'04_PSA_INPUTS'!I9)</f>
        <v>#NAME?</v>
      </c>
      <c r="G54" s="23" t="e">
        <f ca="1">_xludf.BETA.INV(W54,'04_PSA_INPUTS'!H10,'04_PSA_INPUTS'!I10)</f>
        <v>#NAME?</v>
      </c>
      <c r="H54" s="23" t="e">
        <f ca="1">_xludf.BETA.INV(X54,'04_PSA_INPUTS'!H11,'04_PSA_INPUTS'!I11)</f>
        <v>#NAME?</v>
      </c>
      <c r="I54" s="27" t="e">
        <f ca="1">D54+B54*F54+'01_INPUTS'!B20</f>
        <v>#NAME?</v>
      </c>
      <c r="J54" s="27" t="e">
        <f ca="1">E54+C54*F54+'01_INPUTS'!B21</f>
        <v>#NAME?</v>
      </c>
      <c r="K54" s="27" t="e">
        <f t="shared" ca="1" si="0"/>
        <v>#NAME?</v>
      </c>
      <c r="L54" s="23" t="e">
        <f t="shared" ca="1" si="1"/>
        <v>#NAME?</v>
      </c>
      <c r="M54" s="23" t="e">
        <f t="shared" ca="1" si="2"/>
        <v>#NAME?</v>
      </c>
      <c r="N54" s="23" t="e">
        <f t="shared" ca="1" si="3"/>
        <v>#NAME?</v>
      </c>
      <c r="O54" s="27" t="e">
        <f t="shared" ca="1" si="4"/>
        <v>#NAME?</v>
      </c>
      <c r="P54" s="27" t="e">
        <f ca="1">'01_INPUTS'!B9*N54-K54</f>
        <v>#NAME?</v>
      </c>
      <c r="Q54" s="1" t="e">
        <f t="shared" ca="1" si="5"/>
        <v>#NAME?</v>
      </c>
      <c r="R54" s="28">
        <v>0.59172248537652194</v>
      </c>
      <c r="S54" s="28">
        <v>0.98078519175760448</v>
      </c>
      <c r="T54" s="28">
        <v>0.42449976154603064</v>
      </c>
      <c r="U54" s="28">
        <v>0.53253493132069707</v>
      </c>
      <c r="V54" s="28">
        <v>0.38330034725368023</v>
      </c>
      <c r="W54" s="28">
        <v>0.37659679423086345</v>
      </c>
      <c r="X54" s="28">
        <v>0.19802844175137579</v>
      </c>
    </row>
    <row r="55" spans="1:24" ht="13.9">
      <c r="A55" s="1">
        <v>54</v>
      </c>
      <c r="B55" s="23" t="e">
        <f ca="1">_xludf.BETA.INV(R55,'04_PSA_INPUTS'!H5,'04_PSA_INPUTS'!I5)</f>
        <v>#NAME?</v>
      </c>
      <c r="C55" s="23" t="e">
        <f ca="1">_xludf.BETA.INV(S55,'04_PSA_INPUTS'!H6,'04_PSA_INPUTS'!I6)</f>
        <v>#NAME?</v>
      </c>
      <c r="D55" s="27" t="e">
        <f ca="1">_xludf.GAMMA.INV(T55,'04_PSA_INPUTS'!H7,'04_PSA_INPUTS'!I7)</f>
        <v>#NAME?</v>
      </c>
      <c r="E55" s="27" t="e">
        <f ca="1">_xludf.GAMMA.INV(U55,'04_PSA_INPUTS'!H8,'04_PSA_INPUTS'!I8)</f>
        <v>#NAME?</v>
      </c>
      <c r="F55" s="27" t="e">
        <f ca="1">_xludf.GAMMA.INV(V55,'04_PSA_INPUTS'!H9,'04_PSA_INPUTS'!I9)</f>
        <v>#NAME?</v>
      </c>
      <c r="G55" s="23" t="e">
        <f ca="1">_xludf.BETA.INV(W55,'04_PSA_INPUTS'!H10,'04_PSA_INPUTS'!I10)</f>
        <v>#NAME?</v>
      </c>
      <c r="H55" s="23" t="e">
        <f ca="1">_xludf.BETA.INV(X55,'04_PSA_INPUTS'!H11,'04_PSA_INPUTS'!I11)</f>
        <v>#NAME?</v>
      </c>
      <c r="I55" s="27" t="e">
        <f ca="1">D55+B55*F55+'01_INPUTS'!B20</f>
        <v>#NAME?</v>
      </c>
      <c r="J55" s="27" t="e">
        <f ca="1">E55+C55*F55+'01_INPUTS'!B21</f>
        <v>#NAME?</v>
      </c>
      <c r="K55" s="27" t="e">
        <f t="shared" ca="1" si="0"/>
        <v>#NAME?</v>
      </c>
      <c r="L55" s="23" t="e">
        <f t="shared" ca="1" si="1"/>
        <v>#NAME?</v>
      </c>
      <c r="M55" s="23" t="e">
        <f t="shared" ca="1" si="2"/>
        <v>#NAME?</v>
      </c>
      <c r="N55" s="23" t="e">
        <f t="shared" ca="1" si="3"/>
        <v>#NAME?</v>
      </c>
      <c r="O55" s="27" t="e">
        <f t="shared" ca="1" si="4"/>
        <v>#NAME?</v>
      </c>
      <c r="P55" s="27" t="e">
        <f ca="1">'01_INPUTS'!B9*N55-K55</f>
        <v>#NAME?</v>
      </c>
      <c r="Q55" s="1" t="e">
        <f t="shared" ca="1" si="5"/>
        <v>#NAME?</v>
      </c>
      <c r="R55" s="28">
        <v>0.78640507441014051</v>
      </c>
      <c r="S55" s="28">
        <v>0.44734117342159152</v>
      </c>
      <c r="T55" s="28">
        <v>0.31749341101385653</v>
      </c>
      <c r="U55" s="28">
        <v>0.67870912840589881</v>
      </c>
      <c r="V55" s="28">
        <v>0.35230959206819534</v>
      </c>
      <c r="W55" s="28">
        <v>0.2883472538087517</v>
      </c>
      <c r="X55" s="28">
        <v>0.78811097936704755</v>
      </c>
    </row>
    <row r="56" spans="1:24" ht="13.9">
      <c r="A56" s="1">
        <v>55</v>
      </c>
      <c r="B56" s="23" t="e">
        <f ca="1">_xludf.BETA.INV(R56,'04_PSA_INPUTS'!H5,'04_PSA_INPUTS'!I5)</f>
        <v>#NAME?</v>
      </c>
      <c r="C56" s="23" t="e">
        <f ca="1">_xludf.BETA.INV(S56,'04_PSA_INPUTS'!H6,'04_PSA_INPUTS'!I6)</f>
        <v>#NAME?</v>
      </c>
      <c r="D56" s="27" t="e">
        <f ca="1">_xludf.GAMMA.INV(T56,'04_PSA_INPUTS'!H7,'04_PSA_INPUTS'!I7)</f>
        <v>#NAME?</v>
      </c>
      <c r="E56" s="27" t="e">
        <f ca="1">_xludf.GAMMA.INV(U56,'04_PSA_INPUTS'!H8,'04_PSA_INPUTS'!I8)</f>
        <v>#NAME?</v>
      </c>
      <c r="F56" s="27" t="e">
        <f ca="1">_xludf.GAMMA.INV(V56,'04_PSA_INPUTS'!H9,'04_PSA_INPUTS'!I9)</f>
        <v>#NAME?</v>
      </c>
      <c r="G56" s="23" t="e">
        <f ca="1">_xludf.BETA.INV(W56,'04_PSA_INPUTS'!H10,'04_PSA_INPUTS'!I10)</f>
        <v>#NAME?</v>
      </c>
      <c r="H56" s="23" t="e">
        <f ca="1">_xludf.BETA.INV(X56,'04_PSA_INPUTS'!H11,'04_PSA_INPUTS'!I11)</f>
        <v>#NAME?</v>
      </c>
      <c r="I56" s="27" t="e">
        <f ca="1">D56+B56*F56+'01_INPUTS'!B20</f>
        <v>#NAME?</v>
      </c>
      <c r="J56" s="27" t="e">
        <f ca="1">E56+C56*F56+'01_INPUTS'!B21</f>
        <v>#NAME?</v>
      </c>
      <c r="K56" s="27" t="e">
        <f t="shared" ca="1" si="0"/>
        <v>#NAME?</v>
      </c>
      <c r="L56" s="23" t="e">
        <f t="shared" ca="1" si="1"/>
        <v>#NAME?</v>
      </c>
      <c r="M56" s="23" t="e">
        <f t="shared" ca="1" si="2"/>
        <v>#NAME?</v>
      </c>
      <c r="N56" s="23" t="e">
        <f t="shared" ca="1" si="3"/>
        <v>#NAME?</v>
      </c>
      <c r="O56" s="27" t="e">
        <f t="shared" ca="1" si="4"/>
        <v>#NAME?</v>
      </c>
      <c r="P56" s="27" t="e">
        <f ca="1">'01_INPUTS'!B9*N56-K56</f>
        <v>#NAME?</v>
      </c>
      <c r="Q56" s="1" t="e">
        <f t="shared" ca="1" si="5"/>
        <v>#NAME?</v>
      </c>
      <c r="R56" s="28">
        <v>0.67895142151974142</v>
      </c>
      <c r="S56" s="28">
        <v>0.92833776935003698</v>
      </c>
      <c r="T56" s="28">
        <v>0.43943786015734076</v>
      </c>
      <c r="U56" s="28">
        <v>0.18144325772300363</v>
      </c>
      <c r="V56" s="28">
        <v>0.83125699288211763</v>
      </c>
      <c r="W56" s="28">
        <v>0.82809917442500591</v>
      </c>
      <c r="X56" s="28">
        <v>0.86700949724763632</v>
      </c>
    </row>
    <row r="57" spans="1:24" ht="13.9">
      <c r="A57" s="1">
        <v>56</v>
      </c>
      <c r="B57" s="23" t="e">
        <f ca="1">_xludf.BETA.INV(R57,'04_PSA_INPUTS'!H5,'04_PSA_INPUTS'!I5)</f>
        <v>#NAME?</v>
      </c>
      <c r="C57" s="23" t="e">
        <f ca="1">_xludf.BETA.INV(S57,'04_PSA_INPUTS'!H6,'04_PSA_INPUTS'!I6)</f>
        <v>#NAME?</v>
      </c>
      <c r="D57" s="27" t="e">
        <f ca="1">_xludf.GAMMA.INV(T57,'04_PSA_INPUTS'!H7,'04_PSA_INPUTS'!I7)</f>
        <v>#NAME?</v>
      </c>
      <c r="E57" s="27" t="e">
        <f ca="1">_xludf.GAMMA.INV(U57,'04_PSA_INPUTS'!H8,'04_PSA_INPUTS'!I8)</f>
        <v>#NAME?</v>
      </c>
      <c r="F57" s="27" t="e">
        <f ca="1">_xludf.GAMMA.INV(V57,'04_PSA_INPUTS'!H9,'04_PSA_INPUTS'!I9)</f>
        <v>#NAME?</v>
      </c>
      <c r="G57" s="23" t="e">
        <f ca="1">_xludf.BETA.INV(W57,'04_PSA_INPUTS'!H10,'04_PSA_INPUTS'!I10)</f>
        <v>#NAME?</v>
      </c>
      <c r="H57" s="23" t="e">
        <f ca="1">_xludf.BETA.INV(X57,'04_PSA_INPUTS'!H11,'04_PSA_INPUTS'!I11)</f>
        <v>#NAME?</v>
      </c>
      <c r="I57" s="27" t="e">
        <f ca="1">D57+B57*F57+'01_INPUTS'!B20</f>
        <v>#NAME?</v>
      </c>
      <c r="J57" s="27" t="e">
        <f ca="1">E57+C57*F57+'01_INPUTS'!B21</f>
        <v>#NAME?</v>
      </c>
      <c r="K57" s="27" t="e">
        <f t="shared" ca="1" si="0"/>
        <v>#NAME?</v>
      </c>
      <c r="L57" s="23" t="e">
        <f t="shared" ca="1" si="1"/>
        <v>#NAME?</v>
      </c>
      <c r="M57" s="23" t="e">
        <f t="shared" ca="1" si="2"/>
        <v>#NAME?</v>
      </c>
      <c r="N57" s="23" t="e">
        <f t="shared" ca="1" si="3"/>
        <v>#NAME?</v>
      </c>
      <c r="O57" s="27" t="e">
        <f t="shared" ca="1" si="4"/>
        <v>#NAME?</v>
      </c>
      <c r="P57" s="27" t="e">
        <f ca="1">'01_INPUTS'!B9*N57-K57</f>
        <v>#NAME?</v>
      </c>
      <c r="Q57" s="1" t="e">
        <f t="shared" ca="1" si="5"/>
        <v>#NAME?</v>
      </c>
      <c r="R57" s="28">
        <v>0.51907592243514955</v>
      </c>
      <c r="S57" s="28">
        <v>0.81966442568227649</v>
      </c>
      <c r="T57" s="28">
        <v>0.77577906008809805</v>
      </c>
      <c r="U57" s="28">
        <v>0.94665283197537065</v>
      </c>
      <c r="V57" s="28">
        <v>3.5866669612005353E-2</v>
      </c>
      <c r="W57" s="28">
        <v>0.65024861972779036</v>
      </c>
      <c r="X57" s="28">
        <v>0.72711968678049743</v>
      </c>
    </row>
    <row r="58" spans="1:24" ht="13.9">
      <c r="A58" s="1">
        <v>57</v>
      </c>
      <c r="B58" s="23" t="e">
        <f ca="1">_xludf.BETA.INV(R58,'04_PSA_INPUTS'!H5,'04_PSA_INPUTS'!I5)</f>
        <v>#NAME?</v>
      </c>
      <c r="C58" s="23" t="e">
        <f ca="1">_xludf.BETA.INV(S58,'04_PSA_INPUTS'!H6,'04_PSA_INPUTS'!I6)</f>
        <v>#NAME?</v>
      </c>
      <c r="D58" s="27" t="e">
        <f ca="1">_xludf.GAMMA.INV(T58,'04_PSA_INPUTS'!H7,'04_PSA_INPUTS'!I7)</f>
        <v>#NAME?</v>
      </c>
      <c r="E58" s="27" t="e">
        <f ca="1">_xludf.GAMMA.INV(U58,'04_PSA_INPUTS'!H8,'04_PSA_INPUTS'!I8)</f>
        <v>#NAME?</v>
      </c>
      <c r="F58" s="27" t="e">
        <f ca="1">_xludf.GAMMA.INV(V58,'04_PSA_INPUTS'!H9,'04_PSA_INPUTS'!I9)</f>
        <v>#NAME?</v>
      </c>
      <c r="G58" s="23" t="e">
        <f ca="1">_xludf.BETA.INV(W58,'04_PSA_INPUTS'!H10,'04_PSA_INPUTS'!I10)</f>
        <v>#NAME?</v>
      </c>
      <c r="H58" s="23" t="e">
        <f ca="1">_xludf.BETA.INV(X58,'04_PSA_INPUTS'!H11,'04_PSA_INPUTS'!I11)</f>
        <v>#NAME?</v>
      </c>
      <c r="I58" s="27" t="e">
        <f ca="1">D58+B58*F58+'01_INPUTS'!B20</f>
        <v>#NAME?</v>
      </c>
      <c r="J58" s="27" t="e">
        <f ca="1">E58+C58*F58+'01_INPUTS'!B21</f>
        <v>#NAME?</v>
      </c>
      <c r="K58" s="27" t="e">
        <f t="shared" ca="1" si="0"/>
        <v>#NAME?</v>
      </c>
      <c r="L58" s="23" t="e">
        <f t="shared" ca="1" si="1"/>
        <v>#NAME?</v>
      </c>
      <c r="M58" s="23" t="e">
        <f t="shared" ca="1" si="2"/>
        <v>#NAME?</v>
      </c>
      <c r="N58" s="23" t="e">
        <f t="shared" ca="1" si="3"/>
        <v>#NAME?</v>
      </c>
      <c r="O58" s="27" t="e">
        <f t="shared" ca="1" si="4"/>
        <v>#NAME?</v>
      </c>
      <c r="P58" s="27" t="e">
        <f ca="1">'01_INPUTS'!B9*N58-K58</f>
        <v>#NAME?</v>
      </c>
      <c r="Q58" s="1" t="e">
        <f t="shared" ca="1" si="5"/>
        <v>#NAME?</v>
      </c>
      <c r="R58" s="28">
        <v>0.25466438313014805</v>
      </c>
      <c r="S58" s="28">
        <v>0.35338652948848903</v>
      </c>
      <c r="T58" s="28">
        <v>0.86373067926615477</v>
      </c>
      <c r="U58" s="28">
        <v>0.69408293929882348</v>
      </c>
      <c r="V58" s="28">
        <v>7.6986090047284961E-2</v>
      </c>
      <c r="W58" s="28">
        <v>0.13659954746253788</v>
      </c>
      <c r="X58" s="28">
        <v>1.1377008631825447E-2</v>
      </c>
    </row>
    <row r="59" spans="1:24" ht="13.9">
      <c r="A59" s="1">
        <v>58</v>
      </c>
      <c r="B59" s="23" t="e">
        <f ca="1">_xludf.BETA.INV(R59,'04_PSA_INPUTS'!H5,'04_PSA_INPUTS'!I5)</f>
        <v>#NAME?</v>
      </c>
      <c r="C59" s="23" t="e">
        <f ca="1">_xludf.BETA.INV(S59,'04_PSA_INPUTS'!H6,'04_PSA_INPUTS'!I6)</f>
        <v>#NAME?</v>
      </c>
      <c r="D59" s="27" t="e">
        <f ca="1">_xludf.GAMMA.INV(T59,'04_PSA_INPUTS'!H7,'04_PSA_INPUTS'!I7)</f>
        <v>#NAME?</v>
      </c>
      <c r="E59" s="27" t="e">
        <f ca="1">_xludf.GAMMA.INV(U59,'04_PSA_INPUTS'!H8,'04_PSA_INPUTS'!I8)</f>
        <v>#NAME?</v>
      </c>
      <c r="F59" s="27" t="e">
        <f ca="1">_xludf.GAMMA.INV(V59,'04_PSA_INPUTS'!H9,'04_PSA_INPUTS'!I9)</f>
        <v>#NAME?</v>
      </c>
      <c r="G59" s="23" t="e">
        <f ca="1">_xludf.BETA.INV(W59,'04_PSA_INPUTS'!H10,'04_PSA_INPUTS'!I10)</f>
        <v>#NAME?</v>
      </c>
      <c r="H59" s="23" t="e">
        <f ca="1">_xludf.BETA.INV(X59,'04_PSA_INPUTS'!H11,'04_PSA_INPUTS'!I11)</f>
        <v>#NAME?</v>
      </c>
      <c r="I59" s="27" t="e">
        <f ca="1">D59+B59*F59+'01_INPUTS'!B20</f>
        <v>#NAME?</v>
      </c>
      <c r="J59" s="27" t="e">
        <f ca="1">E59+C59*F59+'01_INPUTS'!B21</f>
        <v>#NAME?</v>
      </c>
      <c r="K59" s="27" t="e">
        <f t="shared" ca="1" si="0"/>
        <v>#NAME?</v>
      </c>
      <c r="L59" s="23" t="e">
        <f t="shared" ca="1" si="1"/>
        <v>#NAME?</v>
      </c>
      <c r="M59" s="23" t="e">
        <f t="shared" ca="1" si="2"/>
        <v>#NAME?</v>
      </c>
      <c r="N59" s="23" t="e">
        <f t="shared" ca="1" si="3"/>
        <v>#NAME?</v>
      </c>
      <c r="O59" s="27" t="e">
        <f t="shared" ca="1" si="4"/>
        <v>#NAME?</v>
      </c>
      <c r="P59" s="27" t="e">
        <f ca="1">'01_INPUTS'!B9*N59-K59</f>
        <v>#NAME?</v>
      </c>
      <c r="Q59" s="1" t="e">
        <f t="shared" ca="1" si="5"/>
        <v>#NAME?</v>
      </c>
      <c r="R59" s="28">
        <v>0.41649010963737965</v>
      </c>
      <c r="S59" s="28">
        <v>0.24667617818340659</v>
      </c>
      <c r="T59" s="28">
        <v>0.89964220719411969</v>
      </c>
      <c r="U59" s="28">
        <v>0.15754057816229761</v>
      </c>
      <c r="V59" s="28">
        <v>0.38866488472558558</v>
      </c>
      <c r="W59" s="28">
        <v>0.24324866128154099</v>
      </c>
      <c r="X59" s="28">
        <v>0.32197631173767149</v>
      </c>
    </row>
    <row r="60" spans="1:24" ht="13.9">
      <c r="A60" s="1">
        <v>59</v>
      </c>
      <c r="B60" s="23" t="e">
        <f ca="1">_xludf.BETA.INV(R60,'04_PSA_INPUTS'!H5,'04_PSA_INPUTS'!I5)</f>
        <v>#NAME?</v>
      </c>
      <c r="C60" s="23" t="e">
        <f ca="1">_xludf.BETA.INV(S60,'04_PSA_INPUTS'!H6,'04_PSA_INPUTS'!I6)</f>
        <v>#NAME?</v>
      </c>
      <c r="D60" s="27" t="e">
        <f ca="1">_xludf.GAMMA.INV(T60,'04_PSA_INPUTS'!H7,'04_PSA_INPUTS'!I7)</f>
        <v>#NAME?</v>
      </c>
      <c r="E60" s="27" t="e">
        <f ca="1">_xludf.GAMMA.INV(U60,'04_PSA_INPUTS'!H8,'04_PSA_INPUTS'!I8)</f>
        <v>#NAME?</v>
      </c>
      <c r="F60" s="27" t="e">
        <f ca="1">_xludf.GAMMA.INV(V60,'04_PSA_INPUTS'!H9,'04_PSA_INPUTS'!I9)</f>
        <v>#NAME?</v>
      </c>
      <c r="G60" s="23" t="e">
        <f ca="1">_xludf.BETA.INV(W60,'04_PSA_INPUTS'!H10,'04_PSA_INPUTS'!I10)</f>
        <v>#NAME?</v>
      </c>
      <c r="H60" s="23" t="e">
        <f ca="1">_xludf.BETA.INV(X60,'04_PSA_INPUTS'!H11,'04_PSA_INPUTS'!I11)</f>
        <v>#NAME?</v>
      </c>
      <c r="I60" s="27" t="e">
        <f ca="1">D60+B60*F60+'01_INPUTS'!B20</f>
        <v>#NAME?</v>
      </c>
      <c r="J60" s="27" t="e">
        <f ca="1">E60+C60*F60+'01_INPUTS'!B21</f>
        <v>#NAME?</v>
      </c>
      <c r="K60" s="27" t="e">
        <f t="shared" ca="1" si="0"/>
        <v>#NAME?</v>
      </c>
      <c r="L60" s="23" t="e">
        <f t="shared" ca="1" si="1"/>
        <v>#NAME?</v>
      </c>
      <c r="M60" s="23" t="e">
        <f t="shared" ca="1" si="2"/>
        <v>#NAME?</v>
      </c>
      <c r="N60" s="23" t="e">
        <f t="shared" ca="1" si="3"/>
        <v>#NAME?</v>
      </c>
      <c r="O60" s="27" t="e">
        <f t="shared" ca="1" si="4"/>
        <v>#NAME?</v>
      </c>
      <c r="P60" s="27" t="e">
        <f ca="1">'01_INPUTS'!B9*N60-K60</f>
        <v>#NAME?</v>
      </c>
      <c r="Q60" s="1" t="e">
        <f t="shared" ca="1" si="5"/>
        <v>#NAME?</v>
      </c>
      <c r="R60" s="28">
        <v>0.43316418095491827</v>
      </c>
      <c r="S60" s="28">
        <v>0.40115685807541013</v>
      </c>
      <c r="T60" s="28">
        <v>0.24451722600497305</v>
      </c>
      <c r="U60" s="28">
        <v>0.2447428684681654</v>
      </c>
      <c r="V60" s="28">
        <v>8.6550791282206774E-2</v>
      </c>
      <c r="W60" s="28">
        <v>0.91894212574698031</v>
      </c>
      <c r="X60" s="28">
        <v>0.77703832648694515</v>
      </c>
    </row>
    <row r="61" spans="1:24" ht="13.9">
      <c r="A61" s="1">
        <v>60</v>
      </c>
      <c r="B61" s="23" t="e">
        <f ca="1">_xludf.BETA.INV(R61,'04_PSA_INPUTS'!H5,'04_PSA_INPUTS'!I5)</f>
        <v>#NAME?</v>
      </c>
      <c r="C61" s="23" t="e">
        <f ca="1">_xludf.BETA.INV(S61,'04_PSA_INPUTS'!H6,'04_PSA_INPUTS'!I6)</f>
        <v>#NAME?</v>
      </c>
      <c r="D61" s="27" t="e">
        <f ca="1">_xludf.GAMMA.INV(T61,'04_PSA_INPUTS'!H7,'04_PSA_INPUTS'!I7)</f>
        <v>#NAME?</v>
      </c>
      <c r="E61" s="27" t="e">
        <f ca="1">_xludf.GAMMA.INV(U61,'04_PSA_INPUTS'!H8,'04_PSA_INPUTS'!I8)</f>
        <v>#NAME?</v>
      </c>
      <c r="F61" s="27" t="e">
        <f ca="1">_xludf.GAMMA.INV(V61,'04_PSA_INPUTS'!H9,'04_PSA_INPUTS'!I9)</f>
        <v>#NAME?</v>
      </c>
      <c r="G61" s="23" t="e">
        <f ca="1">_xludf.BETA.INV(W61,'04_PSA_INPUTS'!H10,'04_PSA_INPUTS'!I10)</f>
        <v>#NAME?</v>
      </c>
      <c r="H61" s="23" t="e">
        <f ca="1">_xludf.BETA.INV(X61,'04_PSA_INPUTS'!H11,'04_PSA_INPUTS'!I11)</f>
        <v>#NAME?</v>
      </c>
      <c r="I61" s="27" t="e">
        <f ca="1">D61+B61*F61+'01_INPUTS'!B20</f>
        <v>#NAME?</v>
      </c>
      <c r="J61" s="27" t="e">
        <f ca="1">E61+C61*F61+'01_INPUTS'!B21</f>
        <v>#NAME?</v>
      </c>
      <c r="K61" s="27" t="e">
        <f t="shared" ca="1" si="0"/>
        <v>#NAME?</v>
      </c>
      <c r="L61" s="23" t="e">
        <f t="shared" ca="1" si="1"/>
        <v>#NAME?</v>
      </c>
      <c r="M61" s="23" t="e">
        <f t="shared" ca="1" si="2"/>
        <v>#NAME?</v>
      </c>
      <c r="N61" s="23" t="e">
        <f t="shared" ca="1" si="3"/>
        <v>#NAME?</v>
      </c>
      <c r="O61" s="27" t="e">
        <f t="shared" ca="1" si="4"/>
        <v>#NAME?</v>
      </c>
      <c r="P61" s="27" t="e">
        <f ca="1">'01_INPUTS'!B9*N61-K61</f>
        <v>#NAME?</v>
      </c>
      <c r="Q61" s="1" t="e">
        <f t="shared" ca="1" si="5"/>
        <v>#NAME?</v>
      </c>
      <c r="R61" s="28">
        <v>0.61113351467065513</v>
      </c>
      <c r="S61" s="28">
        <v>0.1577863753773272</v>
      </c>
      <c r="T61" s="28">
        <v>0.39957055076956749</v>
      </c>
      <c r="U61" s="28">
        <v>0.43792322231456637</v>
      </c>
      <c r="V61" s="28">
        <v>0.64917821413837373</v>
      </c>
      <c r="W61" s="28">
        <v>0.17199391685426235</v>
      </c>
      <c r="X61" s="28">
        <v>0.42668380215764046</v>
      </c>
    </row>
    <row r="62" spans="1:24" ht="13.9">
      <c r="A62" s="1">
        <v>61</v>
      </c>
      <c r="B62" s="23" t="e">
        <f ca="1">_xludf.BETA.INV(R62,'04_PSA_INPUTS'!H5,'04_PSA_INPUTS'!I5)</f>
        <v>#NAME?</v>
      </c>
      <c r="C62" s="23" t="e">
        <f ca="1">_xludf.BETA.INV(S62,'04_PSA_INPUTS'!H6,'04_PSA_INPUTS'!I6)</f>
        <v>#NAME?</v>
      </c>
      <c r="D62" s="27" t="e">
        <f ca="1">_xludf.GAMMA.INV(T62,'04_PSA_INPUTS'!H7,'04_PSA_INPUTS'!I7)</f>
        <v>#NAME?</v>
      </c>
      <c r="E62" s="27" t="e">
        <f ca="1">_xludf.GAMMA.INV(U62,'04_PSA_INPUTS'!H8,'04_PSA_INPUTS'!I8)</f>
        <v>#NAME?</v>
      </c>
      <c r="F62" s="27" t="e">
        <f ca="1">_xludf.GAMMA.INV(V62,'04_PSA_INPUTS'!H9,'04_PSA_INPUTS'!I9)</f>
        <v>#NAME?</v>
      </c>
      <c r="G62" s="23" t="e">
        <f ca="1">_xludf.BETA.INV(W62,'04_PSA_INPUTS'!H10,'04_PSA_INPUTS'!I10)</f>
        <v>#NAME?</v>
      </c>
      <c r="H62" s="23" t="e">
        <f ca="1">_xludf.BETA.INV(X62,'04_PSA_INPUTS'!H11,'04_PSA_INPUTS'!I11)</f>
        <v>#NAME?</v>
      </c>
      <c r="I62" s="27" t="e">
        <f ca="1">D62+B62*F62+'01_INPUTS'!B20</f>
        <v>#NAME?</v>
      </c>
      <c r="J62" s="27" t="e">
        <f ca="1">E62+C62*F62+'01_INPUTS'!B21</f>
        <v>#NAME?</v>
      </c>
      <c r="K62" s="27" t="e">
        <f t="shared" ca="1" si="0"/>
        <v>#NAME?</v>
      </c>
      <c r="L62" s="23" t="e">
        <f t="shared" ca="1" si="1"/>
        <v>#NAME?</v>
      </c>
      <c r="M62" s="23" t="e">
        <f t="shared" ca="1" si="2"/>
        <v>#NAME?</v>
      </c>
      <c r="N62" s="23" t="e">
        <f t="shared" ca="1" si="3"/>
        <v>#NAME?</v>
      </c>
      <c r="O62" s="27" t="e">
        <f t="shared" ca="1" si="4"/>
        <v>#NAME?</v>
      </c>
      <c r="P62" s="27" t="e">
        <f ca="1">'01_INPUTS'!B9*N62-K62</f>
        <v>#NAME?</v>
      </c>
      <c r="Q62" s="1" t="e">
        <f t="shared" ca="1" si="5"/>
        <v>#NAME?</v>
      </c>
      <c r="R62" s="28">
        <v>0.56730438186787069</v>
      </c>
      <c r="S62" s="28">
        <v>0.86244463291950524</v>
      </c>
      <c r="T62" s="28">
        <v>0.50872287340462208</v>
      </c>
      <c r="U62" s="28">
        <v>3.0980660580098629E-2</v>
      </c>
      <c r="V62" s="28">
        <v>0.89381461427547038</v>
      </c>
      <c r="W62" s="28">
        <v>0.58869837853126228</v>
      </c>
      <c r="X62" s="28">
        <v>0.46892409375868738</v>
      </c>
    </row>
    <row r="63" spans="1:24" ht="13.9">
      <c r="A63" s="1">
        <v>62</v>
      </c>
      <c r="B63" s="23" t="e">
        <f ca="1">_xludf.BETA.INV(R63,'04_PSA_INPUTS'!H5,'04_PSA_INPUTS'!I5)</f>
        <v>#NAME?</v>
      </c>
      <c r="C63" s="23" t="e">
        <f ca="1">_xludf.BETA.INV(S63,'04_PSA_INPUTS'!H6,'04_PSA_INPUTS'!I6)</f>
        <v>#NAME?</v>
      </c>
      <c r="D63" s="27" t="e">
        <f ca="1">_xludf.GAMMA.INV(T63,'04_PSA_INPUTS'!H7,'04_PSA_INPUTS'!I7)</f>
        <v>#NAME?</v>
      </c>
      <c r="E63" s="27" t="e">
        <f ca="1">_xludf.GAMMA.INV(U63,'04_PSA_INPUTS'!H8,'04_PSA_INPUTS'!I8)</f>
        <v>#NAME?</v>
      </c>
      <c r="F63" s="27" t="e">
        <f ca="1">_xludf.GAMMA.INV(V63,'04_PSA_INPUTS'!H9,'04_PSA_INPUTS'!I9)</f>
        <v>#NAME?</v>
      </c>
      <c r="G63" s="23" t="e">
        <f ca="1">_xludf.BETA.INV(W63,'04_PSA_INPUTS'!H10,'04_PSA_INPUTS'!I10)</f>
        <v>#NAME?</v>
      </c>
      <c r="H63" s="23" t="e">
        <f ca="1">_xludf.BETA.INV(X63,'04_PSA_INPUTS'!H11,'04_PSA_INPUTS'!I11)</f>
        <v>#NAME?</v>
      </c>
      <c r="I63" s="27" t="e">
        <f ca="1">D63+B63*F63+'01_INPUTS'!B20</f>
        <v>#NAME?</v>
      </c>
      <c r="J63" s="27" t="e">
        <f ca="1">E63+C63*F63+'01_INPUTS'!B21</f>
        <v>#NAME?</v>
      </c>
      <c r="K63" s="27" t="e">
        <f t="shared" ca="1" si="0"/>
        <v>#NAME?</v>
      </c>
      <c r="L63" s="23" t="e">
        <f t="shared" ca="1" si="1"/>
        <v>#NAME?</v>
      </c>
      <c r="M63" s="23" t="e">
        <f t="shared" ca="1" si="2"/>
        <v>#NAME?</v>
      </c>
      <c r="N63" s="23" t="e">
        <f t="shared" ca="1" si="3"/>
        <v>#NAME?</v>
      </c>
      <c r="O63" s="27" t="e">
        <f t="shared" ca="1" si="4"/>
        <v>#NAME?</v>
      </c>
      <c r="P63" s="27" t="e">
        <f ca="1">'01_INPUTS'!B9*N63-K63</f>
        <v>#NAME?</v>
      </c>
      <c r="Q63" s="1" t="e">
        <f t="shared" ca="1" si="5"/>
        <v>#NAME?</v>
      </c>
      <c r="R63" s="28">
        <v>0.83563791261985898</v>
      </c>
      <c r="S63" s="28">
        <v>0.77514508552849293</v>
      </c>
      <c r="T63" s="28">
        <v>0.72633873438462615</v>
      </c>
      <c r="U63" s="28">
        <v>0.83384934416972101</v>
      </c>
      <c r="V63" s="28">
        <v>0.12569141597487032</v>
      </c>
      <c r="W63" s="28">
        <v>0.895040427101776</v>
      </c>
      <c r="X63" s="28">
        <v>0.8436439554207027</v>
      </c>
    </row>
    <row r="64" spans="1:24" ht="13.9">
      <c r="A64" s="1">
        <v>63</v>
      </c>
      <c r="B64" s="23" t="e">
        <f ca="1">_xludf.BETA.INV(R64,'04_PSA_INPUTS'!H5,'04_PSA_INPUTS'!I5)</f>
        <v>#NAME?</v>
      </c>
      <c r="C64" s="23" t="e">
        <f ca="1">_xludf.BETA.INV(S64,'04_PSA_INPUTS'!H6,'04_PSA_INPUTS'!I6)</f>
        <v>#NAME?</v>
      </c>
      <c r="D64" s="27" t="e">
        <f ca="1">_xludf.GAMMA.INV(T64,'04_PSA_INPUTS'!H7,'04_PSA_INPUTS'!I7)</f>
        <v>#NAME?</v>
      </c>
      <c r="E64" s="27" t="e">
        <f ca="1">_xludf.GAMMA.INV(U64,'04_PSA_INPUTS'!H8,'04_PSA_INPUTS'!I8)</f>
        <v>#NAME?</v>
      </c>
      <c r="F64" s="27" t="e">
        <f ca="1">_xludf.GAMMA.INV(V64,'04_PSA_INPUTS'!H9,'04_PSA_INPUTS'!I9)</f>
        <v>#NAME?</v>
      </c>
      <c r="G64" s="23" t="e">
        <f ca="1">_xludf.BETA.INV(W64,'04_PSA_INPUTS'!H10,'04_PSA_INPUTS'!I10)</f>
        <v>#NAME?</v>
      </c>
      <c r="H64" s="23" t="e">
        <f ca="1">_xludf.BETA.INV(X64,'04_PSA_INPUTS'!H11,'04_PSA_INPUTS'!I11)</f>
        <v>#NAME?</v>
      </c>
      <c r="I64" s="27" t="e">
        <f ca="1">D64+B64*F64+'01_INPUTS'!B20</f>
        <v>#NAME?</v>
      </c>
      <c r="J64" s="27" t="e">
        <f ca="1">E64+C64*F64+'01_INPUTS'!B21</f>
        <v>#NAME?</v>
      </c>
      <c r="K64" s="27" t="e">
        <f t="shared" ca="1" si="0"/>
        <v>#NAME?</v>
      </c>
      <c r="L64" s="23" t="e">
        <f t="shared" ca="1" si="1"/>
        <v>#NAME?</v>
      </c>
      <c r="M64" s="23" t="e">
        <f t="shared" ca="1" si="2"/>
        <v>#NAME?</v>
      </c>
      <c r="N64" s="23" t="e">
        <f t="shared" ca="1" si="3"/>
        <v>#NAME?</v>
      </c>
      <c r="O64" s="27" t="e">
        <f t="shared" ca="1" si="4"/>
        <v>#NAME?</v>
      </c>
      <c r="P64" s="27" t="e">
        <f ca="1">'01_INPUTS'!B9*N64-K64</f>
        <v>#NAME?</v>
      </c>
      <c r="Q64" s="1" t="e">
        <f t="shared" ca="1" si="5"/>
        <v>#NAME?</v>
      </c>
      <c r="R64" s="28">
        <v>0.93119015311822295</v>
      </c>
      <c r="S64" s="28">
        <v>0.88722873805090785</v>
      </c>
      <c r="T64" s="28">
        <v>0.78477486525662243</v>
      </c>
      <c r="U64" s="28">
        <v>5.7358734775334597E-3</v>
      </c>
      <c r="V64" s="28">
        <v>0.44903591508045793</v>
      </c>
      <c r="W64" s="28">
        <v>0.89305129088461399</v>
      </c>
      <c r="X64" s="28">
        <v>0.48043633555062115</v>
      </c>
    </row>
    <row r="65" spans="1:24" ht="13.9">
      <c r="A65" s="1">
        <v>64</v>
      </c>
      <c r="B65" s="23" t="e">
        <f ca="1">_xludf.BETA.INV(R65,'04_PSA_INPUTS'!H5,'04_PSA_INPUTS'!I5)</f>
        <v>#NAME?</v>
      </c>
      <c r="C65" s="23" t="e">
        <f ca="1">_xludf.BETA.INV(S65,'04_PSA_INPUTS'!H6,'04_PSA_INPUTS'!I6)</f>
        <v>#NAME?</v>
      </c>
      <c r="D65" s="27" t="e">
        <f ca="1">_xludf.GAMMA.INV(T65,'04_PSA_INPUTS'!H7,'04_PSA_INPUTS'!I7)</f>
        <v>#NAME?</v>
      </c>
      <c r="E65" s="27" t="e">
        <f ca="1">_xludf.GAMMA.INV(U65,'04_PSA_INPUTS'!H8,'04_PSA_INPUTS'!I8)</f>
        <v>#NAME?</v>
      </c>
      <c r="F65" s="27" t="e">
        <f ca="1">_xludf.GAMMA.INV(V65,'04_PSA_INPUTS'!H9,'04_PSA_INPUTS'!I9)</f>
        <v>#NAME?</v>
      </c>
      <c r="G65" s="23" t="e">
        <f ca="1">_xludf.BETA.INV(W65,'04_PSA_INPUTS'!H10,'04_PSA_INPUTS'!I10)</f>
        <v>#NAME?</v>
      </c>
      <c r="H65" s="23" t="e">
        <f ca="1">_xludf.BETA.INV(X65,'04_PSA_INPUTS'!H11,'04_PSA_INPUTS'!I11)</f>
        <v>#NAME?</v>
      </c>
      <c r="I65" s="27" t="e">
        <f ca="1">D65+B65*F65+'01_INPUTS'!B20</f>
        <v>#NAME?</v>
      </c>
      <c r="J65" s="27" t="e">
        <f ca="1">E65+C65*F65+'01_INPUTS'!B21</f>
        <v>#NAME?</v>
      </c>
      <c r="K65" s="27" t="e">
        <f t="shared" ca="1" si="0"/>
        <v>#NAME?</v>
      </c>
      <c r="L65" s="23" t="e">
        <f t="shared" ca="1" si="1"/>
        <v>#NAME?</v>
      </c>
      <c r="M65" s="23" t="e">
        <f t="shared" ca="1" si="2"/>
        <v>#NAME?</v>
      </c>
      <c r="N65" s="23" t="e">
        <f t="shared" ca="1" si="3"/>
        <v>#NAME?</v>
      </c>
      <c r="O65" s="27" t="e">
        <f t="shared" ca="1" si="4"/>
        <v>#NAME?</v>
      </c>
      <c r="P65" s="27" t="e">
        <f ca="1">'01_INPUTS'!B9*N65-K65</f>
        <v>#NAME?</v>
      </c>
      <c r="Q65" s="1" t="e">
        <f t="shared" ca="1" si="5"/>
        <v>#NAME?</v>
      </c>
      <c r="R65" s="28">
        <v>0.73162901098839939</v>
      </c>
      <c r="S65" s="28">
        <v>0.35835452470928431</v>
      </c>
      <c r="T65" s="28">
        <v>0.26201555249281228</v>
      </c>
      <c r="U65" s="28">
        <v>0.317498161457479</v>
      </c>
      <c r="V65" s="28">
        <v>0.38806296745315194</v>
      </c>
      <c r="W65" s="28">
        <v>0.7266665359493345</v>
      </c>
      <c r="X65" s="28">
        <v>0.78746555186808109</v>
      </c>
    </row>
    <row r="66" spans="1:24" ht="13.9">
      <c r="A66" s="1">
        <v>65</v>
      </c>
      <c r="B66" s="23" t="e">
        <f ca="1">_xludf.BETA.INV(R66,'04_PSA_INPUTS'!H5,'04_PSA_INPUTS'!I5)</f>
        <v>#NAME?</v>
      </c>
      <c r="C66" s="23" t="e">
        <f ca="1">_xludf.BETA.INV(S66,'04_PSA_INPUTS'!H6,'04_PSA_INPUTS'!I6)</f>
        <v>#NAME?</v>
      </c>
      <c r="D66" s="27" t="e">
        <f ca="1">_xludf.GAMMA.INV(T66,'04_PSA_INPUTS'!H7,'04_PSA_INPUTS'!I7)</f>
        <v>#NAME?</v>
      </c>
      <c r="E66" s="27" t="e">
        <f ca="1">_xludf.GAMMA.INV(U66,'04_PSA_INPUTS'!H8,'04_PSA_INPUTS'!I8)</f>
        <v>#NAME?</v>
      </c>
      <c r="F66" s="27" t="e">
        <f ca="1">_xludf.GAMMA.INV(V66,'04_PSA_INPUTS'!H9,'04_PSA_INPUTS'!I9)</f>
        <v>#NAME?</v>
      </c>
      <c r="G66" s="23" t="e">
        <f ca="1">_xludf.BETA.INV(W66,'04_PSA_INPUTS'!H10,'04_PSA_INPUTS'!I10)</f>
        <v>#NAME?</v>
      </c>
      <c r="H66" s="23" t="e">
        <f ca="1">_xludf.BETA.INV(X66,'04_PSA_INPUTS'!H11,'04_PSA_INPUTS'!I11)</f>
        <v>#NAME?</v>
      </c>
      <c r="I66" s="27" t="e">
        <f ca="1">D66+B66*F66+'01_INPUTS'!B20</f>
        <v>#NAME?</v>
      </c>
      <c r="J66" s="27" t="e">
        <f ca="1">E66+C66*F66+'01_INPUTS'!B21</f>
        <v>#NAME?</v>
      </c>
      <c r="K66" s="27" t="e">
        <f t="shared" ref="K66:K129" ca="1" si="6">I66-J66</f>
        <v>#NAME?</v>
      </c>
      <c r="L66" s="23" t="e">
        <f t="shared" ref="L66:L129" ca="1" si="7">G66-B66*H66</f>
        <v>#NAME?</v>
      </c>
      <c r="M66" s="23" t="e">
        <f t="shared" ref="M66:M129" ca="1" si="8">G66-C66*H66</f>
        <v>#NAME?</v>
      </c>
      <c r="N66" s="23" t="e">
        <f t="shared" ref="N66:N129" ca="1" si="9">L66-M66</f>
        <v>#NAME?</v>
      </c>
      <c r="O66" s="27" t="e">
        <f t="shared" ref="O66:O129" ca="1" si="10">IF(N66=0,"",K66/N66)</f>
        <v>#NAME?</v>
      </c>
      <c r="P66" s="27" t="e">
        <f ca="1">'01_INPUTS'!B9*N66-K66</f>
        <v>#NAME?</v>
      </c>
      <c r="Q66" s="1" t="e">
        <f t="shared" ref="Q66:Q129" ca="1" si="11">IF(P66&gt;0,1,0)</f>
        <v>#NAME?</v>
      </c>
      <c r="R66" s="28">
        <v>0.27252415148541331</v>
      </c>
      <c r="S66" s="28">
        <v>0.40467031579464674</v>
      </c>
      <c r="T66" s="28">
        <v>0.20347587973810732</v>
      </c>
      <c r="U66" s="28">
        <v>0.82032327819615602</v>
      </c>
      <c r="V66" s="28">
        <v>0.40813953150063753</v>
      </c>
      <c r="W66" s="28">
        <v>0.7756793312728405</v>
      </c>
      <c r="X66" s="28">
        <v>0.42982490407302976</v>
      </c>
    </row>
    <row r="67" spans="1:24" ht="13.9">
      <c r="A67" s="1">
        <v>66</v>
      </c>
      <c r="B67" s="23" t="e">
        <f ca="1">_xludf.BETA.INV(R67,'04_PSA_INPUTS'!H5,'04_PSA_INPUTS'!I5)</f>
        <v>#NAME?</v>
      </c>
      <c r="C67" s="23" t="e">
        <f ca="1">_xludf.BETA.INV(S67,'04_PSA_INPUTS'!H6,'04_PSA_INPUTS'!I6)</f>
        <v>#NAME?</v>
      </c>
      <c r="D67" s="27" t="e">
        <f ca="1">_xludf.GAMMA.INV(T67,'04_PSA_INPUTS'!H7,'04_PSA_INPUTS'!I7)</f>
        <v>#NAME?</v>
      </c>
      <c r="E67" s="27" t="e">
        <f ca="1">_xludf.GAMMA.INV(U67,'04_PSA_INPUTS'!H8,'04_PSA_INPUTS'!I8)</f>
        <v>#NAME?</v>
      </c>
      <c r="F67" s="27" t="e">
        <f ca="1">_xludf.GAMMA.INV(V67,'04_PSA_INPUTS'!H9,'04_PSA_INPUTS'!I9)</f>
        <v>#NAME?</v>
      </c>
      <c r="G67" s="23" t="e">
        <f ca="1">_xludf.BETA.INV(W67,'04_PSA_INPUTS'!H10,'04_PSA_INPUTS'!I10)</f>
        <v>#NAME?</v>
      </c>
      <c r="H67" s="23" t="e">
        <f ca="1">_xludf.BETA.INV(X67,'04_PSA_INPUTS'!H11,'04_PSA_INPUTS'!I11)</f>
        <v>#NAME?</v>
      </c>
      <c r="I67" s="27" t="e">
        <f ca="1">D67+B67*F67+'01_INPUTS'!B20</f>
        <v>#NAME?</v>
      </c>
      <c r="J67" s="27" t="e">
        <f ca="1">E67+C67*F67+'01_INPUTS'!B21</f>
        <v>#NAME?</v>
      </c>
      <c r="K67" s="27" t="e">
        <f t="shared" ca="1" si="6"/>
        <v>#NAME?</v>
      </c>
      <c r="L67" s="23" t="e">
        <f t="shared" ca="1" si="7"/>
        <v>#NAME?</v>
      </c>
      <c r="M67" s="23" t="e">
        <f t="shared" ca="1" si="8"/>
        <v>#NAME?</v>
      </c>
      <c r="N67" s="23" t="e">
        <f t="shared" ca="1" si="9"/>
        <v>#NAME?</v>
      </c>
      <c r="O67" s="27" t="e">
        <f t="shared" ca="1" si="10"/>
        <v>#NAME?</v>
      </c>
      <c r="P67" s="27" t="e">
        <f ca="1">'01_INPUTS'!B9*N67-K67</f>
        <v>#NAME?</v>
      </c>
      <c r="Q67" s="1" t="e">
        <f t="shared" ca="1" si="11"/>
        <v>#NAME?</v>
      </c>
      <c r="R67" s="28">
        <v>0.10822870349511504</v>
      </c>
      <c r="S67" s="28">
        <v>0.8235315284691751</v>
      </c>
      <c r="T67" s="28">
        <v>0.58657566620968282</v>
      </c>
      <c r="U67" s="28">
        <v>0.84095137659460306</v>
      </c>
      <c r="V67" s="28">
        <v>0.82352039264515042</v>
      </c>
      <c r="W67" s="28">
        <v>0.52329611266031861</v>
      </c>
      <c r="X67" s="28">
        <v>0.55647391523234546</v>
      </c>
    </row>
    <row r="68" spans="1:24" ht="13.9">
      <c r="A68" s="1">
        <v>67</v>
      </c>
      <c r="B68" s="23" t="e">
        <f ca="1">_xludf.BETA.INV(R68,'04_PSA_INPUTS'!H5,'04_PSA_INPUTS'!I5)</f>
        <v>#NAME?</v>
      </c>
      <c r="C68" s="23" t="e">
        <f ca="1">_xludf.BETA.INV(S68,'04_PSA_INPUTS'!H6,'04_PSA_INPUTS'!I6)</f>
        <v>#NAME?</v>
      </c>
      <c r="D68" s="27" t="e">
        <f ca="1">_xludf.GAMMA.INV(T68,'04_PSA_INPUTS'!H7,'04_PSA_INPUTS'!I7)</f>
        <v>#NAME?</v>
      </c>
      <c r="E68" s="27" t="e">
        <f ca="1">_xludf.GAMMA.INV(U68,'04_PSA_INPUTS'!H8,'04_PSA_INPUTS'!I8)</f>
        <v>#NAME?</v>
      </c>
      <c r="F68" s="27" t="e">
        <f ca="1">_xludf.GAMMA.INV(V68,'04_PSA_INPUTS'!H9,'04_PSA_INPUTS'!I9)</f>
        <v>#NAME?</v>
      </c>
      <c r="G68" s="23" t="e">
        <f ca="1">_xludf.BETA.INV(W68,'04_PSA_INPUTS'!H10,'04_PSA_INPUTS'!I10)</f>
        <v>#NAME?</v>
      </c>
      <c r="H68" s="23" t="e">
        <f ca="1">_xludf.BETA.INV(X68,'04_PSA_INPUTS'!H11,'04_PSA_INPUTS'!I11)</f>
        <v>#NAME?</v>
      </c>
      <c r="I68" s="27" t="e">
        <f ca="1">D68+B68*F68+'01_INPUTS'!B20</f>
        <v>#NAME?</v>
      </c>
      <c r="J68" s="27" t="e">
        <f ca="1">E68+C68*F68+'01_INPUTS'!B21</f>
        <v>#NAME?</v>
      </c>
      <c r="K68" s="27" t="e">
        <f t="shared" ca="1" si="6"/>
        <v>#NAME?</v>
      </c>
      <c r="L68" s="23" t="e">
        <f t="shared" ca="1" si="7"/>
        <v>#NAME?</v>
      </c>
      <c r="M68" s="23" t="e">
        <f t="shared" ca="1" si="8"/>
        <v>#NAME?</v>
      </c>
      <c r="N68" s="23" t="e">
        <f t="shared" ca="1" si="9"/>
        <v>#NAME?</v>
      </c>
      <c r="O68" s="27" t="e">
        <f t="shared" ca="1" si="10"/>
        <v>#NAME?</v>
      </c>
      <c r="P68" s="27" t="e">
        <f ca="1">'01_INPUTS'!B9*N68-K68</f>
        <v>#NAME?</v>
      </c>
      <c r="Q68" s="1" t="e">
        <f t="shared" ca="1" si="11"/>
        <v>#NAME?</v>
      </c>
      <c r="R68" s="28">
        <v>0.58136943960562348</v>
      </c>
      <c r="S68" s="28">
        <v>0.70913062104955316</v>
      </c>
      <c r="T68" s="28">
        <v>0.81637197593227029</v>
      </c>
      <c r="U68" s="28">
        <v>0.46792639489285648</v>
      </c>
      <c r="V68" s="28">
        <v>0.25429643201641738</v>
      </c>
      <c r="W68" s="28">
        <v>0.34149193740449846</v>
      </c>
      <c r="X68" s="28">
        <v>0.66366171091794968</v>
      </c>
    </row>
    <row r="69" spans="1:24" ht="13.9">
      <c r="A69" s="1">
        <v>68</v>
      </c>
      <c r="B69" s="23" t="e">
        <f ca="1">_xludf.BETA.INV(R69,'04_PSA_INPUTS'!H5,'04_PSA_INPUTS'!I5)</f>
        <v>#NAME?</v>
      </c>
      <c r="C69" s="23" t="e">
        <f ca="1">_xludf.BETA.INV(S69,'04_PSA_INPUTS'!H6,'04_PSA_INPUTS'!I6)</f>
        <v>#NAME?</v>
      </c>
      <c r="D69" s="27" t="e">
        <f ca="1">_xludf.GAMMA.INV(T69,'04_PSA_INPUTS'!H7,'04_PSA_INPUTS'!I7)</f>
        <v>#NAME?</v>
      </c>
      <c r="E69" s="27" t="e">
        <f ca="1">_xludf.GAMMA.INV(U69,'04_PSA_INPUTS'!H8,'04_PSA_INPUTS'!I8)</f>
        <v>#NAME?</v>
      </c>
      <c r="F69" s="27" t="e">
        <f ca="1">_xludf.GAMMA.INV(V69,'04_PSA_INPUTS'!H9,'04_PSA_INPUTS'!I9)</f>
        <v>#NAME?</v>
      </c>
      <c r="G69" s="23" t="e">
        <f ca="1">_xludf.BETA.INV(W69,'04_PSA_INPUTS'!H10,'04_PSA_INPUTS'!I10)</f>
        <v>#NAME?</v>
      </c>
      <c r="H69" s="23" t="e">
        <f ca="1">_xludf.BETA.INV(X69,'04_PSA_INPUTS'!H11,'04_PSA_INPUTS'!I11)</f>
        <v>#NAME?</v>
      </c>
      <c r="I69" s="27" t="e">
        <f ca="1">D69+B69*F69+'01_INPUTS'!B20</f>
        <v>#NAME?</v>
      </c>
      <c r="J69" s="27" t="e">
        <f ca="1">E69+C69*F69+'01_INPUTS'!B21</f>
        <v>#NAME?</v>
      </c>
      <c r="K69" s="27" t="e">
        <f t="shared" ca="1" si="6"/>
        <v>#NAME?</v>
      </c>
      <c r="L69" s="23" t="e">
        <f t="shared" ca="1" si="7"/>
        <v>#NAME?</v>
      </c>
      <c r="M69" s="23" t="e">
        <f t="shared" ca="1" si="8"/>
        <v>#NAME?</v>
      </c>
      <c r="N69" s="23" t="e">
        <f t="shared" ca="1" si="9"/>
        <v>#NAME?</v>
      </c>
      <c r="O69" s="27" t="e">
        <f t="shared" ca="1" si="10"/>
        <v>#NAME?</v>
      </c>
      <c r="P69" s="27" t="e">
        <f ca="1">'01_INPUTS'!B9*N69-K69</f>
        <v>#NAME?</v>
      </c>
      <c r="Q69" s="1" t="e">
        <f t="shared" ca="1" si="11"/>
        <v>#NAME?</v>
      </c>
      <c r="R69" s="28">
        <v>0.69440161040984094</v>
      </c>
      <c r="S69" s="28">
        <v>0.1671495302580297</v>
      </c>
      <c r="T69" s="28">
        <v>0.46928270906209946</v>
      </c>
      <c r="U69" s="28">
        <v>0.99592658202163875</v>
      </c>
      <c r="V69" s="28">
        <v>0.47018159157596529</v>
      </c>
      <c r="W69" s="28">
        <v>0.52303871349431574</v>
      </c>
      <c r="X69" s="28">
        <v>0.88944837683811784</v>
      </c>
    </row>
    <row r="70" spans="1:24" ht="13.9">
      <c r="A70" s="1">
        <v>69</v>
      </c>
      <c r="B70" s="23" t="e">
        <f ca="1">_xludf.BETA.INV(R70,'04_PSA_INPUTS'!H5,'04_PSA_INPUTS'!I5)</f>
        <v>#NAME?</v>
      </c>
      <c r="C70" s="23" t="e">
        <f ca="1">_xludf.BETA.INV(S70,'04_PSA_INPUTS'!H6,'04_PSA_INPUTS'!I6)</f>
        <v>#NAME?</v>
      </c>
      <c r="D70" s="27" t="e">
        <f ca="1">_xludf.GAMMA.INV(T70,'04_PSA_INPUTS'!H7,'04_PSA_INPUTS'!I7)</f>
        <v>#NAME?</v>
      </c>
      <c r="E70" s="27" t="e">
        <f ca="1">_xludf.GAMMA.INV(U70,'04_PSA_INPUTS'!H8,'04_PSA_INPUTS'!I8)</f>
        <v>#NAME?</v>
      </c>
      <c r="F70" s="27" t="e">
        <f ca="1">_xludf.GAMMA.INV(V70,'04_PSA_INPUTS'!H9,'04_PSA_INPUTS'!I9)</f>
        <v>#NAME?</v>
      </c>
      <c r="G70" s="23" t="e">
        <f ca="1">_xludf.BETA.INV(W70,'04_PSA_INPUTS'!H10,'04_PSA_INPUTS'!I10)</f>
        <v>#NAME?</v>
      </c>
      <c r="H70" s="23" t="e">
        <f ca="1">_xludf.BETA.INV(X70,'04_PSA_INPUTS'!H11,'04_PSA_INPUTS'!I11)</f>
        <v>#NAME?</v>
      </c>
      <c r="I70" s="27" t="e">
        <f ca="1">D70+B70*F70+'01_INPUTS'!B20</f>
        <v>#NAME?</v>
      </c>
      <c r="J70" s="27" t="e">
        <f ca="1">E70+C70*F70+'01_INPUTS'!B21</f>
        <v>#NAME?</v>
      </c>
      <c r="K70" s="27" t="e">
        <f t="shared" ca="1" si="6"/>
        <v>#NAME?</v>
      </c>
      <c r="L70" s="23" t="e">
        <f t="shared" ca="1" si="7"/>
        <v>#NAME?</v>
      </c>
      <c r="M70" s="23" t="e">
        <f t="shared" ca="1" si="8"/>
        <v>#NAME?</v>
      </c>
      <c r="N70" s="23" t="e">
        <f t="shared" ca="1" si="9"/>
        <v>#NAME?</v>
      </c>
      <c r="O70" s="27" t="e">
        <f t="shared" ca="1" si="10"/>
        <v>#NAME?</v>
      </c>
      <c r="P70" s="27" t="e">
        <f ca="1">'01_INPUTS'!B9*N70-K70</f>
        <v>#NAME?</v>
      </c>
      <c r="Q70" s="1" t="e">
        <f t="shared" ca="1" si="11"/>
        <v>#NAME?</v>
      </c>
      <c r="R70" s="28">
        <v>0.34958902653306723</v>
      </c>
      <c r="S70" s="28">
        <v>0.68021425628103316</v>
      </c>
      <c r="T70" s="28">
        <v>0.60820093122310936</v>
      </c>
      <c r="U70" s="28">
        <v>0.86050506518222392</v>
      </c>
      <c r="V70" s="28">
        <v>0.62047801492735744</v>
      </c>
      <c r="W70" s="28">
        <v>0.53810105542652309</v>
      </c>
      <c r="X70" s="28">
        <v>0.33901380584575236</v>
      </c>
    </row>
    <row r="71" spans="1:24" ht="13.9">
      <c r="A71" s="1">
        <v>70</v>
      </c>
      <c r="B71" s="23" t="e">
        <f ca="1">_xludf.BETA.INV(R71,'04_PSA_INPUTS'!H5,'04_PSA_INPUTS'!I5)</f>
        <v>#NAME?</v>
      </c>
      <c r="C71" s="23" t="e">
        <f ca="1">_xludf.BETA.INV(S71,'04_PSA_INPUTS'!H6,'04_PSA_INPUTS'!I6)</f>
        <v>#NAME?</v>
      </c>
      <c r="D71" s="27" t="e">
        <f ca="1">_xludf.GAMMA.INV(T71,'04_PSA_INPUTS'!H7,'04_PSA_INPUTS'!I7)</f>
        <v>#NAME?</v>
      </c>
      <c r="E71" s="27" t="e">
        <f ca="1">_xludf.GAMMA.INV(U71,'04_PSA_INPUTS'!H8,'04_PSA_INPUTS'!I8)</f>
        <v>#NAME?</v>
      </c>
      <c r="F71" s="27" t="e">
        <f ca="1">_xludf.GAMMA.INV(V71,'04_PSA_INPUTS'!H9,'04_PSA_INPUTS'!I9)</f>
        <v>#NAME?</v>
      </c>
      <c r="G71" s="23" t="e">
        <f ca="1">_xludf.BETA.INV(W71,'04_PSA_INPUTS'!H10,'04_PSA_INPUTS'!I10)</f>
        <v>#NAME?</v>
      </c>
      <c r="H71" s="23" t="e">
        <f ca="1">_xludf.BETA.INV(X71,'04_PSA_INPUTS'!H11,'04_PSA_INPUTS'!I11)</f>
        <v>#NAME?</v>
      </c>
      <c r="I71" s="27" t="e">
        <f ca="1">D71+B71*F71+'01_INPUTS'!B20</f>
        <v>#NAME?</v>
      </c>
      <c r="J71" s="27" t="e">
        <f ca="1">E71+C71*F71+'01_INPUTS'!B21</f>
        <v>#NAME?</v>
      </c>
      <c r="K71" s="27" t="e">
        <f t="shared" ca="1" si="6"/>
        <v>#NAME?</v>
      </c>
      <c r="L71" s="23" t="e">
        <f t="shared" ca="1" si="7"/>
        <v>#NAME?</v>
      </c>
      <c r="M71" s="23" t="e">
        <f t="shared" ca="1" si="8"/>
        <v>#NAME?</v>
      </c>
      <c r="N71" s="23" t="e">
        <f t="shared" ca="1" si="9"/>
        <v>#NAME?</v>
      </c>
      <c r="O71" s="27" t="e">
        <f t="shared" ca="1" si="10"/>
        <v>#NAME?</v>
      </c>
      <c r="P71" s="27" t="e">
        <f ca="1">'01_INPUTS'!B9*N71-K71</f>
        <v>#NAME?</v>
      </c>
      <c r="Q71" s="1" t="e">
        <f t="shared" ca="1" si="11"/>
        <v>#NAME?</v>
      </c>
      <c r="R71" s="28">
        <v>0.12647814420051873</v>
      </c>
      <c r="S71" s="28">
        <v>0.51435589673928916</v>
      </c>
      <c r="T71" s="28">
        <v>0.53406878677196801</v>
      </c>
      <c r="U71" s="28">
        <v>0.75807523727416992</v>
      </c>
      <c r="V71" s="28">
        <v>0.23983422736637294</v>
      </c>
      <c r="W71" s="28">
        <v>0.80978547711856663</v>
      </c>
      <c r="X71" s="28">
        <v>0.21196018508635461</v>
      </c>
    </row>
    <row r="72" spans="1:24" ht="13.9">
      <c r="A72" s="1">
        <v>71</v>
      </c>
      <c r="B72" s="23" t="e">
        <f ca="1">_xludf.BETA.INV(R72,'04_PSA_INPUTS'!H5,'04_PSA_INPUTS'!I5)</f>
        <v>#NAME?</v>
      </c>
      <c r="C72" s="23" t="e">
        <f ca="1">_xludf.BETA.INV(S72,'04_PSA_INPUTS'!H6,'04_PSA_INPUTS'!I6)</f>
        <v>#NAME?</v>
      </c>
      <c r="D72" s="27" t="e">
        <f ca="1">_xludf.GAMMA.INV(T72,'04_PSA_INPUTS'!H7,'04_PSA_INPUTS'!I7)</f>
        <v>#NAME?</v>
      </c>
      <c r="E72" s="27" t="e">
        <f ca="1">_xludf.GAMMA.INV(U72,'04_PSA_INPUTS'!H8,'04_PSA_INPUTS'!I8)</f>
        <v>#NAME?</v>
      </c>
      <c r="F72" s="27" t="e">
        <f ca="1">_xludf.GAMMA.INV(V72,'04_PSA_INPUTS'!H9,'04_PSA_INPUTS'!I9)</f>
        <v>#NAME?</v>
      </c>
      <c r="G72" s="23" t="e">
        <f ca="1">_xludf.BETA.INV(W72,'04_PSA_INPUTS'!H10,'04_PSA_INPUTS'!I10)</f>
        <v>#NAME?</v>
      </c>
      <c r="H72" s="23" t="e">
        <f ca="1">_xludf.BETA.INV(X72,'04_PSA_INPUTS'!H11,'04_PSA_INPUTS'!I11)</f>
        <v>#NAME?</v>
      </c>
      <c r="I72" s="27" t="e">
        <f ca="1">D72+B72*F72+'01_INPUTS'!B20</f>
        <v>#NAME?</v>
      </c>
      <c r="J72" s="27" t="e">
        <f ca="1">E72+C72*F72+'01_INPUTS'!B21</f>
        <v>#NAME?</v>
      </c>
      <c r="K72" s="27" t="e">
        <f t="shared" ca="1" si="6"/>
        <v>#NAME?</v>
      </c>
      <c r="L72" s="23" t="e">
        <f t="shared" ca="1" si="7"/>
        <v>#NAME?</v>
      </c>
      <c r="M72" s="23" t="e">
        <f t="shared" ca="1" si="8"/>
        <v>#NAME?</v>
      </c>
      <c r="N72" s="23" t="e">
        <f t="shared" ca="1" si="9"/>
        <v>#NAME?</v>
      </c>
      <c r="O72" s="27" t="e">
        <f t="shared" ca="1" si="10"/>
        <v>#NAME?</v>
      </c>
      <c r="P72" s="27" t="e">
        <f ca="1">'01_INPUTS'!B9*N72-K72</f>
        <v>#NAME?</v>
      </c>
      <c r="Q72" s="1" t="e">
        <f t="shared" ca="1" si="11"/>
        <v>#NAME?</v>
      </c>
      <c r="R72" s="28">
        <v>0.47880234406329691</v>
      </c>
      <c r="S72" s="28">
        <v>0.22217024816200137</v>
      </c>
      <c r="T72" s="28">
        <v>0.35433193808421493</v>
      </c>
      <c r="U72" s="28">
        <v>0.67681390233337879</v>
      </c>
      <c r="V72" s="28">
        <v>1.2228806735947728E-2</v>
      </c>
      <c r="W72" s="28">
        <v>0.63417518464848399</v>
      </c>
      <c r="X72" s="28">
        <v>0.50872812792658806</v>
      </c>
    </row>
    <row r="73" spans="1:24" ht="13.9">
      <c r="A73" s="1">
        <v>72</v>
      </c>
      <c r="B73" s="23" t="e">
        <f ca="1">_xludf.BETA.INV(R73,'04_PSA_INPUTS'!H5,'04_PSA_INPUTS'!I5)</f>
        <v>#NAME?</v>
      </c>
      <c r="C73" s="23" t="e">
        <f ca="1">_xludf.BETA.INV(S73,'04_PSA_INPUTS'!H6,'04_PSA_INPUTS'!I6)</f>
        <v>#NAME?</v>
      </c>
      <c r="D73" s="27" t="e">
        <f ca="1">_xludf.GAMMA.INV(T73,'04_PSA_INPUTS'!H7,'04_PSA_INPUTS'!I7)</f>
        <v>#NAME?</v>
      </c>
      <c r="E73" s="27" t="e">
        <f ca="1">_xludf.GAMMA.INV(U73,'04_PSA_INPUTS'!H8,'04_PSA_INPUTS'!I8)</f>
        <v>#NAME?</v>
      </c>
      <c r="F73" s="27" t="e">
        <f ca="1">_xludf.GAMMA.INV(V73,'04_PSA_INPUTS'!H9,'04_PSA_INPUTS'!I9)</f>
        <v>#NAME?</v>
      </c>
      <c r="G73" s="23" t="e">
        <f ca="1">_xludf.BETA.INV(W73,'04_PSA_INPUTS'!H10,'04_PSA_INPUTS'!I10)</f>
        <v>#NAME?</v>
      </c>
      <c r="H73" s="23" t="e">
        <f ca="1">_xludf.BETA.INV(X73,'04_PSA_INPUTS'!H11,'04_PSA_INPUTS'!I11)</f>
        <v>#NAME?</v>
      </c>
      <c r="I73" s="27" t="e">
        <f ca="1">D73+B73*F73+'01_INPUTS'!B20</f>
        <v>#NAME?</v>
      </c>
      <c r="J73" s="27" t="e">
        <f ca="1">E73+C73*F73+'01_INPUTS'!B21</f>
        <v>#NAME?</v>
      </c>
      <c r="K73" s="27" t="e">
        <f t="shared" ca="1" si="6"/>
        <v>#NAME?</v>
      </c>
      <c r="L73" s="23" t="e">
        <f t="shared" ca="1" si="7"/>
        <v>#NAME?</v>
      </c>
      <c r="M73" s="23" t="e">
        <f t="shared" ca="1" si="8"/>
        <v>#NAME?</v>
      </c>
      <c r="N73" s="23" t="e">
        <f t="shared" ca="1" si="9"/>
        <v>#NAME?</v>
      </c>
      <c r="O73" s="27" t="e">
        <f t="shared" ca="1" si="10"/>
        <v>#NAME?</v>
      </c>
      <c r="P73" s="27" t="e">
        <f ca="1">'01_INPUTS'!B9*N73-K73</f>
        <v>#NAME?</v>
      </c>
      <c r="Q73" s="1" t="e">
        <f t="shared" ca="1" si="11"/>
        <v>#NAME?</v>
      </c>
      <c r="R73" s="28">
        <v>0.82230498571880162</v>
      </c>
      <c r="S73" s="28">
        <v>0.15914200968109071</v>
      </c>
      <c r="T73" s="28">
        <v>0.50355351157486439</v>
      </c>
      <c r="U73" s="28">
        <v>0.28497591521590948</v>
      </c>
      <c r="V73" s="28">
        <v>0.22816827497445047</v>
      </c>
      <c r="W73" s="28">
        <v>0.24307292117737234</v>
      </c>
      <c r="X73" s="28">
        <v>0.82271931646391749</v>
      </c>
    </row>
    <row r="74" spans="1:24" ht="13.9">
      <c r="A74" s="1">
        <v>73</v>
      </c>
      <c r="B74" s="23" t="e">
        <f ca="1">_xludf.BETA.INV(R74,'04_PSA_INPUTS'!H5,'04_PSA_INPUTS'!I5)</f>
        <v>#NAME?</v>
      </c>
      <c r="C74" s="23" t="e">
        <f ca="1">_xludf.BETA.INV(S74,'04_PSA_INPUTS'!H6,'04_PSA_INPUTS'!I6)</f>
        <v>#NAME?</v>
      </c>
      <c r="D74" s="27" t="e">
        <f ca="1">_xludf.GAMMA.INV(T74,'04_PSA_INPUTS'!H7,'04_PSA_INPUTS'!I7)</f>
        <v>#NAME?</v>
      </c>
      <c r="E74" s="27" t="e">
        <f ca="1">_xludf.GAMMA.INV(U74,'04_PSA_INPUTS'!H8,'04_PSA_INPUTS'!I8)</f>
        <v>#NAME?</v>
      </c>
      <c r="F74" s="27" t="e">
        <f ca="1">_xludf.GAMMA.INV(V74,'04_PSA_INPUTS'!H9,'04_PSA_INPUTS'!I9)</f>
        <v>#NAME?</v>
      </c>
      <c r="G74" s="23" t="e">
        <f ca="1">_xludf.BETA.INV(W74,'04_PSA_INPUTS'!H10,'04_PSA_INPUTS'!I10)</f>
        <v>#NAME?</v>
      </c>
      <c r="H74" s="23" t="e">
        <f ca="1">_xludf.BETA.INV(X74,'04_PSA_INPUTS'!H11,'04_PSA_INPUTS'!I11)</f>
        <v>#NAME?</v>
      </c>
      <c r="I74" s="27" t="e">
        <f ca="1">D74+B74*F74+'01_INPUTS'!B20</f>
        <v>#NAME?</v>
      </c>
      <c r="J74" s="27" t="e">
        <f ca="1">E74+C74*F74+'01_INPUTS'!B21</f>
        <v>#NAME?</v>
      </c>
      <c r="K74" s="27" t="e">
        <f t="shared" ca="1" si="6"/>
        <v>#NAME?</v>
      </c>
      <c r="L74" s="23" t="e">
        <f t="shared" ca="1" si="7"/>
        <v>#NAME?</v>
      </c>
      <c r="M74" s="23" t="e">
        <f t="shared" ca="1" si="8"/>
        <v>#NAME?</v>
      </c>
      <c r="N74" s="23" t="e">
        <f t="shared" ca="1" si="9"/>
        <v>#NAME?</v>
      </c>
      <c r="O74" s="27" t="e">
        <f t="shared" ca="1" si="10"/>
        <v>#NAME?</v>
      </c>
      <c r="P74" s="27" t="e">
        <f ca="1">'01_INPUTS'!B9*N74-K74</f>
        <v>#NAME?</v>
      </c>
      <c r="Q74" s="1" t="e">
        <f t="shared" ca="1" si="11"/>
        <v>#NAME?</v>
      </c>
      <c r="R74" s="28">
        <v>0.11609726841561496</v>
      </c>
      <c r="S74" s="28">
        <v>0.56279014423489571</v>
      </c>
      <c r="T74" s="28">
        <v>0.5893226305488497</v>
      </c>
      <c r="U74" s="28">
        <v>2.2822908591479063E-2</v>
      </c>
      <c r="V74" s="28">
        <v>0.91385693824850023</v>
      </c>
      <c r="W74" s="28">
        <v>0.94361411966383457</v>
      </c>
      <c r="X74" s="28">
        <v>0.19044008175842464</v>
      </c>
    </row>
    <row r="75" spans="1:24" ht="13.9">
      <c r="A75" s="1">
        <v>74</v>
      </c>
      <c r="B75" s="23" t="e">
        <f ca="1">_xludf.BETA.INV(R75,'04_PSA_INPUTS'!H5,'04_PSA_INPUTS'!I5)</f>
        <v>#NAME?</v>
      </c>
      <c r="C75" s="23" t="e">
        <f ca="1">_xludf.BETA.INV(S75,'04_PSA_INPUTS'!H6,'04_PSA_INPUTS'!I6)</f>
        <v>#NAME?</v>
      </c>
      <c r="D75" s="27" t="e">
        <f ca="1">_xludf.GAMMA.INV(T75,'04_PSA_INPUTS'!H7,'04_PSA_INPUTS'!I7)</f>
        <v>#NAME?</v>
      </c>
      <c r="E75" s="27" t="e">
        <f ca="1">_xludf.GAMMA.INV(U75,'04_PSA_INPUTS'!H8,'04_PSA_INPUTS'!I8)</f>
        <v>#NAME?</v>
      </c>
      <c r="F75" s="27" t="e">
        <f ca="1">_xludf.GAMMA.INV(V75,'04_PSA_INPUTS'!H9,'04_PSA_INPUTS'!I9)</f>
        <v>#NAME?</v>
      </c>
      <c r="G75" s="23" t="e">
        <f ca="1">_xludf.BETA.INV(W75,'04_PSA_INPUTS'!H10,'04_PSA_INPUTS'!I10)</f>
        <v>#NAME?</v>
      </c>
      <c r="H75" s="23" t="e">
        <f ca="1">_xludf.BETA.INV(X75,'04_PSA_INPUTS'!H11,'04_PSA_INPUTS'!I11)</f>
        <v>#NAME?</v>
      </c>
      <c r="I75" s="27" t="e">
        <f ca="1">D75+B75*F75+'01_INPUTS'!B20</f>
        <v>#NAME?</v>
      </c>
      <c r="J75" s="27" t="e">
        <f ca="1">E75+C75*F75+'01_INPUTS'!B21</f>
        <v>#NAME?</v>
      </c>
      <c r="K75" s="27" t="e">
        <f t="shared" ca="1" si="6"/>
        <v>#NAME?</v>
      </c>
      <c r="L75" s="23" t="e">
        <f t="shared" ca="1" si="7"/>
        <v>#NAME?</v>
      </c>
      <c r="M75" s="23" t="e">
        <f t="shared" ca="1" si="8"/>
        <v>#NAME?</v>
      </c>
      <c r="N75" s="23" t="e">
        <f t="shared" ca="1" si="9"/>
        <v>#NAME?</v>
      </c>
      <c r="O75" s="27" t="e">
        <f t="shared" ca="1" si="10"/>
        <v>#NAME?</v>
      </c>
      <c r="P75" s="27" t="e">
        <f ca="1">'01_INPUTS'!B9*N75-K75</f>
        <v>#NAME?</v>
      </c>
      <c r="Q75" s="1" t="e">
        <f t="shared" ca="1" si="11"/>
        <v>#NAME?</v>
      </c>
      <c r="R75" s="28">
        <v>0.73305378295481205</v>
      </c>
      <c r="S75" s="28">
        <v>0.74506283015944064</v>
      </c>
      <c r="T75" s="28">
        <v>0.97234125784598291</v>
      </c>
      <c r="U75" s="28">
        <v>1.7863181419670582E-3</v>
      </c>
      <c r="V75" s="28">
        <v>0.99908457137644291</v>
      </c>
      <c r="W75" s="28">
        <v>0.68778703594580293</v>
      </c>
      <c r="X75" s="28">
        <v>0.99302674946375191</v>
      </c>
    </row>
    <row r="76" spans="1:24" ht="13.9">
      <c r="A76" s="1">
        <v>75</v>
      </c>
      <c r="B76" s="23" t="e">
        <f ca="1">_xludf.BETA.INV(R76,'04_PSA_INPUTS'!H5,'04_PSA_INPUTS'!I5)</f>
        <v>#NAME?</v>
      </c>
      <c r="C76" s="23" t="e">
        <f ca="1">_xludf.BETA.INV(S76,'04_PSA_INPUTS'!H6,'04_PSA_INPUTS'!I6)</f>
        <v>#NAME?</v>
      </c>
      <c r="D76" s="27" t="e">
        <f ca="1">_xludf.GAMMA.INV(T76,'04_PSA_INPUTS'!H7,'04_PSA_INPUTS'!I7)</f>
        <v>#NAME?</v>
      </c>
      <c r="E76" s="27" t="e">
        <f ca="1">_xludf.GAMMA.INV(U76,'04_PSA_INPUTS'!H8,'04_PSA_INPUTS'!I8)</f>
        <v>#NAME?</v>
      </c>
      <c r="F76" s="27" t="e">
        <f ca="1">_xludf.GAMMA.INV(V76,'04_PSA_INPUTS'!H9,'04_PSA_INPUTS'!I9)</f>
        <v>#NAME?</v>
      </c>
      <c r="G76" s="23" t="e">
        <f ca="1">_xludf.BETA.INV(W76,'04_PSA_INPUTS'!H10,'04_PSA_INPUTS'!I10)</f>
        <v>#NAME?</v>
      </c>
      <c r="H76" s="23" t="e">
        <f ca="1">_xludf.BETA.INV(X76,'04_PSA_INPUTS'!H11,'04_PSA_INPUTS'!I11)</f>
        <v>#NAME?</v>
      </c>
      <c r="I76" s="27" t="e">
        <f ca="1">D76+B76*F76+'01_INPUTS'!B20</f>
        <v>#NAME?</v>
      </c>
      <c r="J76" s="27" t="e">
        <f ca="1">E76+C76*F76+'01_INPUTS'!B21</f>
        <v>#NAME?</v>
      </c>
      <c r="K76" s="27" t="e">
        <f t="shared" ca="1" si="6"/>
        <v>#NAME?</v>
      </c>
      <c r="L76" s="23" t="e">
        <f t="shared" ca="1" si="7"/>
        <v>#NAME?</v>
      </c>
      <c r="M76" s="23" t="e">
        <f t="shared" ca="1" si="8"/>
        <v>#NAME?</v>
      </c>
      <c r="N76" s="23" t="e">
        <f t="shared" ca="1" si="9"/>
        <v>#NAME?</v>
      </c>
      <c r="O76" s="27" t="e">
        <f t="shared" ca="1" si="10"/>
        <v>#NAME?</v>
      </c>
      <c r="P76" s="27" t="e">
        <f ca="1">'01_INPUTS'!B9*N76-K76</f>
        <v>#NAME?</v>
      </c>
      <c r="Q76" s="1" t="e">
        <f t="shared" ca="1" si="11"/>
        <v>#NAME?</v>
      </c>
      <c r="R76" s="28">
        <v>0.6563421031460166</v>
      </c>
      <c r="S76" s="28">
        <v>0.64032004843465984</v>
      </c>
      <c r="T76" s="28">
        <v>0.94327819836325943</v>
      </c>
      <c r="U76" s="28">
        <v>0.11551243090070784</v>
      </c>
      <c r="V76" s="28">
        <v>0.69069040846079588</v>
      </c>
      <c r="W76" s="28">
        <v>0.81299830507487059</v>
      </c>
      <c r="X76" s="28">
        <v>0.27409346611239016</v>
      </c>
    </row>
    <row r="77" spans="1:24" ht="13.9">
      <c r="A77" s="1">
        <v>76</v>
      </c>
      <c r="B77" s="23" t="e">
        <f ca="1">_xludf.BETA.INV(R77,'04_PSA_INPUTS'!H5,'04_PSA_INPUTS'!I5)</f>
        <v>#NAME?</v>
      </c>
      <c r="C77" s="23" t="e">
        <f ca="1">_xludf.BETA.INV(S77,'04_PSA_INPUTS'!H6,'04_PSA_INPUTS'!I6)</f>
        <v>#NAME?</v>
      </c>
      <c r="D77" s="27" t="e">
        <f ca="1">_xludf.GAMMA.INV(T77,'04_PSA_INPUTS'!H7,'04_PSA_INPUTS'!I7)</f>
        <v>#NAME?</v>
      </c>
      <c r="E77" s="27" t="e">
        <f ca="1">_xludf.GAMMA.INV(U77,'04_PSA_INPUTS'!H8,'04_PSA_INPUTS'!I8)</f>
        <v>#NAME?</v>
      </c>
      <c r="F77" s="27" t="e">
        <f ca="1">_xludf.GAMMA.INV(V77,'04_PSA_INPUTS'!H9,'04_PSA_INPUTS'!I9)</f>
        <v>#NAME?</v>
      </c>
      <c r="G77" s="23" t="e">
        <f ca="1">_xludf.BETA.INV(W77,'04_PSA_INPUTS'!H10,'04_PSA_INPUTS'!I10)</f>
        <v>#NAME?</v>
      </c>
      <c r="H77" s="23" t="e">
        <f ca="1">_xludf.BETA.INV(X77,'04_PSA_INPUTS'!H11,'04_PSA_INPUTS'!I11)</f>
        <v>#NAME?</v>
      </c>
      <c r="I77" s="27" t="e">
        <f ca="1">D77+B77*F77+'01_INPUTS'!B20</f>
        <v>#NAME?</v>
      </c>
      <c r="J77" s="27" t="e">
        <f ca="1">E77+C77*F77+'01_INPUTS'!B21</f>
        <v>#NAME?</v>
      </c>
      <c r="K77" s="27" t="e">
        <f t="shared" ca="1" si="6"/>
        <v>#NAME?</v>
      </c>
      <c r="L77" s="23" t="e">
        <f t="shared" ca="1" si="7"/>
        <v>#NAME?</v>
      </c>
      <c r="M77" s="23" t="e">
        <f t="shared" ca="1" si="8"/>
        <v>#NAME?</v>
      </c>
      <c r="N77" s="23" t="e">
        <f t="shared" ca="1" si="9"/>
        <v>#NAME?</v>
      </c>
      <c r="O77" s="27" t="e">
        <f t="shared" ca="1" si="10"/>
        <v>#NAME?</v>
      </c>
      <c r="P77" s="27" t="e">
        <f ca="1">'01_INPUTS'!B9*N77-K77</f>
        <v>#NAME?</v>
      </c>
      <c r="Q77" s="1" t="e">
        <f t="shared" ca="1" si="11"/>
        <v>#NAME?</v>
      </c>
      <c r="R77" s="28">
        <v>0.17927917465567589</v>
      </c>
      <c r="S77" s="28">
        <v>5.8902658289298415E-2</v>
      </c>
      <c r="T77" s="28">
        <v>0.56573521182872355</v>
      </c>
      <c r="U77" s="28">
        <v>0.19680287735536695</v>
      </c>
      <c r="V77" s="28">
        <v>0.82546750968322158</v>
      </c>
      <c r="W77" s="28">
        <v>0.72177972411736846</v>
      </c>
      <c r="X77" s="28">
        <v>0.90397231723181903</v>
      </c>
    </row>
    <row r="78" spans="1:24" ht="13.9">
      <c r="A78" s="1">
        <v>77</v>
      </c>
      <c r="B78" s="23" t="e">
        <f ca="1">_xludf.BETA.INV(R78,'04_PSA_INPUTS'!H5,'04_PSA_INPUTS'!I5)</f>
        <v>#NAME?</v>
      </c>
      <c r="C78" s="23" t="e">
        <f ca="1">_xludf.BETA.INV(S78,'04_PSA_INPUTS'!H6,'04_PSA_INPUTS'!I6)</f>
        <v>#NAME?</v>
      </c>
      <c r="D78" s="27" t="e">
        <f ca="1">_xludf.GAMMA.INV(T78,'04_PSA_INPUTS'!H7,'04_PSA_INPUTS'!I7)</f>
        <v>#NAME?</v>
      </c>
      <c r="E78" s="27" t="e">
        <f ca="1">_xludf.GAMMA.INV(U78,'04_PSA_INPUTS'!H8,'04_PSA_INPUTS'!I8)</f>
        <v>#NAME?</v>
      </c>
      <c r="F78" s="27" t="e">
        <f ca="1">_xludf.GAMMA.INV(V78,'04_PSA_INPUTS'!H9,'04_PSA_INPUTS'!I9)</f>
        <v>#NAME?</v>
      </c>
      <c r="G78" s="23" t="e">
        <f ca="1">_xludf.BETA.INV(W78,'04_PSA_INPUTS'!H10,'04_PSA_INPUTS'!I10)</f>
        <v>#NAME?</v>
      </c>
      <c r="H78" s="23" t="e">
        <f ca="1">_xludf.BETA.INV(X78,'04_PSA_INPUTS'!H11,'04_PSA_INPUTS'!I11)</f>
        <v>#NAME?</v>
      </c>
      <c r="I78" s="27" t="e">
        <f ca="1">D78+B78*F78+'01_INPUTS'!B20</f>
        <v>#NAME?</v>
      </c>
      <c r="J78" s="27" t="e">
        <f ca="1">E78+C78*F78+'01_INPUTS'!B21</f>
        <v>#NAME?</v>
      </c>
      <c r="K78" s="27" t="e">
        <f t="shared" ca="1" si="6"/>
        <v>#NAME?</v>
      </c>
      <c r="L78" s="23" t="e">
        <f t="shared" ca="1" si="7"/>
        <v>#NAME?</v>
      </c>
      <c r="M78" s="23" t="e">
        <f t="shared" ca="1" si="8"/>
        <v>#NAME?</v>
      </c>
      <c r="N78" s="23" t="e">
        <f t="shared" ca="1" si="9"/>
        <v>#NAME?</v>
      </c>
      <c r="O78" s="27" t="e">
        <f t="shared" ca="1" si="10"/>
        <v>#NAME?</v>
      </c>
      <c r="P78" s="27" t="e">
        <f ca="1">'01_INPUTS'!B9*N78-K78</f>
        <v>#NAME?</v>
      </c>
      <c r="Q78" s="1" t="e">
        <f t="shared" ca="1" si="11"/>
        <v>#NAME?</v>
      </c>
      <c r="R78" s="28">
        <v>0.129651655908674</v>
      </c>
      <c r="S78" s="28">
        <v>0.14379787119105458</v>
      </c>
      <c r="T78" s="28">
        <v>0.51786536234430969</v>
      </c>
      <c r="U78" s="28">
        <v>0.41883615148253739</v>
      </c>
      <c r="V78" s="28">
        <v>0.50170660391449928</v>
      </c>
      <c r="W78" s="28">
        <v>0.84814977599307895</v>
      </c>
      <c r="X78" s="28">
        <v>2.928569819778204E-2</v>
      </c>
    </row>
    <row r="79" spans="1:24" ht="13.9">
      <c r="A79" s="1">
        <v>78</v>
      </c>
      <c r="B79" s="23" t="e">
        <f ca="1">_xludf.BETA.INV(R79,'04_PSA_INPUTS'!H5,'04_PSA_INPUTS'!I5)</f>
        <v>#NAME?</v>
      </c>
      <c r="C79" s="23" t="e">
        <f ca="1">_xludf.BETA.INV(S79,'04_PSA_INPUTS'!H6,'04_PSA_INPUTS'!I6)</f>
        <v>#NAME?</v>
      </c>
      <c r="D79" s="27" t="e">
        <f ca="1">_xludf.GAMMA.INV(T79,'04_PSA_INPUTS'!H7,'04_PSA_INPUTS'!I7)</f>
        <v>#NAME?</v>
      </c>
      <c r="E79" s="27" t="e">
        <f ca="1">_xludf.GAMMA.INV(U79,'04_PSA_INPUTS'!H8,'04_PSA_INPUTS'!I8)</f>
        <v>#NAME?</v>
      </c>
      <c r="F79" s="27" t="e">
        <f ca="1">_xludf.GAMMA.INV(V79,'04_PSA_INPUTS'!H9,'04_PSA_INPUTS'!I9)</f>
        <v>#NAME?</v>
      </c>
      <c r="G79" s="23" t="e">
        <f ca="1">_xludf.BETA.INV(W79,'04_PSA_INPUTS'!H10,'04_PSA_INPUTS'!I10)</f>
        <v>#NAME?</v>
      </c>
      <c r="H79" s="23" t="e">
        <f ca="1">_xludf.BETA.INV(X79,'04_PSA_INPUTS'!H11,'04_PSA_INPUTS'!I11)</f>
        <v>#NAME?</v>
      </c>
      <c r="I79" s="27" t="e">
        <f ca="1">D79+B79*F79+'01_INPUTS'!B20</f>
        <v>#NAME?</v>
      </c>
      <c r="J79" s="27" t="e">
        <f ca="1">E79+C79*F79+'01_INPUTS'!B21</f>
        <v>#NAME?</v>
      </c>
      <c r="K79" s="27" t="e">
        <f t="shared" ca="1" si="6"/>
        <v>#NAME?</v>
      </c>
      <c r="L79" s="23" t="e">
        <f t="shared" ca="1" si="7"/>
        <v>#NAME?</v>
      </c>
      <c r="M79" s="23" t="e">
        <f t="shared" ca="1" si="8"/>
        <v>#NAME?</v>
      </c>
      <c r="N79" s="23" t="e">
        <f t="shared" ca="1" si="9"/>
        <v>#NAME?</v>
      </c>
      <c r="O79" s="27" t="e">
        <f t="shared" ca="1" si="10"/>
        <v>#NAME?</v>
      </c>
      <c r="P79" s="27" t="e">
        <f ca="1">'01_INPUTS'!B9*N79-K79</f>
        <v>#NAME?</v>
      </c>
      <c r="Q79" s="1" t="e">
        <f t="shared" ca="1" si="11"/>
        <v>#NAME?</v>
      </c>
      <c r="R79" s="28">
        <v>0.89015287323854864</v>
      </c>
      <c r="S79" s="28">
        <v>0.46349617815576494</v>
      </c>
      <c r="T79" s="28">
        <v>0.12644337583333254</v>
      </c>
      <c r="U79" s="28">
        <v>0.37437155400402844</v>
      </c>
      <c r="V79" s="28">
        <v>0.40704289125278592</v>
      </c>
      <c r="W79" s="28">
        <v>0.49597241450101137</v>
      </c>
      <c r="X79" s="28">
        <v>5.8730261400341988E-2</v>
      </c>
    </row>
    <row r="80" spans="1:24" ht="13.9">
      <c r="A80" s="1">
        <v>79</v>
      </c>
      <c r="B80" s="23" t="e">
        <f ca="1">_xludf.BETA.INV(R80,'04_PSA_INPUTS'!H5,'04_PSA_INPUTS'!I5)</f>
        <v>#NAME?</v>
      </c>
      <c r="C80" s="23" t="e">
        <f ca="1">_xludf.BETA.INV(S80,'04_PSA_INPUTS'!H6,'04_PSA_INPUTS'!I6)</f>
        <v>#NAME?</v>
      </c>
      <c r="D80" s="27" t="e">
        <f ca="1">_xludf.GAMMA.INV(T80,'04_PSA_INPUTS'!H7,'04_PSA_INPUTS'!I7)</f>
        <v>#NAME?</v>
      </c>
      <c r="E80" s="27" t="e">
        <f ca="1">_xludf.GAMMA.INV(U80,'04_PSA_INPUTS'!H8,'04_PSA_INPUTS'!I8)</f>
        <v>#NAME?</v>
      </c>
      <c r="F80" s="27" t="e">
        <f ca="1">_xludf.GAMMA.INV(V80,'04_PSA_INPUTS'!H9,'04_PSA_INPUTS'!I9)</f>
        <v>#NAME?</v>
      </c>
      <c r="G80" s="23" t="e">
        <f ca="1">_xludf.BETA.INV(W80,'04_PSA_INPUTS'!H10,'04_PSA_INPUTS'!I10)</f>
        <v>#NAME?</v>
      </c>
      <c r="H80" s="23" t="e">
        <f ca="1">_xludf.BETA.INV(X80,'04_PSA_INPUTS'!H11,'04_PSA_INPUTS'!I11)</f>
        <v>#NAME?</v>
      </c>
      <c r="I80" s="27" t="e">
        <f ca="1">D80+B80*F80+'01_INPUTS'!B20</f>
        <v>#NAME?</v>
      </c>
      <c r="J80" s="27" t="e">
        <f ca="1">E80+C80*F80+'01_INPUTS'!B21</f>
        <v>#NAME?</v>
      </c>
      <c r="K80" s="27" t="e">
        <f t="shared" ca="1" si="6"/>
        <v>#NAME?</v>
      </c>
      <c r="L80" s="23" t="e">
        <f t="shared" ca="1" si="7"/>
        <v>#NAME?</v>
      </c>
      <c r="M80" s="23" t="e">
        <f t="shared" ca="1" si="8"/>
        <v>#NAME?</v>
      </c>
      <c r="N80" s="23" t="e">
        <f t="shared" ca="1" si="9"/>
        <v>#NAME?</v>
      </c>
      <c r="O80" s="27" t="e">
        <f t="shared" ca="1" si="10"/>
        <v>#NAME?</v>
      </c>
      <c r="P80" s="27" t="e">
        <f ca="1">'01_INPUTS'!B9*N80-K80</f>
        <v>#NAME?</v>
      </c>
      <c r="Q80" s="1" t="e">
        <f t="shared" ca="1" si="11"/>
        <v>#NAME?</v>
      </c>
      <c r="R80" s="28">
        <v>0.45442429231479764</v>
      </c>
      <c r="S80" s="28">
        <v>0.64716455154120922</v>
      </c>
      <c r="T80" s="28">
        <v>0.39440324273891747</v>
      </c>
      <c r="U80" s="28">
        <v>0.84247914445586503</v>
      </c>
      <c r="V80" s="28">
        <v>0.6353727737441659</v>
      </c>
      <c r="W80" s="28">
        <v>0.65333219175226986</v>
      </c>
      <c r="X80" s="28">
        <v>0.16489691752940416</v>
      </c>
    </row>
    <row r="81" spans="1:24" ht="13.9">
      <c r="A81" s="1">
        <v>80</v>
      </c>
      <c r="B81" s="23" t="e">
        <f ca="1">_xludf.BETA.INV(R81,'04_PSA_INPUTS'!H5,'04_PSA_INPUTS'!I5)</f>
        <v>#NAME?</v>
      </c>
      <c r="C81" s="23" t="e">
        <f ca="1">_xludf.BETA.INV(S81,'04_PSA_INPUTS'!H6,'04_PSA_INPUTS'!I6)</f>
        <v>#NAME?</v>
      </c>
      <c r="D81" s="27" t="e">
        <f ca="1">_xludf.GAMMA.INV(T81,'04_PSA_INPUTS'!H7,'04_PSA_INPUTS'!I7)</f>
        <v>#NAME?</v>
      </c>
      <c r="E81" s="27" t="e">
        <f ca="1">_xludf.GAMMA.INV(U81,'04_PSA_INPUTS'!H8,'04_PSA_INPUTS'!I8)</f>
        <v>#NAME?</v>
      </c>
      <c r="F81" s="27" t="e">
        <f ca="1">_xludf.GAMMA.INV(V81,'04_PSA_INPUTS'!H9,'04_PSA_INPUTS'!I9)</f>
        <v>#NAME?</v>
      </c>
      <c r="G81" s="23" t="e">
        <f ca="1">_xludf.BETA.INV(W81,'04_PSA_INPUTS'!H10,'04_PSA_INPUTS'!I10)</f>
        <v>#NAME?</v>
      </c>
      <c r="H81" s="23" t="e">
        <f ca="1">_xludf.BETA.INV(X81,'04_PSA_INPUTS'!H11,'04_PSA_INPUTS'!I11)</f>
        <v>#NAME?</v>
      </c>
      <c r="I81" s="27" t="e">
        <f ca="1">D81+B81*F81+'01_INPUTS'!B20</f>
        <v>#NAME?</v>
      </c>
      <c r="J81" s="27" t="e">
        <f ca="1">E81+C81*F81+'01_INPUTS'!B21</f>
        <v>#NAME?</v>
      </c>
      <c r="K81" s="27" t="e">
        <f t="shared" ca="1" si="6"/>
        <v>#NAME?</v>
      </c>
      <c r="L81" s="23" t="e">
        <f t="shared" ca="1" si="7"/>
        <v>#NAME?</v>
      </c>
      <c r="M81" s="23" t="e">
        <f t="shared" ca="1" si="8"/>
        <v>#NAME?</v>
      </c>
      <c r="N81" s="23" t="e">
        <f t="shared" ca="1" si="9"/>
        <v>#NAME?</v>
      </c>
      <c r="O81" s="27" t="e">
        <f t="shared" ca="1" si="10"/>
        <v>#NAME?</v>
      </c>
      <c r="P81" s="27" t="e">
        <f ca="1">'01_INPUTS'!B9*N81-K81</f>
        <v>#NAME?</v>
      </c>
      <c r="Q81" s="1" t="e">
        <f t="shared" ca="1" si="11"/>
        <v>#NAME?</v>
      </c>
      <c r="R81" s="28">
        <v>0.42614946002140641</v>
      </c>
      <c r="S81" s="28">
        <v>0.95469738566316664</v>
      </c>
      <c r="T81" s="28">
        <v>7.880011317320168E-2</v>
      </c>
      <c r="U81" s="28">
        <v>0.43591487989760935</v>
      </c>
      <c r="V81" s="28">
        <v>0.48431293247267604</v>
      </c>
      <c r="W81" s="28">
        <v>0.20694614620879292</v>
      </c>
      <c r="X81" s="28">
        <v>0.88989459327422082</v>
      </c>
    </row>
    <row r="82" spans="1:24" ht="13.9">
      <c r="A82" s="1">
        <v>81</v>
      </c>
      <c r="B82" s="23" t="e">
        <f ca="1">_xludf.BETA.INV(R82,'04_PSA_INPUTS'!H5,'04_PSA_INPUTS'!I5)</f>
        <v>#NAME?</v>
      </c>
      <c r="C82" s="23" t="e">
        <f ca="1">_xludf.BETA.INV(S82,'04_PSA_INPUTS'!H6,'04_PSA_INPUTS'!I6)</f>
        <v>#NAME?</v>
      </c>
      <c r="D82" s="27" t="e">
        <f ca="1">_xludf.GAMMA.INV(T82,'04_PSA_INPUTS'!H7,'04_PSA_INPUTS'!I7)</f>
        <v>#NAME?</v>
      </c>
      <c r="E82" s="27" t="e">
        <f ca="1">_xludf.GAMMA.INV(U82,'04_PSA_INPUTS'!H8,'04_PSA_INPUTS'!I8)</f>
        <v>#NAME?</v>
      </c>
      <c r="F82" s="27" t="e">
        <f ca="1">_xludf.GAMMA.INV(V82,'04_PSA_INPUTS'!H9,'04_PSA_INPUTS'!I9)</f>
        <v>#NAME?</v>
      </c>
      <c r="G82" s="23" t="e">
        <f ca="1">_xludf.BETA.INV(W82,'04_PSA_INPUTS'!H10,'04_PSA_INPUTS'!I10)</f>
        <v>#NAME?</v>
      </c>
      <c r="H82" s="23" t="e">
        <f ca="1">_xludf.BETA.INV(X82,'04_PSA_INPUTS'!H11,'04_PSA_INPUTS'!I11)</f>
        <v>#NAME?</v>
      </c>
      <c r="I82" s="27" t="e">
        <f ca="1">D82+B82*F82+'01_INPUTS'!B20</f>
        <v>#NAME?</v>
      </c>
      <c r="J82" s="27" t="e">
        <f ca="1">E82+C82*F82+'01_INPUTS'!B21</f>
        <v>#NAME?</v>
      </c>
      <c r="K82" s="27" t="e">
        <f t="shared" ca="1" si="6"/>
        <v>#NAME?</v>
      </c>
      <c r="L82" s="23" t="e">
        <f t="shared" ca="1" si="7"/>
        <v>#NAME?</v>
      </c>
      <c r="M82" s="23" t="e">
        <f t="shared" ca="1" si="8"/>
        <v>#NAME?</v>
      </c>
      <c r="N82" s="23" t="e">
        <f t="shared" ca="1" si="9"/>
        <v>#NAME?</v>
      </c>
      <c r="O82" s="27" t="e">
        <f t="shared" ca="1" si="10"/>
        <v>#NAME?</v>
      </c>
      <c r="P82" s="27" t="e">
        <f ca="1">'01_INPUTS'!B9*N82-K82</f>
        <v>#NAME?</v>
      </c>
      <c r="Q82" s="1" t="e">
        <f t="shared" ca="1" si="11"/>
        <v>#NAME?</v>
      </c>
      <c r="R82" s="28">
        <v>0.20914066233672202</v>
      </c>
      <c r="S82" s="28">
        <v>0.12934020557440817</v>
      </c>
      <c r="T82" s="28">
        <v>0.33315802342258394</v>
      </c>
      <c r="U82" s="28">
        <v>0.8398945031221956</v>
      </c>
      <c r="V82" s="28">
        <v>4.7972160391509533E-3</v>
      </c>
      <c r="W82" s="28">
        <v>5.1016315817832947E-2</v>
      </c>
      <c r="X82" s="28">
        <v>0.48722754907794297</v>
      </c>
    </row>
    <row r="83" spans="1:24" ht="13.9">
      <c r="A83" s="1">
        <v>82</v>
      </c>
      <c r="B83" s="23" t="e">
        <f ca="1">_xludf.BETA.INV(R83,'04_PSA_INPUTS'!H5,'04_PSA_INPUTS'!I5)</f>
        <v>#NAME?</v>
      </c>
      <c r="C83" s="23" t="e">
        <f ca="1">_xludf.BETA.INV(S83,'04_PSA_INPUTS'!H6,'04_PSA_INPUTS'!I6)</f>
        <v>#NAME?</v>
      </c>
      <c r="D83" s="27" t="e">
        <f ca="1">_xludf.GAMMA.INV(T83,'04_PSA_INPUTS'!H7,'04_PSA_INPUTS'!I7)</f>
        <v>#NAME?</v>
      </c>
      <c r="E83" s="27" t="e">
        <f ca="1">_xludf.GAMMA.INV(U83,'04_PSA_INPUTS'!H8,'04_PSA_INPUTS'!I8)</f>
        <v>#NAME?</v>
      </c>
      <c r="F83" s="27" t="e">
        <f ca="1">_xludf.GAMMA.INV(V83,'04_PSA_INPUTS'!H9,'04_PSA_INPUTS'!I9)</f>
        <v>#NAME?</v>
      </c>
      <c r="G83" s="23" t="e">
        <f ca="1">_xludf.BETA.INV(W83,'04_PSA_INPUTS'!H10,'04_PSA_INPUTS'!I10)</f>
        <v>#NAME?</v>
      </c>
      <c r="H83" s="23" t="e">
        <f ca="1">_xludf.BETA.INV(X83,'04_PSA_INPUTS'!H11,'04_PSA_INPUTS'!I11)</f>
        <v>#NAME?</v>
      </c>
      <c r="I83" s="27" t="e">
        <f ca="1">D83+B83*F83+'01_INPUTS'!B20</f>
        <v>#NAME?</v>
      </c>
      <c r="J83" s="27" t="e">
        <f ca="1">E83+C83*F83+'01_INPUTS'!B21</f>
        <v>#NAME?</v>
      </c>
      <c r="K83" s="27" t="e">
        <f t="shared" ca="1" si="6"/>
        <v>#NAME?</v>
      </c>
      <c r="L83" s="23" t="e">
        <f t="shared" ca="1" si="7"/>
        <v>#NAME?</v>
      </c>
      <c r="M83" s="23" t="e">
        <f t="shared" ca="1" si="8"/>
        <v>#NAME?</v>
      </c>
      <c r="N83" s="23" t="e">
        <f t="shared" ca="1" si="9"/>
        <v>#NAME?</v>
      </c>
      <c r="O83" s="27" t="e">
        <f t="shared" ca="1" si="10"/>
        <v>#NAME?</v>
      </c>
      <c r="P83" s="27" t="e">
        <f ca="1">'01_INPUTS'!B9*N83-K83</f>
        <v>#NAME?</v>
      </c>
      <c r="Q83" s="1" t="e">
        <f t="shared" ca="1" si="11"/>
        <v>#NAME?</v>
      </c>
      <c r="R83" s="28">
        <v>0.82520765671506524</v>
      </c>
      <c r="S83" s="28">
        <v>0.59184429724700749</v>
      </c>
      <c r="T83" s="28">
        <v>0.3254186138510704</v>
      </c>
      <c r="U83" s="28">
        <v>0.61569025926291943</v>
      </c>
      <c r="V83" s="28">
        <v>0.41301634931005538</v>
      </c>
      <c r="W83" s="28">
        <v>3.0605958076193929E-2</v>
      </c>
      <c r="X83" s="28">
        <v>0.19743151124566793</v>
      </c>
    </row>
    <row r="84" spans="1:24" ht="13.9">
      <c r="A84" s="1">
        <v>83</v>
      </c>
      <c r="B84" s="23" t="e">
        <f ca="1">_xludf.BETA.INV(R84,'04_PSA_INPUTS'!H5,'04_PSA_INPUTS'!I5)</f>
        <v>#NAME?</v>
      </c>
      <c r="C84" s="23" t="e">
        <f ca="1">_xludf.BETA.INV(S84,'04_PSA_INPUTS'!H6,'04_PSA_INPUTS'!I6)</f>
        <v>#NAME?</v>
      </c>
      <c r="D84" s="27" t="e">
        <f ca="1">_xludf.GAMMA.INV(T84,'04_PSA_INPUTS'!H7,'04_PSA_INPUTS'!I7)</f>
        <v>#NAME?</v>
      </c>
      <c r="E84" s="27" t="e">
        <f ca="1">_xludf.GAMMA.INV(U84,'04_PSA_INPUTS'!H8,'04_PSA_INPUTS'!I8)</f>
        <v>#NAME?</v>
      </c>
      <c r="F84" s="27" t="e">
        <f ca="1">_xludf.GAMMA.INV(V84,'04_PSA_INPUTS'!H9,'04_PSA_INPUTS'!I9)</f>
        <v>#NAME?</v>
      </c>
      <c r="G84" s="23" t="e">
        <f ca="1">_xludf.BETA.INV(W84,'04_PSA_INPUTS'!H10,'04_PSA_INPUTS'!I10)</f>
        <v>#NAME?</v>
      </c>
      <c r="H84" s="23" t="e">
        <f ca="1">_xludf.BETA.INV(X84,'04_PSA_INPUTS'!H11,'04_PSA_INPUTS'!I11)</f>
        <v>#NAME?</v>
      </c>
      <c r="I84" s="27" t="e">
        <f ca="1">D84+B84*F84+'01_INPUTS'!B20</f>
        <v>#NAME?</v>
      </c>
      <c r="J84" s="27" t="e">
        <f ca="1">E84+C84*F84+'01_INPUTS'!B21</f>
        <v>#NAME?</v>
      </c>
      <c r="K84" s="27" t="e">
        <f t="shared" ca="1" si="6"/>
        <v>#NAME?</v>
      </c>
      <c r="L84" s="23" t="e">
        <f t="shared" ca="1" si="7"/>
        <v>#NAME?</v>
      </c>
      <c r="M84" s="23" t="e">
        <f t="shared" ca="1" si="8"/>
        <v>#NAME?</v>
      </c>
      <c r="N84" s="23" t="e">
        <f t="shared" ca="1" si="9"/>
        <v>#NAME?</v>
      </c>
      <c r="O84" s="27" t="e">
        <f t="shared" ca="1" si="10"/>
        <v>#NAME?</v>
      </c>
      <c r="P84" s="27" t="e">
        <f ca="1">'01_INPUTS'!B9*N84-K84</f>
        <v>#NAME?</v>
      </c>
      <c r="Q84" s="1" t="e">
        <f t="shared" ca="1" si="11"/>
        <v>#NAME?</v>
      </c>
      <c r="R84" s="28">
        <v>0.30152531620115042</v>
      </c>
      <c r="S84" s="28">
        <v>0.95302525931037962</v>
      </c>
      <c r="T84" s="28">
        <v>0.54080914496444166</v>
      </c>
      <c r="U84" s="28">
        <v>0.92073247767984867</v>
      </c>
      <c r="V84" s="28">
        <v>0.48217636276967824</v>
      </c>
      <c r="W84" s="28">
        <v>0.82792754704132676</v>
      </c>
      <c r="X84" s="28">
        <v>0.12750593456439674</v>
      </c>
    </row>
    <row r="85" spans="1:24" ht="13.9">
      <c r="A85" s="1">
        <v>84</v>
      </c>
      <c r="B85" s="23" t="e">
        <f ca="1">_xludf.BETA.INV(R85,'04_PSA_INPUTS'!H5,'04_PSA_INPUTS'!I5)</f>
        <v>#NAME?</v>
      </c>
      <c r="C85" s="23" t="e">
        <f ca="1">_xludf.BETA.INV(S85,'04_PSA_INPUTS'!H6,'04_PSA_INPUTS'!I6)</f>
        <v>#NAME?</v>
      </c>
      <c r="D85" s="27" t="e">
        <f ca="1">_xludf.GAMMA.INV(T85,'04_PSA_INPUTS'!H7,'04_PSA_INPUTS'!I7)</f>
        <v>#NAME?</v>
      </c>
      <c r="E85" s="27" t="e">
        <f ca="1">_xludf.GAMMA.INV(U85,'04_PSA_INPUTS'!H8,'04_PSA_INPUTS'!I8)</f>
        <v>#NAME?</v>
      </c>
      <c r="F85" s="27" t="e">
        <f ca="1">_xludf.GAMMA.INV(V85,'04_PSA_INPUTS'!H9,'04_PSA_INPUTS'!I9)</f>
        <v>#NAME?</v>
      </c>
      <c r="G85" s="23" t="e">
        <f ca="1">_xludf.BETA.INV(W85,'04_PSA_INPUTS'!H10,'04_PSA_INPUTS'!I10)</f>
        <v>#NAME?</v>
      </c>
      <c r="H85" s="23" t="e">
        <f ca="1">_xludf.BETA.INV(X85,'04_PSA_INPUTS'!H11,'04_PSA_INPUTS'!I11)</f>
        <v>#NAME?</v>
      </c>
      <c r="I85" s="27" t="e">
        <f ca="1">D85+B85*F85+'01_INPUTS'!B20</f>
        <v>#NAME?</v>
      </c>
      <c r="J85" s="27" t="e">
        <f ca="1">E85+C85*F85+'01_INPUTS'!B21</f>
        <v>#NAME?</v>
      </c>
      <c r="K85" s="27" t="e">
        <f t="shared" ca="1" si="6"/>
        <v>#NAME?</v>
      </c>
      <c r="L85" s="23" t="e">
        <f t="shared" ca="1" si="7"/>
        <v>#NAME?</v>
      </c>
      <c r="M85" s="23" t="e">
        <f t="shared" ca="1" si="8"/>
        <v>#NAME?</v>
      </c>
      <c r="N85" s="23" t="e">
        <f t="shared" ca="1" si="9"/>
        <v>#NAME?</v>
      </c>
      <c r="O85" s="27" t="e">
        <f t="shared" ca="1" si="10"/>
        <v>#NAME?</v>
      </c>
      <c r="P85" s="27" t="e">
        <f ca="1">'01_INPUTS'!B9*N85-K85</f>
        <v>#NAME?</v>
      </c>
      <c r="Q85" s="1" t="e">
        <f t="shared" ca="1" si="11"/>
        <v>#NAME?</v>
      </c>
      <c r="R85" s="28">
        <v>0.93394666654057801</v>
      </c>
      <c r="S85" s="28">
        <v>0.12226629629731178</v>
      </c>
      <c r="T85" s="28">
        <v>1.958427531644702E-2</v>
      </c>
      <c r="U85" s="28">
        <v>2.5333848549053073E-2</v>
      </c>
      <c r="V85" s="28">
        <v>0.46226625656709075</v>
      </c>
      <c r="W85" s="28">
        <v>0.54030032362788916</v>
      </c>
      <c r="X85" s="28">
        <v>0.4366904201451689</v>
      </c>
    </row>
    <row r="86" spans="1:24" ht="13.9">
      <c r="A86" s="1">
        <v>85</v>
      </c>
      <c r="B86" s="23" t="e">
        <f ca="1">_xludf.BETA.INV(R86,'04_PSA_INPUTS'!H5,'04_PSA_INPUTS'!I5)</f>
        <v>#NAME?</v>
      </c>
      <c r="C86" s="23" t="e">
        <f ca="1">_xludf.BETA.INV(S86,'04_PSA_INPUTS'!H6,'04_PSA_INPUTS'!I6)</f>
        <v>#NAME?</v>
      </c>
      <c r="D86" s="27" t="e">
        <f ca="1">_xludf.GAMMA.INV(T86,'04_PSA_INPUTS'!H7,'04_PSA_INPUTS'!I7)</f>
        <v>#NAME?</v>
      </c>
      <c r="E86" s="27" t="e">
        <f ca="1">_xludf.GAMMA.INV(U86,'04_PSA_INPUTS'!H8,'04_PSA_INPUTS'!I8)</f>
        <v>#NAME?</v>
      </c>
      <c r="F86" s="27" t="e">
        <f ca="1">_xludf.GAMMA.INV(V86,'04_PSA_INPUTS'!H9,'04_PSA_INPUTS'!I9)</f>
        <v>#NAME?</v>
      </c>
      <c r="G86" s="23" t="e">
        <f ca="1">_xludf.BETA.INV(W86,'04_PSA_INPUTS'!H10,'04_PSA_INPUTS'!I10)</f>
        <v>#NAME?</v>
      </c>
      <c r="H86" s="23" t="e">
        <f ca="1">_xludf.BETA.INV(X86,'04_PSA_INPUTS'!H11,'04_PSA_INPUTS'!I11)</f>
        <v>#NAME?</v>
      </c>
      <c r="I86" s="27" t="e">
        <f ca="1">D86+B86*F86+'01_INPUTS'!B20</f>
        <v>#NAME?</v>
      </c>
      <c r="J86" s="27" t="e">
        <f ca="1">E86+C86*F86+'01_INPUTS'!B21</f>
        <v>#NAME?</v>
      </c>
      <c r="K86" s="27" t="e">
        <f t="shared" ca="1" si="6"/>
        <v>#NAME?</v>
      </c>
      <c r="L86" s="23" t="e">
        <f t="shared" ca="1" si="7"/>
        <v>#NAME?</v>
      </c>
      <c r="M86" s="23" t="e">
        <f t="shared" ca="1" si="8"/>
        <v>#NAME?</v>
      </c>
      <c r="N86" s="23" t="e">
        <f t="shared" ca="1" si="9"/>
        <v>#NAME?</v>
      </c>
      <c r="O86" s="27" t="e">
        <f t="shared" ca="1" si="10"/>
        <v>#NAME?</v>
      </c>
      <c r="P86" s="27" t="e">
        <f ca="1">'01_INPUTS'!B9*N86-K86</f>
        <v>#NAME?</v>
      </c>
      <c r="Q86" s="1" t="e">
        <f t="shared" ca="1" si="11"/>
        <v>#NAME?</v>
      </c>
      <c r="R86" s="28">
        <v>0.66475219279527664</v>
      </c>
      <c r="S86" s="28">
        <v>0.13004170334897935</v>
      </c>
      <c r="T86" s="28">
        <v>0.91989271249622107</v>
      </c>
      <c r="U86" s="28">
        <v>0.33131398679688573</v>
      </c>
      <c r="V86" s="28">
        <v>0.34334293589927256</v>
      </c>
      <c r="W86" s="28">
        <v>0.11461073509417474</v>
      </c>
      <c r="X86" s="28">
        <v>0.75820678356103599</v>
      </c>
    </row>
    <row r="87" spans="1:24" ht="13.9">
      <c r="A87" s="1">
        <v>86</v>
      </c>
      <c r="B87" s="23" t="e">
        <f ca="1">_xludf.BETA.INV(R87,'04_PSA_INPUTS'!H5,'04_PSA_INPUTS'!I5)</f>
        <v>#NAME?</v>
      </c>
      <c r="C87" s="23" t="e">
        <f ca="1">_xludf.BETA.INV(S87,'04_PSA_INPUTS'!H6,'04_PSA_INPUTS'!I6)</f>
        <v>#NAME?</v>
      </c>
      <c r="D87" s="27" t="e">
        <f ca="1">_xludf.GAMMA.INV(T87,'04_PSA_INPUTS'!H7,'04_PSA_INPUTS'!I7)</f>
        <v>#NAME?</v>
      </c>
      <c r="E87" s="27" t="e">
        <f ca="1">_xludf.GAMMA.INV(U87,'04_PSA_INPUTS'!H8,'04_PSA_INPUTS'!I8)</f>
        <v>#NAME?</v>
      </c>
      <c r="F87" s="27" t="e">
        <f ca="1">_xludf.GAMMA.INV(V87,'04_PSA_INPUTS'!H9,'04_PSA_INPUTS'!I9)</f>
        <v>#NAME?</v>
      </c>
      <c r="G87" s="23" t="e">
        <f ca="1">_xludf.BETA.INV(W87,'04_PSA_INPUTS'!H10,'04_PSA_INPUTS'!I10)</f>
        <v>#NAME?</v>
      </c>
      <c r="H87" s="23" t="e">
        <f ca="1">_xludf.BETA.INV(X87,'04_PSA_INPUTS'!H11,'04_PSA_INPUTS'!I11)</f>
        <v>#NAME?</v>
      </c>
      <c r="I87" s="27" t="e">
        <f ca="1">D87+B87*F87+'01_INPUTS'!B20</f>
        <v>#NAME?</v>
      </c>
      <c r="J87" s="27" t="e">
        <f ca="1">E87+C87*F87+'01_INPUTS'!B21</f>
        <v>#NAME?</v>
      </c>
      <c r="K87" s="27" t="e">
        <f t="shared" ca="1" si="6"/>
        <v>#NAME?</v>
      </c>
      <c r="L87" s="23" t="e">
        <f t="shared" ca="1" si="7"/>
        <v>#NAME?</v>
      </c>
      <c r="M87" s="23" t="e">
        <f t="shared" ca="1" si="8"/>
        <v>#NAME?</v>
      </c>
      <c r="N87" s="23" t="e">
        <f t="shared" ca="1" si="9"/>
        <v>#NAME?</v>
      </c>
      <c r="O87" s="27" t="e">
        <f t="shared" ca="1" si="10"/>
        <v>#NAME?</v>
      </c>
      <c r="P87" s="27" t="e">
        <f ca="1">'01_INPUTS'!B9*N87-K87</f>
        <v>#NAME?</v>
      </c>
      <c r="Q87" s="1" t="e">
        <f t="shared" ca="1" si="11"/>
        <v>#NAME?</v>
      </c>
      <c r="R87" s="28">
        <v>6.7372850608080626E-3</v>
      </c>
      <c r="S87" s="28">
        <v>0.92476899619214237</v>
      </c>
      <c r="T87" s="28">
        <v>0.62066713790409267</v>
      </c>
      <c r="U87" s="28">
        <v>0.19762635254301131</v>
      </c>
      <c r="V87" s="28">
        <v>0.15915276925079525</v>
      </c>
      <c r="W87" s="28">
        <v>0.32707503763958812</v>
      </c>
      <c r="X87" s="28">
        <v>0.22060382436029613</v>
      </c>
    </row>
    <row r="88" spans="1:24" ht="13.9">
      <c r="A88" s="1">
        <v>87</v>
      </c>
      <c r="B88" s="23" t="e">
        <f ca="1">_xludf.BETA.INV(R88,'04_PSA_INPUTS'!H5,'04_PSA_INPUTS'!I5)</f>
        <v>#NAME?</v>
      </c>
      <c r="C88" s="23" t="e">
        <f ca="1">_xludf.BETA.INV(S88,'04_PSA_INPUTS'!H6,'04_PSA_INPUTS'!I6)</f>
        <v>#NAME?</v>
      </c>
      <c r="D88" s="27" t="e">
        <f ca="1">_xludf.GAMMA.INV(T88,'04_PSA_INPUTS'!H7,'04_PSA_INPUTS'!I7)</f>
        <v>#NAME?</v>
      </c>
      <c r="E88" s="27" t="e">
        <f ca="1">_xludf.GAMMA.INV(U88,'04_PSA_INPUTS'!H8,'04_PSA_INPUTS'!I8)</f>
        <v>#NAME?</v>
      </c>
      <c r="F88" s="27" t="e">
        <f ca="1">_xludf.GAMMA.INV(V88,'04_PSA_INPUTS'!H9,'04_PSA_INPUTS'!I9)</f>
        <v>#NAME?</v>
      </c>
      <c r="G88" s="23" t="e">
        <f ca="1">_xludf.BETA.INV(W88,'04_PSA_INPUTS'!H10,'04_PSA_INPUTS'!I10)</f>
        <v>#NAME?</v>
      </c>
      <c r="H88" s="23" t="e">
        <f ca="1">_xludf.BETA.INV(X88,'04_PSA_INPUTS'!H11,'04_PSA_INPUTS'!I11)</f>
        <v>#NAME?</v>
      </c>
      <c r="I88" s="27" t="e">
        <f ca="1">D88+B88*F88+'01_INPUTS'!B20</f>
        <v>#NAME?</v>
      </c>
      <c r="J88" s="27" t="e">
        <f ca="1">E88+C88*F88+'01_INPUTS'!B21</f>
        <v>#NAME?</v>
      </c>
      <c r="K88" s="27" t="e">
        <f t="shared" ca="1" si="6"/>
        <v>#NAME?</v>
      </c>
      <c r="L88" s="23" t="e">
        <f t="shared" ca="1" si="7"/>
        <v>#NAME?</v>
      </c>
      <c r="M88" s="23" t="e">
        <f t="shared" ca="1" si="8"/>
        <v>#NAME?</v>
      </c>
      <c r="N88" s="23" t="e">
        <f t="shared" ca="1" si="9"/>
        <v>#NAME?</v>
      </c>
      <c r="O88" s="27" t="e">
        <f t="shared" ca="1" si="10"/>
        <v>#NAME?</v>
      </c>
      <c r="P88" s="27" t="e">
        <f ca="1">'01_INPUTS'!B9*N88-K88</f>
        <v>#NAME?</v>
      </c>
      <c r="Q88" s="1" t="e">
        <f t="shared" ca="1" si="11"/>
        <v>#NAME?</v>
      </c>
      <c r="R88" s="28">
        <v>0.53246219921857119</v>
      </c>
      <c r="S88" s="28">
        <v>2.9186767758801579E-2</v>
      </c>
      <c r="T88" s="28">
        <v>0.8648350746370852</v>
      </c>
      <c r="U88" s="28">
        <v>0.54246619623154402</v>
      </c>
      <c r="V88" s="28">
        <v>0.46354047092609107</v>
      </c>
      <c r="W88" s="28">
        <v>0.77271998254582286</v>
      </c>
      <c r="X88" s="28">
        <v>0.49097945634275675</v>
      </c>
    </row>
    <row r="89" spans="1:24" ht="13.9">
      <c r="A89" s="1">
        <v>88</v>
      </c>
      <c r="B89" s="23" t="e">
        <f ca="1">_xludf.BETA.INV(R89,'04_PSA_INPUTS'!H5,'04_PSA_INPUTS'!I5)</f>
        <v>#NAME?</v>
      </c>
      <c r="C89" s="23" t="e">
        <f ca="1">_xludf.BETA.INV(S89,'04_PSA_INPUTS'!H6,'04_PSA_INPUTS'!I6)</f>
        <v>#NAME?</v>
      </c>
      <c r="D89" s="27" t="e">
        <f ca="1">_xludf.GAMMA.INV(T89,'04_PSA_INPUTS'!H7,'04_PSA_INPUTS'!I7)</f>
        <v>#NAME?</v>
      </c>
      <c r="E89" s="27" t="e">
        <f ca="1">_xludf.GAMMA.INV(U89,'04_PSA_INPUTS'!H8,'04_PSA_INPUTS'!I8)</f>
        <v>#NAME?</v>
      </c>
      <c r="F89" s="27" t="e">
        <f ca="1">_xludf.GAMMA.INV(V89,'04_PSA_INPUTS'!H9,'04_PSA_INPUTS'!I9)</f>
        <v>#NAME?</v>
      </c>
      <c r="G89" s="23" t="e">
        <f ca="1">_xludf.BETA.INV(W89,'04_PSA_INPUTS'!H10,'04_PSA_INPUTS'!I10)</f>
        <v>#NAME?</v>
      </c>
      <c r="H89" s="23" t="e">
        <f ca="1">_xludf.BETA.INV(X89,'04_PSA_INPUTS'!H11,'04_PSA_INPUTS'!I11)</f>
        <v>#NAME?</v>
      </c>
      <c r="I89" s="27" t="e">
        <f ca="1">D89+B89*F89+'01_INPUTS'!B20</f>
        <v>#NAME?</v>
      </c>
      <c r="J89" s="27" t="e">
        <f ca="1">E89+C89*F89+'01_INPUTS'!B21</f>
        <v>#NAME?</v>
      </c>
      <c r="K89" s="27" t="e">
        <f t="shared" ca="1" si="6"/>
        <v>#NAME?</v>
      </c>
      <c r="L89" s="23" t="e">
        <f t="shared" ca="1" si="7"/>
        <v>#NAME?</v>
      </c>
      <c r="M89" s="23" t="e">
        <f t="shared" ca="1" si="8"/>
        <v>#NAME?</v>
      </c>
      <c r="N89" s="23" t="e">
        <f t="shared" ca="1" si="9"/>
        <v>#NAME?</v>
      </c>
      <c r="O89" s="27" t="e">
        <f t="shared" ca="1" si="10"/>
        <v>#NAME?</v>
      </c>
      <c r="P89" s="27" t="e">
        <f ca="1">'01_INPUTS'!B9*N89-K89</f>
        <v>#NAME?</v>
      </c>
      <c r="Q89" s="1" t="e">
        <f t="shared" ca="1" si="11"/>
        <v>#NAME?</v>
      </c>
      <c r="R89" s="28">
        <v>6.4458819106221199E-2</v>
      </c>
      <c r="S89" s="28">
        <v>0.60059931571595371</v>
      </c>
      <c r="T89" s="28">
        <v>0.88619377417489886</v>
      </c>
      <c r="U89" s="28">
        <v>0.41445933724753559</v>
      </c>
      <c r="V89" s="28">
        <v>0.28617456275969744</v>
      </c>
      <c r="W89" s="28">
        <v>7.2133922483772039E-2</v>
      </c>
      <c r="X89" s="28">
        <v>2.814550930634141E-2</v>
      </c>
    </row>
    <row r="90" spans="1:24" ht="13.9">
      <c r="A90" s="1">
        <v>89</v>
      </c>
      <c r="B90" s="23" t="e">
        <f ca="1">_xludf.BETA.INV(R90,'04_PSA_INPUTS'!H5,'04_PSA_INPUTS'!I5)</f>
        <v>#NAME?</v>
      </c>
      <c r="C90" s="23" t="e">
        <f ca="1">_xludf.BETA.INV(S90,'04_PSA_INPUTS'!H6,'04_PSA_INPUTS'!I6)</f>
        <v>#NAME?</v>
      </c>
      <c r="D90" s="27" t="e">
        <f ca="1">_xludf.GAMMA.INV(T90,'04_PSA_INPUTS'!H7,'04_PSA_INPUTS'!I7)</f>
        <v>#NAME?</v>
      </c>
      <c r="E90" s="27" t="e">
        <f ca="1">_xludf.GAMMA.INV(U90,'04_PSA_INPUTS'!H8,'04_PSA_INPUTS'!I8)</f>
        <v>#NAME?</v>
      </c>
      <c r="F90" s="27" t="e">
        <f ca="1">_xludf.GAMMA.INV(V90,'04_PSA_INPUTS'!H9,'04_PSA_INPUTS'!I9)</f>
        <v>#NAME?</v>
      </c>
      <c r="G90" s="23" t="e">
        <f ca="1">_xludf.BETA.INV(W90,'04_PSA_INPUTS'!H10,'04_PSA_INPUTS'!I10)</f>
        <v>#NAME?</v>
      </c>
      <c r="H90" s="23" t="e">
        <f ca="1">_xludf.BETA.INV(X90,'04_PSA_INPUTS'!H11,'04_PSA_INPUTS'!I11)</f>
        <v>#NAME?</v>
      </c>
      <c r="I90" s="27" t="e">
        <f ca="1">D90+B90*F90+'01_INPUTS'!B20</f>
        <v>#NAME?</v>
      </c>
      <c r="J90" s="27" t="e">
        <f ca="1">E90+C90*F90+'01_INPUTS'!B21</f>
        <v>#NAME?</v>
      </c>
      <c r="K90" s="27" t="e">
        <f t="shared" ca="1" si="6"/>
        <v>#NAME?</v>
      </c>
      <c r="L90" s="23" t="e">
        <f t="shared" ca="1" si="7"/>
        <v>#NAME?</v>
      </c>
      <c r="M90" s="23" t="e">
        <f t="shared" ca="1" si="8"/>
        <v>#NAME?</v>
      </c>
      <c r="N90" s="23" t="e">
        <f t="shared" ca="1" si="9"/>
        <v>#NAME?</v>
      </c>
      <c r="O90" s="27" t="e">
        <f t="shared" ca="1" si="10"/>
        <v>#NAME?</v>
      </c>
      <c r="P90" s="27" t="e">
        <f ca="1">'01_INPUTS'!B9*N90-K90</f>
        <v>#NAME?</v>
      </c>
      <c r="Q90" s="1" t="e">
        <f t="shared" ca="1" si="11"/>
        <v>#NAME?</v>
      </c>
      <c r="R90" s="28">
        <v>0.21616929699666798</v>
      </c>
      <c r="S90" s="28">
        <v>0.31710542342625558</v>
      </c>
      <c r="T90" s="28">
        <v>0.29648369061760604</v>
      </c>
      <c r="U90" s="28">
        <v>0.93026841431856155</v>
      </c>
      <c r="V90" s="28">
        <v>0.12646095175296068</v>
      </c>
      <c r="W90" s="28">
        <v>0.43326891562901437</v>
      </c>
      <c r="X90" s="28">
        <v>0.17486521950922906</v>
      </c>
    </row>
    <row r="91" spans="1:24" ht="13.9">
      <c r="A91" s="1">
        <v>90</v>
      </c>
      <c r="B91" s="23" t="e">
        <f ca="1">_xludf.BETA.INV(R91,'04_PSA_INPUTS'!H5,'04_PSA_INPUTS'!I5)</f>
        <v>#NAME?</v>
      </c>
      <c r="C91" s="23" t="e">
        <f ca="1">_xludf.BETA.INV(S91,'04_PSA_INPUTS'!H6,'04_PSA_INPUTS'!I6)</f>
        <v>#NAME?</v>
      </c>
      <c r="D91" s="27" t="e">
        <f ca="1">_xludf.GAMMA.INV(T91,'04_PSA_INPUTS'!H7,'04_PSA_INPUTS'!I7)</f>
        <v>#NAME?</v>
      </c>
      <c r="E91" s="27" t="e">
        <f ca="1">_xludf.GAMMA.INV(U91,'04_PSA_INPUTS'!H8,'04_PSA_INPUTS'!I8)</f>
        <v>#NAME?</v>
      </c>
      <c r="F91" s="27" t="e">
        <f ca="1">_xludf.GAMMA.INV(V91,'04_PSA_INPUTS'!H9,'04_PSA_INPUTS'!I9)</f>
        <v>#NAME?</v>
      </c>
      <c r="G91" s="23" t="e">
        <f ca="1">_xludf.BETA.INV(W91,'04_PSA_INPUTS'!H10,'04_PSA_INPUTS'!I10)</f>
        <v>#NAME?</v>
      </c>
      <c r="H91" s="23" t="e">
        <f ca="1">_xludf.BETA.INV(X91,'04_PSA_INPUTS'!H11,'04_PSA_INPUTS'!I11)</f>
        <v>#NAME?</v>
      </c>
      <c r="I91" s="27" t="e">
        <f ca="1">D91+B91*F91+'01_INPUTS'!B20</f>
        <v>#NAME?</v>
      </c>
      <c r="J91" s="27" t="e">
        <f ca="1">E91+C91*F91+'01_INPUTS'!B21</f>
        <v>#NAME?</v>
      </c>
      <c r="K91" s="27" t="e">
        <f t="shared" ca="1" si="6"/>
        <v>#NAME?</v>
      </c>
      <c r="L91" s="23" t="e">
        <f t="shared" ca="1" si="7"/>
        <v>#NAME?</v>
      </c>
      <c r="M91" s="23" t="e">
        <f t="shared" ca="1" si="8"/>
        <v>#NAME?</v>
      </c>
      <c r="N91" s="23" t="e">
        <f t="shared" ca="1" si="9"/>
        <v>#NAME?</v>
      </c>
      <c r="O91" s="27" t="e">
        <f t="shared" ca="1" si="10"/>
        <v>#NAME?</v>
      </c>
      <c r="P91" s="27" t="e">
        <f ca="1">'01_INPUTS'!B9*N91-K91</f>
        <v>#NAME?</v>
      </c>
      <c r="Q91" s="1" t="e">
        <f t="shared" ca="1" si="11"/>
        <v>#NAME?</v>
      </c>
      <c r="R91" s="28">
        <v>0.79698920575901866</v>
      </c>
      <c r="S91" s="28">
        <v>0.81724909809418023</v>
      </c>
      <c r="T91" s="28">
        <v>0.58589822635985911</v>
      </c>
      <c r="U91" s="28">
        <v>0.12491810182109475</v>
      </c>
      <c r="V91" s="28">
        <v>0.54037637985311449</v>
      </c>
      <c r="W91" s="28">
        <v>0.58539428259246051</v>
      </c>
      <c r="X91" s="28">
        <v>0.76978178834542632</v>
      </c>
    </row>
    <row r="92" spans="1:24" ht="13.9">
      <c r="A92" s="1">
        <v>91</v>
      </c>
      <c r="B92" s="23" t="e">
        <f ca="1">_xludf.BETA.INV(R92,'04_PSA_INPUTS'!H5,'04_PSA_INPUTS'!I5)</f>
        <v>#NAME?</v>
      </c>
      <c r="C92" s="23" t="e">
        <f ca="1">_xludf.BETA.INV(S92,'04_PSA_INPUTS'!H6,'04_PSA_INPUTS'!I6)</f>
        <v>#NAME?</v>
      </c>
      <c r="D92" s="27" t="e">
        <f ca="1">_xludf.GAMMA.INV(T92,'04_PSA_INPUTS'!H7,'04_PSA_INPUTS'!I7)</f>
        <v>#NAME?</v>
      </c>
      <c r="E92" s="27" t="e">
        <f ca="1">_xludf.GAMMA.INV(U92,'04_PSA_INPUTS'!H8,'04_PSA_INPUTS'!I8)</f>
        <v>#NAME?</v>
      </c>
      <c r="F92" s="27" t="e">
        <f ca="1">_xludf.GAMMA.INV(V92,'04_PSA_INPUTS'!H9,'04_PSA_INPUTS'!I9)</f>
        <v>#NAME?</v>
      </c>
      <c r="G92" s="23" t="e">
        <f ca="1">_xludf.BETA.INV(W92,'04_PSA_INPUTS'!H10,'04_PSA_INPUTS'!I10)</f>
        <v>#NAME?</v>
      </c>
      <c r="H92" s="23" t="e">
        <f ca="1">_xludf.BETA.INV(X92,'04_PSA_INPUTS'!H11,'04_PSA_INPUTS'!I11)</f>
        <v>#NAME?</v>
      </c>
      <c r="I92" s="27" t="e">
        <f ca="1">D92+B92*F92+'01_INPUTS'!B20</f>
        <v>#NAME?</v>
      </c>
      <c r="J92" s="27" t="e">
        <f ca="1">E92+C92*F92+'01_INPUTS'!B21</f>
        <v>#NAME?</v>
      </c>
      <c r="K92" s="27" t="e">
        <f t="shared" ca="1" si="6"/>
        <v>#NAME?</v>
      </c>
      <c r="L92" s="23" t="e">
        <f t="shared" ca="1" si="7"/>
        <v>#NAME?</v>
      </c>
      <c r="M92" s="23" t="e">
        <f t="shared" ca="1" si="8"/>
        <v>#NAME?</v>
      </c>
      <c r="N92" s="23" t="e">
        <f t="shared" ca="1" si="9"/>
        <v>#NAME?</v>
      </c>
      <c r="O92" s="27" t="e">
        <f t="shared" ca="1" si="10"/>
        <v>#NAME?</v>
      </c>
      <c r="P92" s="27" t="e">
        <f ca="1">'01_INPUTS'!B9*N92-K92</f>
        <v>#NAME?</v>
      </c>
      <c r="Q92" s="1" t="e">
        <f t="shared" ca="1" si="11"/>
        <v>#NAME?</v>
      </c>
      <c r="R92" s="28">
        <v>0.31460909312590957</v>
      </c>
      <c r="S92" s="28">
        <v>0.93325515068136156</v>
      </c>
      <c r="T92" s="28">
        <v>0.86661861836910248</v>
      </c>
      <c r="U92" s="28">
        <v>0.65983962919563055</v>
      </c>
      <c r="V92" s="28">
        <v>0.43748961971141398</v>
      </c>
      <c r="W92" s="28">
        <v>0.43601206294260919</v>
      </c>
      <c r="X92" s="28">
        <v>0.94791751191951334</v>
      </c>
    </row>
    <row r="93" spans="1:24" ht="13.9">
      <c r="A93" s="1">
        <v>92</v>
      </c>
      <c r="B93" s="23" t="e">
        <f ca="1">_xludf.BETA.INV(R93,'04_PSA_INPUTS'!H5,'04_PSA_INPUTS'!I5)</f>
        <v>#NAME?</v>
      </c>
      <c r="C93" s="23" t="e">
        <f ca="1">_xludf.BETA.INV(S93,'04_PSA_INPUTS'!H6,'04_PSA_INPUTS'!I6)</f>
        <v>#NAME?</v>
      </c>
      <c r="D93" s="27" t="e">
        <f ca="1">_xludf.GAMMA.INV(T93,'04_PSA_INPUTS'!H7,'04_PSA_INPUTS'!I7)</f>
        <v>#NAME?</v>
      </c>
      <c r="E93" s="27" t="e">
        <f ca="1">_xludf.GAMMA.INV(U93,'04_PSA_INPUTS'!H8,'04_PSA_INPUTS'!I8)</f>
        <v>#NAME?</v>
      </c>
      <c r="F93" s="27" t="e">
        <f ca="1">_xludf.GAMMA.INV(V93,'04_PSA_INPUTS'!H9,'04_PSA_INPUTS'!I9)</f>
        <v>#NAME?</v>
      </c>
      <c r="G93" s="23" t="e">
        <f ca="1">_xludf.BETA.INV(W93,'04_PSA_INPUTS'!H10,'04_PSA_INPUTS'!I10)</f>
        <v>#NAME?</v>
      </c>
      <c r="H93" s="23" t="e">
        <f ca="1">_xludf.BETA.INV(X93,'04_PSA_INPUTS'!H11,'04_PSA_INPUTS'!I11)</f>
        <v>#NAME?</v>
      </c>
      <c r="I93" s="27" t="e">
        <f ca="1">D93+B93*F93+'01_INPUTS'!B20</f>
        <v>#NAME?</v>
      </c>
      <c r="J93" s="27" t="e">
        <f ca="1">E93+C93*F93+'01_INPUTS'!B21</f>
        <v>#NAME?</v>
      </c>
      <c r="K93" s="27" t="e">
        <f t="shared" ca="1" si="6"/>
        <v>#NAME?</v>
      </c>
      <c r="L93" s="23" t="e">
        <f t="shared" ca="1" si="7"/>
        <v>#NAME?</v>
      </c>
      <c r="M93" s="23" t="e">
        <f t="shared" ca="1" si="8"/>
        <v>#NAME?</v>
      </c>
      <c r="N93" s="23" t="e">
        <f t="shared" ca="1" si="9"/>
        <v>#NAME?</v>
      </c>
      <c r="O93" s="27" t="e">
        <f t="shared" ca="1" si="10"/>
        <v>#NAME?</v>
      </c>
      <c r="P93" s="27" t="e">
        <f ca="1">'01_INPUTS'!B9*N93-K93</f>
        <v>#NAME?</v>
      </c>
      <c r="Q93" s="1" t="e">
        <f t="shared" ca="1" si="11"/>
        <v>#NAME?</v>
      </c>
      <c r="R93" s="28">
        <v>0.77336125331930816</v>
      </c>
      <c r="S93" s="28">
        <v>0.86447382089681923</v>
      </c>
      <c r="T93" s="28">
        <v>0.84764903131872416</v>
      </c>
      <c r="U93" s="28">
        <v>0.96133317542262375</v>
      </c>
      <c r="V93" s="28">
        <v>0.47433983045630157</v>
      </c>
      <c r="W93" s="28">
        <v>0.23288321308791637</v>
      </c>
      <c r="X93" s="28">
        <v>0.54434049245901406</v>
      </c>
    </row>
    <row r="94" spans="1:24" ht="13.9">
      <c r="A94" s="1">
        <v>93</v>
      </c>
      <c r="B94" s="23" t="e">
        <f ca="1">_xludf.BETA.INV(R94,'04_PSA_INPUTS'!H5,'04_PSA_INPUTS'!I5)</f>
        <v>#NAME?</v>
      </c>
      <c r="C94" s="23" t="e">
        <f ca="1">_xludf.BETA.INV(S94,'04_PSA_INPUTS'!H6,'04_PSA_INPUTS'!I6)</f>
        <v>#NAME?</v>
      </c>
      <c r="D94" s="27" t="e">
        <f ca="1">_xludf.GAMMA.INV(T94,'04_PSA_INPUTS'!H7,'04_PSA_INPUTS'!I7)</f>
        <v>#NAME?</v>
      </c>
      <c r="E94" s="27" t="e">
        <f ca="1">_xludf.GAMMA.INV(U94,'04_PSA_INPUTS'!H8,'04_PSA_INPUTS'!I8)</f>
        <v>#NAME?</v>
      </c>
      <c r="F94" s="27" t="e">
        <f ca="1">_xludf.GAMMA.INV(V94,'04_PSA_INPUTS'!H9,'04_PSA_INPUTS'!I9)</f>
        <v>#NAME?</v>
      </c>
      <c r="G94" s="23" t="e">
        <f ca="1">_xludf.BETA.INV(W94,'04_PSA_INPUTS'!H10,'04_PSA_INPUTS'!I10)</f>
        <v>#NAME?</v>
      </c>
      <c r="H94" s="23" t="e">
        <f ca="1">_xludf.BETA.INV(X94,'04_PSA_INPUTS'!H11,'04_PSA_INPUTS'!I11)</f>
        <v>#NAME?</v>
      </c>
      <c r="I94" s="27" t="e">
        <f ca="1">D94+B94*F94+'01_INPUTS'!B20</f>
        <v>#NAME?</v>
      </c>
      <c r="J94" s="27" t="e">
        <f ca="1">E94+C94*F94+'01_INPUTS'!B21</f>
        <v>#NAME?</v>
      </c>
      <c r="K94" s="27" t="e">
        <f t="shared" ca="1" si="6"/>
        <v>#NAME?</v>
      </c>
      <c r="L94" s="23" t="e">
        <f t="shared" ca="1" si="7"/>
        <v>#NAME?</v>
      </c>
      <c r="M94" s="23" t="e">
        <f t="shared" ca="1" si="8"/>
        <v>#NAME?</v>
      </c>
      <c r="N94" s="23" t="e">
        <f t="shared" ca="1" si="9"/>
        <v>#NAME?</v>
      </c>
      <c r="O94" s="27" t="e">
        <f t="shared" ca="1" si="10"/>
        <v>#NAME?</v>
      </c>
      <c r="P94" s="27" t="e">
        <f ca="1">'01_INPUTS'!B9*N94-K94</f>
        <v>#NAME?</v>
      </c>
      <c r="Q94" s="1" t="e">
        <f t="shared" ca="1" si="11"/>
        <v>#NAME?</v>
      </c>
      <c r="R94" s="28">
        <v>0.37114998628385365</v>
      </c>
      <c r="S94" s="28">
        <v>0.10268406523391604</v>
      </c>
      <c r="T94" s="28">
        <v>0.37479154579341412</v>
      </c>
      <c r="U94" s="28">
        <v>0.10277811763808131</v>
      </c>
      <c r="V94" s="28">
        <v>0.57789088878780603</v>
      </c>
      <c r="W94" s="28">
        <v>0.77387272100895643</v>
      </c>
      <c r="X94" s="28">
        <v>0.84507468529045582</v>
      </c>
    </row>
    <row r="95" spans="1:24" ht="13.9">
      <c r="A95" s="1">
        <v>94</v>
      </c>
      <c r="B95" s="23" t="e">
        <f ca="1">_xludf.BETA.INV(R95,'04_PSA_INPUTS'!H5,'04_PSA_INPUTS'!I5)</f>
        <v>#NAME?</v>
      </c>
      <c r="C95" s="23" t="e">
        <f ca="1">_xludf.BETA.INV(S95,'04_PSA_INPUTS'!H6,'04_PSA_INPUTS'!I6)</f>
        <v>#NAME?</v>
      </c>
      <c r="D95" s="27" t="e">
        <f ca="1">_xludf.GAMMA.INV(T95,'04_PSA_INPUTS'!H7,'04_PSA_INPUTS'!I7)</f>
        <v>#NAME?</v>
      </c>
      <c r="E95" s="27" t="e">
        <f ca="1">_xludf.GAMMA.INV(U95,'04_PSA_INPUTS'!H8,'04_PSA_INPUTS'!I8)</f>
        <v>#NAME?</v>
      </c>
      <c r="F95" s="27" t="e">
        <f ca="1">_xludf.GAMMA.INV(V95,'04_PSA_INPUTS'!H9,'04_PSA_INPUTS'!I9)</f>
        <v>#NAME?</v>
      </c>
      <c r="G95" s="23" t="e">
        <f ca="1">_xludf.BETA.INV(W95,'04_PSA_INPUTS'!H10,'04_PSA_INPUTS'!I10)</f>
        <v>#NAME?</v>
      </c>
      <c r="H95" s="23" t="e">
        <f ca="1">_xludf.BETA.INV(X95,'04_PSA_INPUTS'!H11,'04_PSA_INPUTS'!I11)</f>
        <v>#NAME?</v>
      </c>
      <c r="I95" s="27" t="e">
        <f ca="1">D95+B95*F95+'01_INPUTS'!B20</f>
        <v>#NAME?</v>
      </c>
      <c r="J95" s="27" t="e">
        <f ca="1">E95+C95*F95+'01_INPUTS'!B21</f>
        <v>#NAME?</v>
      </c>
      <c r="K95" s="27" t="e">
        <f t="shared" ca="1" si="6"/>
        <v>#NAME?</v>
      </c>
      <c r="L95" s="23" t="e">
        <f t="shared" ca="1" si="7"/>
        <v>#NAME?</v>
      </c>
      <c r="M95" s="23" t="e">
        <f t="shared" ca="1" si="8"/>
        <v>#NAME?</v>
      </c>
      <c r="N95" s="23" t="e">
        <f t="shared" ca="1" si="9"/>
        <v>#NAME?</v>
      </c>
      <c r="O95" s="27" t="e">
        <f t="shared" ca="1" si="10"/>
        <v>#NAME?</v>
      </c>
      <c r="P95" s="27" t="e">
        <f ca="1">'01_INPUTS'!B9*N95-K95</f>
        <v>#NAME?</v>
      </c>
      <c r="Q95" s="1" t="e">
        <f t="shared" ca="1" si="11"/>
        <v>#NAME?</v>
      </c>
      <c r="R95" s="28">
        <v>0.39276865590363741</v>
      </c>
      <c r="S95" s="28">
        <v>0.5162470752838999</v>
      </c>
      <c r="T95" s="28">
        <v>0.46606390154920518</v>
      </c>
      <c r="U95" s="28">
        <v>0.51615494815632701</v>
      </c>
      <c r="V95" s="28">
        <v>4.7562203602865338E-2</v>
      </c>
      <c r="W95" s="28">
        <v>0.77073303842917085</v>
      </c>
      <c r="X95" s="28">
        <v>0.28949363599531353</v>
      </c>
    </row>
    <row r="96" spans="1:24" ht="13.9">
      <c r="A96" s="1">
        <v>95</v>
      </c>
      <c r="B96" s="23" t="e">
        <f ca="1">_xludf.BETA.INV(R96,'04_PSA_INPUTS'!H5,'04_PSA_INPUTS'!I5)</f>
        <v>#NAME?</v>
      </c>
      <c r="C96" s="23" t="e">
        <f ca="1">_xludf.BETA.INV(S96,'04_PSA_INPUTS'!H6,'04_PSA_INPUTS'!I6)</f>
        <v>#NAME?</v>
      </c>
      <c r="D96" s="27" t="e">
        <f ca="1">_xludf.GAMMA.INV(T96,'04_PSA_INPUTS'!H7,'04_PSA_INPUTS'!I7)</f>
        <v>#NAME?</v>
      </c>
      <c r="E96" s="27" t="e">
        <f ca="1">_xludf.GAMMA.INV(U96,'04_PSA_INPUTS'!H8,'04_PSA_INPUTS'!I8)</f>
        <v>#NAME?</v>
      </c>
      <c r="F96" s="27" t="e">
        <f ca="1">_xludf.GAMMA.INV(V96,'04_PSA_INPUTS'!H9,'04_PSA_INPUTS'!I9)</f>
        <v>#NAME?</v>
      </c>
      <c r="G96" s="23" t="e">
        <f ca="1">_xludf.BETA.INV(W96,'04_PSA_INPUTS'!H10,'04_PSA_INPUTS'!I10)</f>
        <v>#NAME?</v>
      </c>
      <c r="H96" s="23" t="e">
        <f ca="1">_xludf.BETA.INV(X96,'04_PSA_INPUTS'!H11,'04_PSA_INPUTS'!I11)</f>
        <v>#NAME?</v>
      </c>
      <c r="I96" s="27" t="e">
        <f ca="1">D96+B96*F96+'01_INPUTS'!B20</f>
        <v>#NAME?</v>
      </c>
      <c r="J96" s="27" t="e">
        <f ca="1">E96+C96*F96+'01_INPUTS'!B21</f>
        <v>#NAME?</v>
      </c>
      <c r="K96" s="27" t="e">
        <f t="shared" ca="1" si="6"/>
        <v>#NAME?</v>
      </c>
      <c r="L96" s="23" t="e">
        <f t="shared" ca="1" si="7"/>
        <v>#NAME?</v>
      </c>
      <c r="M96" s="23" t="e">
        <f t="shared" ca="1" si="8"/>
        <v>#NAME?</v>
      </c>
      <c r="N96" s="23" t="e">
        <f t="shared" ca="1" si="9"/>
        <v>#NAME?</v>
      </c>
      <c r="O96" s="27" t="e">
        <f t="shared" ca="1" si="10"/>
        <v>#NAME?</v>
      </c>
      <c r="P96" s="27" t="e">
        <f ca="1">'01_INPUTS'!B9*N96-K96</f>
        <v>#NAME?</v>
      </c>
      <c r="Q96" s="1" t="e">
        <f t="shared" ca="1" si="11"/>
        <v>#NAME?</v>
      </c>
      <c r="R96" s="28">
        <v>0.32839020853862166</v>
      </c>
      <c r="S96" s="28">
        <v>0.8594003941398114</v>
      </c>
      <c r="T96" s="28">
        <v>0.6212627210188657</v>
      </c>
      <c r="U96" s="28">
        <v>0.68170775030739605</v>
      </c>
      <c r="V96" s="28">
        <v>0.91107034450396895</v>
      </c>
      <c r="W96" s="28">
        <v>6.0059817042201757E-3</v>
      </c>
      <c r="X96" s="28">
        <v>0.79347064532339573</v>
      </c>
    </row>
    <row r="97" spans="1:24" ht="13.9">
      <c r="A97" s="1">
        <v>96</v>
      </c>
      <c r="B97" s="23" t="e">
        <f ca="1">_xludf.BETA.INV(R97,'04_PSA_INPUTS'!H5,'04_PSA_INPUTS'!I5)</f>
        <v>#NAME?</v>
      </c>
      <c r="C97" s="23" t="e">
        <f ca="1">_xludf.BETA.INV(S97,'04_PSA_INPUTS'!H6,'04_PSA_INPUTS'!I6)</f>
        <v>#NAME?</v>
      </c>
      <c r="D97" s="27" t="e">
        <f ca="1">_xludf.GAMMA.INV(T97,'04_PSA_INPUTS'!H7,'04_PSA_INPUTS'!I7)</f>
        <v>#NAME?</v>
      </c>
      <c r="E97" s="27" t="e">
        <f ca="1">_xludf.GAMMA.INV(U97,'04_PSA_INPUTS'!H8,'04_PSA_INPUTS'!I8)</f>
        <v>#NAME?</v>
      </c>
      <c r="F97" s="27" t="e">
        <f ca="1">_xludf.GAMMA.INV(V97,'04_PSA_INPUTS'!H9,'04_PSA_INPUTS'!I9)</f>
        <v>#NAME?</v>
      </c>
      <c r="G97" s="23" t="e">
        <f ca="1">_xludf.BETA.INV(W97,'04_PSA_INPUTS'!H10,'04_PSA_INPUTS'!I10)</f>
        <v>#NAME?</v>
      </c>
      <c r="H97" s="23" t="e">
        <f ca="1">_xludf.BETA.INV(X97,'04_PSA_INPUTS'!H11,'04_PSA_INPUTS'!I11)</f>
        <v>#NAME?</v>
      </c>
      <c r="I97" s="27" t="e">
        <f ca="1">D97+B97*F97+'01_INPUTS'!B20</f>
        <v>#NAME?</v>
      </c>
      <c r="J97" s="27" t="e">
        <f ca="1">E97+C97*F97+'01_INPUTS'!B21</f>
        <v>#NAME?</v>
      </c>
      <c r="K97" s="27" t="e">
        <f t="shared" ca="1" si="6"/>
        <v>#NAME?</v>
      </c>
      <c r="L97" s="23" t="e">
        <f t="shared" ca="1" si="7"/>
        <v>#NAME?</v>
      </c>
      <c r="M97" s="23" t="e">
        <f t="shared" ca="1" si="8"/>
        <v>#NAME?</v>
      </c>
      <c r="N97" s="23" t="e">
        <f t="shared" ca="1" si="9"/>
        <v>#NAME?</v>
      </c>
      <c r="O97" s="27" t="e">
        <f t="shared" ca="1" si="10"/>
        <v>#NAME?</v>
      </c>
      <c r="P97" s="27" t="e">
        <f ca="1">'01_INPUTS'!B9*N97-K97</f>
        <v>#NAME?</v>
      </c>
      <c r="Q97" s="1" t="e">
        <f t="shared" ca="1" si="11"/>
        <v>#NAME?</v>
      </c>
      <c r="R97" s="28">
        <v>0.77268509147688746</v>
      </c>
      <c r="S97" s="28">
        <v>0.90953250252641737</v>
      </c>
      <c r="T97" s="28">
        <v>0.67481087357737124</v>
      </c>
      <c r="U97" s="28">
        <v>0.37983410456217825</v>
      </c>
      <c r="V97" s="28">
        <v>0.75492407195270061</v>
      </c>
      <c r="W97" s="28">
        <v>0.92161522060632706</v>
      </c>
      <c r="X97" s="28">
        <v>0.45897508505731821</v>
      </c>
    </row>
    <row r="98" spans="1:24" ht="13.9">
      <c r="A98" s="1">
        <v>97</v>
      </c>
      <c r="B98" s="23" t="e">
        <f ca="1">_xludf.BETA.INV(R98,'04_PSA_INPUTS'!H5,'04_PSA_INPUTS'!I5)</f>
        <v>#NAME?</v>
      </c>
      <c r="C98" s="23" t="e">
        <f ca="1">_xludf.BETA.INV(S98,'04_PSA_INPUTS'!H6,'04_PSA_INPUTS'!I6)</f>
        <v>#NAME?</v>
      </c>
      <c r="D98" s="27" t="e">
        <f ca="1">_xludf.GAMMA.INV(T98,'04_PSA_INPUTS'!H7,'04_PSA_INPUTS'!I7)</f>
        <v>#NAME?</v>
      </c>
      <c r="E98" s="27" t="e">
        <f ca="1">_xludf.GAMMA.INV(U98,'04_PSA_INPUTS'!H8,'04_PSA_INPUTS'!I8)</f>
        <v>#NAME?</v>
      </c>
      <c r="F98" s="27" t="e">
        <f ca="1">_xludf.GAMMA.INV(V98,'04_PSA_INPUTS'!H9,'04_PSA_INPUTS'!I9)</f>
        <v>#NAME?</v>
      </c>
      <c r="G98" s="23" t="e">
        <f ca="1">_xludf.BETA.INV(W98,'04_PSA_INPUTS'!H10,'04_PSA_INPUTS'!I10)</f>
        <v>#NAME?</v>
      </c>
      <c r="H98" s="23" t="e">
        <f ca="1">_xludf.BETA.INV(X98,'04_PSA_INPUTS'!H11,'04_PSA_INPUTS'!I11)</f>
        <v>#NAME?</v>
      </c>
      <c r="I98" s="27" t="e">
        <f ca="1">D98+B98*F98+'01_INPUTS'!B20</f>
        <v>#NAME?</v>
      </c>
      <c r="J98" s="27" t="e">
        <f ca="1">E98+C98*F98+'01_INPUTS'!B21</f>
        <v>#NAME?</v>
      </c>
      <c r="K98" s="27" t="e">
        <f t="shared" ca="1" si="6"/>
        <v>#NAME?</v>
      </c>
      <c r="L98" s="23" t="e">
        <f t="shared" ca="1" si="7"/>
        <v>#NAME?</v>
      </c>
      <c r="M98" s="23" t="e">
        <f t="shared" ca="1" si="8"/>
        <v>#NAME?</v>
      </c>
      <c r="N98" s="23" t="e">
        <f t="shared" ca="1" si="9"/>
        <v>#NAME?</v>
      </c>
      <c r="O98" s="27" t="e">
        <f t="shared" ca="1" si="10"/>
        <v>#NAME?</v>
      </c>
      <c r="P98" s="27" t="e">
        <f ca="1">'01_INPUTS'!B9*N98-K98</f>
        <v>#NAME?</v>
      </c>
      <c r="Q98" s="1" t="e">
        <f t="shared" ca="1" si="11"/>
        <v>#NAME?</v>
      </c>
      <c r="R98" s="28">
        <v>0.82245084131136537</v>
      </c>
      <c r="S98" s="28">
        <v>4.8578956397250295E-2</v>
      </c>
      <c r="T98" s="28">
        <v>0.8743372606113553</v>
      </c>
      <c r="U98" s="28">
        <v>0.9693675204180181</v>
      </c>
      <c r="V98" s="28">
        <v>0.47639278881251812</v>
      </c>
      <c r="W98" s="28">
        <v>0.83877620846033096</v>
      </c>
      <c r="X98" s="28">
        <v>0.72878257324919105</v>
      </c>
    </row>
    <row r="99" spans="1:24" ht="13.9">
      <c r="A99" s="1">
        <v>98</v>
      </c>
      <c r="B99" s="23" t="e">
        <f ca="1">_xludf.BETA.INV(R99,'04_PSA_INPUTS'!H5,'04_PSA_INPUTS'!I5)</f>
        <v>#NAME?</v>
      </c>
      <c r="C99" s="23" t="e">
        <f ca="1">_xludf.BETA.INV(S99,'04_PSA_INPUTS'!H6,'04_PSA_INPUTS'!I6)</f>
        <v>#NAME?</v>
      </c>
      <c r="D99" s="27" t="e">
        <f ca="1">_xludf.GAMMA.INV(T99,'04_PSA_INPUTS'!H7,'04_PSA_INPUTS'!I7)</f>
        <v>#NAME?</v>
      </c>
      <c r="E99" s="27" t="e">
        <f ca="1">_xludf.GAMMA.INV(U99,'04_PSA_INPUTS'!H8,'04_PSA_INPUTS'!I8)</f>
        <v>#NAME?</v>
      </c>
      <c r="F99" s="27" t="e">
        <f ca="1">_xludf.GAMMA.INV(V99,'04_PSA_INPUTS'!H9,'04_PSA_INPUTS'!I9)</f>
        <v>#NAME?</v>
      </c>
      <c r="G99" s="23" t="e">
        <f ca="1">_xludf.BETA.INV(W99,'04_PSA_INPUTS'!H10,'04_PSA_INPUTS'!I10)</f>
        <v>#NAME?</v>
      </c>
      <c r="H99" s="23" t="e">
        <f ca="1">_xludf.BETA.INV(X99,'04_PSA_INPUTS'!H11,'04_PSA_INPUTS'!I11)</f>
        <v>#NAME?</v>
      </c>
      <c r="I99" s="27" t="e">
        <f ca="1">D99+B99*F99+'01_INPUTS'!B20</f>
        <v>#NAME?</v>
      </c>
      <c r="J99" s="27" t="e">
        <f ca="1">E99+C99*F99+'01_INPUTS'!B21</f>
        <v>#NAME?</v>
      </c>
      <c r="K99" s="27" t="e">
        <f t="shared" ca="1" si="6"/>
        <v>#NAME?</v>
      </c>
      <c r="L99" s="23" t="e">
        <f t="shared" ca="1" si="7"/>
        <v>#NAME?</v>
      </c>
      <c r="M99" s="23" t="e">
        <f t="shared" ca="1" si="8"/>
        <v>#NAME?</v>
      </c>
      <c r="N99" s="23" t="e">
        <f t="shared" ca="1" si="9"/>
        <v>#NAME?</v>
      </c>
      <c r="O99" s="27" t="e">
        <f t="shared" ca="1" si="10"/>
        <v>#NAME?</v>
      </c>
      <c r="P99" s="27" t="e">
        <f ca="1">'01_INPUTS'!B9*N99-K99</f>
        <v>#NAME?</v>
      </c>
      <c r="Q99" s="1" t="e">
        <f t="shared" ca="1" si="11"/>
        <v>#NAME?</v>
      </c>
      <c r="R99" s="28">
        <v>0.95692466921173036</v>
      </c>
      <c r="S99" s="28">
        <v>0.4064985376317054</v>
      </c>
      <c r="T99" s="28">
        <v>0.59722253796644509</v>
      </c>
      <c r="U99" s="28">
        <v>0.30891069234348834</v>
      </c>
      <c r="V99" s="28">
        <v>0.88804516708478332</v>
      </c>
      <c r="W99" s="28">
        <v>0.81883978587575257</v>
      </c>
      <c r="X99" s="28">
        <v>0.73995434585958719</v>
      </c>
    </row>
    <row r="100" spans="1:24" ht="13.9">
      <c r="A100" s="1">
        <v>99</v>
      </c>
      <c r="B100" s="23" t="e">
        <f ca="1">_xludf.BETA.INV(R100,'04_PSA_INPUTS'!H5,'04_PSA_INPUTS'!I5)</f>
        <v>#NAME?</v>
      </c>
      <c r="C100" s="23" t="e">
        <f ca="1">_xludf.BETA.INV(S100,'04_PSA_INPUTS'!H6,'04_PSA_INPUTS'!I6)</f>
        <v>#NAME?</v>
      </c>
      <c r="D100" s="27" t="e">
        <f ca="1">_xludf.GAMMA.INV(T100,'04_PSA_INPUTS'!H7,'04_PSA_INPUTS'!I7)</f>
        <v>#NAME?</v>
      </c>
      <c r="E100" s="27" t="e">
        <f ca="1">_xludf.GAMMA.INV(U100,'04_PSA_INPUTS'!H8,'04_PSA_INPUTS'!I8)</f>
        <v>#NAME?</v>
      </c>
      <c r="F100" s="27" t="e">
        <f ca="1">_xludf.GAMMA.INV(V100,'04_PSA_INPUTS'!H9,'04_PSA_INPUTS'!I9)</f>
        <v>#NAME?</v>
      </c>
      <c r="G100" s="23" t="e">
        <f ca="1">_xludf.BETA.INV(W100,'04_PSA_INPUTS'!H10,'04_PSA_INPUTS'!I10)</f>
        <v>#NAME?</v>
      </c>
      <c r="H100" s="23" t="e">
        <f ca="1">_xludf.BETA.INV(X100,'04_PSA_INPUTS'!H11,'04_PSA_INPUTS'!I11)</f>
        <v>#NAME?</v>
      </c>
      <c r="I100" s="27" t="e">
        <f ca="1">D100+B100*F100+'01_INPUTS'!B20</f>
        <v>#NAME?</v>
      </c>
      <c r="J100" s="27" t="e">
        <f ca="1">E100+C100*F100+'01_INPUTS'!B21</f>
        <v>#NAME?</v>
      </c>
      <c r="K100" s="27" t="e">
        <f t="shared" ca="1" si="6"/>
        <v>#NAME?</v>
      </c>
      <c r="L100" s="23" t="e">
        <f t="shared" ca="1" si="7"/>
        <v>#NAME?</v>
      </c>
      <c r="M100" s="23" t="e">
        <f t="shared" ca="1" si="8"/>
        <v>#NAME?</v>
      </c>
      <c r="N100" s="23" t="e">
        <f t="shared" ca="1" si="9"/>
        <v>#NAME?</v>
      </c>
      <c r="O100" s="27" t="e">
        <f t="shared" ca="1" si="10"/>
        <v>#NAME?</v>
      </c>
      <c r="P100" s="27" t="e">
        <f ca="1">'01_INPUTS'!B9*N100-K100</f>
        <v>#NAME?</v>
      </c>
      <c r="Q100" s="1" t="e">
        <f t="shared" ca="1" si="11"/>
        <v>#NAME?</v>
      </c>
      <c r="R100" s="28">
        <v>0.77106758835725486</v>
      </c>
      <c r="S100" s="28">
        <v>0.33313448238186538</v>
      </c>
      <c r="T100" s="28">
        <v>0.46432448294945061</v>
      </c>
      <c r="U100" s="28">
        <v>0.91558437258936465</v>
      </c>
      <c r="V100" s="28">
        <v>0.54862217116169631</v>
      </c>
      <c r="W100" s="28">
        <v>0.70798487565480173</v>
      </c>
      <c r="X100" s="28">
        <v>0.22000574646517634</v>
      </c>
    </row>
    <row r="101" spans="1:24" ht="13.9">
      <c r="A101" s="1">
        <v>100</v>
      </c>
      <c r="B101" s="23" t="e">
        <f ca="1">_xludf.BETA.INV(R101,'04_PSA_INPUTS'!H5,'04_PSA_INPUTS'!I5)</f>
        <v>#NAME?</v>
      </c>
      <c r="C101" s="23" t="e">
        <f ca="1">_xludf.BETA.INV(S101,'04_PSA_INPUTS'!H6,'04_PSA_INPUTS'!I6)</f>
        <v>#NAME?</v>
      </c>
      <c r="D101" s="27" t="e">
        <f ca="1">_xludf.GAMMA.INV(T101,'04_PSA_INPUTS'!H7,'04_PSA_INPUTS'!I7)</f>
        <v>#NAME?</v>
      </c>
      <c r="E101" s="27" t="e">
        <f ca="1">_xludf.GAMMA.INV(U101,'04_PSA_INPUTS'!H8,'04_PSA_INPUTS'!I8)</f>
        <v>#NAME?</v>
      </c>
      <c r="F101" s="27" t="e">
        <f ca="1">_xludf.GAMMA.INV(V101,'04_PSA_INPUTS'!H9,'04_PSA_INPUTS'!I9)</f>
        <v>#NAME?</v>
      </c>
      <c r="G101" s="23" t="e">
        <f ca="1">_xludf.BETA.INV(W101,'04_PSA_INPUTS'!H10,'04_PSA_INPUTS'!I10)</f>
        <v>#NAME?</v>
      </c>
      <c r="H101" s="23" t="e">
        <f ca="1">_xludf.BETA.INV(X101,'04_PSA_INPUTS'!H11,'04_PSA_INPUTS'!I11)</f>
        <v>#NAME?</v>
      </c>
      <c r="I101" s="27" t="e">
        <f ca="1">D101+B101*F101+'01_INPUTS'!B20</f>
        <v>#NAME?</v>
      </c>
      <c r="J101" s="27" t="e">
        <f ca="1">E101+C101*F101+'01_INPUTS'!B21</f>
        <v>#NAME?</v>
      </c>
      <c r="K101" s="27" t="e">
        <f t="shared" ca="1" si="6"/>
        <v>#NAME?</v>
      </c>
      <c r="L101" s="23" t="e">
        <f t="shared" ca="1" si="7"/>
        <v>#NAME?</v>
      </c>
      <c r="M101" s="23" t="e">
        <f t="shared" ca="1" si="8"/>
        <v>#NAME?</v>
      </c>
      <c r="N101" s="23" t="e">
        <f t="shared" ca="1" si="9"/>
        <v>#NAME?</v>
      </c>
      <c r="O101" s="27" t="e">
        <f t="shared" ca="1" si="10"/>
        <v>#NAME?</v>
      </c>
      <c r="P101" s="27" t="e">
        <f ca="1">'01_INPUTS'!B9*N101-K101</f>
        <v>#NAME?</v>
      </c>
      <c r="Q101" s="1" t="e">
        <f t="shared" ca="1" si="11"/>
        <v>#NAME?</v>
      </c>
      <c r="R101" s="28">
        <v>0.58060914860107005</v>
      </c>
      <c r="S101" s="28">
        <v>0.63334208074957132</v>
      </c>
      <c r="T101" s="28">
        <v>0.59895662032067776</v>
      </c>
      <c r="U101" s="28">
        <v>0.74429471604526043</v>
      </c>
      <c r="V101" s="28">
        <v>0.58609282784163952</v>
      </c>
      <c r="W101" s="28">
        <v>0.44604883855208755</v>
      </c>
      <c r="X101" s="28">
        <v>0.68515887507237494</v>
      </c>
    </row>
    <row r="102" spans="1:24" ht="13.9">
      <c r="A102" s="1">
        <v>101</v>
      </c>
      <c r="B102" s="23" t="e">
        <f ca="1">_xludf.BETA.INV(R102,'04_PSA_INPUTS'!H5,'04_PSA_INPUTS'!I5)</f>
        <v>#NAME?</v>
      </c>
      <c r="C102" s="23" t="e">
        <f ca="1">_xludf.BETA.INV(S102,'04_PSA_INPUTS'!H6,'04_PSA_INPUTS'!I6)</f>
        <v>#NAME?</v>
      </c>
      <c r="D102" s="27" t="e">
        <f ca="1">_xludf.GAMMA.INV(T102,'04_PSA_INPUTS'!H7,'04_PSA_INPUTS'!I7)</f>
        <v>#NAME?</v>
      </c>
      <c r="E102" s="27" t="e">
        <f ca="1">_xludf.GAMMA.INV(U102,'04_PSA_INPUTS'!H8,'04_PSA_INPUTS'!I8)</f>
        <v>#NAME?</v>
      </c>
      <c r="F102" s="27" t="e">
        <f ca="1">_xludf.GAMMA.INV(V102,'04_PSA_INPUTS'!H9,'04_PSA_INPUTS'!I9)</f>
        <v>#NAME?</v>
      </c>
      <c r="G102" s="23" t="e">
        <f ca="1">_xludf.BETA.INV(W102,'04_PSA_INPUTS'!H10,'04_PSA_INPUTS'!I10)</f>
        <v>#NAME?</v>
      </c>
      <c r="H102" s="23" t="e">
        <f ca="1">_xludf.BETA.INV(X102,'04_PSA_INPUTS'!H11,'04_PSA_INPUTS'!I11)</f>
        <v>#NAME?</v>
      </c>
      <c r="I102" s="27" t="e">
        <f ca="1">D102+B102*F102+'01_INPUTS'!B20</f>
        <v>#NAME?</v>
      </c>
      <c r="J102" s="27" t="e">
        <f ca="1">E102+C102*F102+'01_INPUTS'!B21</f>
        <v>#NAME?</v>
      </c>
      <c r="K102" s="27" t="e">
        <f t="shared" ca="1" si="6"/>
        <v>#NAME?</v>
      </c>
      <c r="L102" s="23" t="e">
        <f t="shared" ca="1" si="7"/>
        <v>#NAME?</v>
      </c>
      <c r="M102" s="23" t="e">
        <f t="shared" ca="1" si="8"/>
        <v>#NAME?</v>
      </c>
      <c r="N102" s="23" t="e">
        <f t="shared" ca="1" si="9"/>
        <v>#NAME?</v>
      </c>
      <c r="O102" s="27" t="e">
        <f t="shared" ca="1" si="10"/>
        <v>#NAME?</v>
      </c>
      <c r="P102" s="27" t="e">
        <f ca="1">'01_INPUTS'!B9*N102-K102</f>
        <v>#NAME?</v>
      </c>
      <c r="Q102" s="1" t="e">
        <f t="shared" ca="1" si="11"/>
        <v>#NAME?</v>
      </c>
      <c r="R102" s="28">
        <v>0.60017168312333524</v>
      </c>
      <c r="S102" s="28">
        <v>0.58961338852532208</v>
      </c>
      <c r="T102" s="28">
        <v>0.40234861895442009</v>
      </c>
      <c r="U102" s="28">
        <v>0.56662572710774839</v>
      </c>
      <c r="V102" s="28">
        <v>0.45710047520697117</v>
      </c>
      <c r="W102" s="28">
        <v>1.6062337206676602E-2</v>
      </c>
      <c r="X102" s="28">
        <v>0.509682149393484</v>
      </c>
    </row>
    <row r="103" spans="1:24" ht="13.9">
      <c r="A103" s="1">
        <v>102</v>
      </c>
      <c r="B103" s="23" t="e">
        <f ca="1">_xludf.BETA.INV(R103,'04_PSA_INPUTS'!H5,'04_PSA_INPUTS'!I5)</f>
        <v>#NAME?</v>
      </c>
      <c r="C103" s="23" t="e">
        <f ca="1">_xludf.BETA.INV(S103,'04_PSA_INPUTS'!H6,'04_PSA_INPUTS'!I6)</f>
        <v>#NAME?</v>
      </c>
      <c r="D103" s="27" t="e">
        <f ca="1">_xludf.GAMMA.INV(T103,'04_PSA_INPUTS'!H7,'04_PSA_INPUTS'!I7)</f>
        <v>#NAME?</v>
      </c>
      <c r="E103" s="27" t="e">
        <f ca="1">_xludf.GAMMA.INV(U103,'04_PSA_INPUTS'!H8,'04_PSA_INPUTS'!I8)</f>
        <v>#NAME?</v>
      </c>
      <c r="F103" s="27" t="e">
        <f ca="1">_xludf.GAMMA.INV(V103,'04_PSA_INPUTS'!H9,'04_PSA_INPUTS'!I9)</f>
        <v>#NAME?</v>
      </c>
      <c r="G103" s="23" t="e">
        <f ca="1">_xludf.BETA.INV(W103,'04_PSA_INPUTS'!H10,'04_PSA_INPUTS'!I10)</f>
        <v>#NAME?</v>
      </c>
      <c r="H103" s="23" t="e">
        <f ca="1">_xludf.BETA.INV(X103,'04_PSA_INPUTS'!H11,'04_PSA_INPUTS'!I11)</f>
        <v>#NAME?</v>
      </c>
      <c r="I103" s="27" t="e">
        <f ca="1">D103+B103*F103+'01_INPUTS'!B20</f>
        <v>#NAME?</v>
      </c>
      <c r="J103" s="27" t="e">
        <f ca="1">E103+C103*F103+'01_INPUTS'!B21</f>
        <v>#NAME?</v>
      </c>
      <c r="K103" s="27" t="e">
        <f t="shared" ca="1" si="6"/>
        <v>#NAME?</v>
      </c>
      <c r="L103" s="23" t="e">
        <f t="shared" ca="1" si="7"/>
        <v>#NAME?</v>
      </c>
      <c r="M103" s="23" t="e">
        <f t="shared" ca="1" si="8"/>
        <v>#NAME?</v>
      </c>
      <c r="N103" s="23" t="e">
        <f t="shared" ca="1" si="9"/>
        <v>#NAME?</v>
      </c>
      <c r="O103" s="27" t="e">
        <f t="shared" ca="1" si="10"/>
        <v>#NAME?</v>
      </c>
      <c r="P103" s="27" t="e">
        <f ca="1">'01_INPUTS'!B9*N103-K103</f>
        <v>#NAME?</v>
      </c>
      <c r="Q103" s="1" t="e">
        <f t="shared" ca="1" si="11"/>
        <v>#NAME?</v>
      </c>
      <c r="R103" s="28">
        <v>0.66825985442847013</v>
      </c>
      <c r="S103" s="28">
        <v>0.93734314781613648</v>
      </c>
      <c r="T103" s="28">
        <v>0.94484302843920887</v>
      </c>
      <c r="U103" s="28">
        <v>2.7969920774921775E-2</v>
      </c>
      <c r="V103" s="28">
        <v>0.30170876020565629</v>
      </c>
      <c r="W103" s="28">
        <v>0.42431126441806555</v>
      </c>
      <c r="X103" s="28">
        <v>0.1694182341452688</v>
      </c>
    </row>
    <row r="104" spans="1:24" ht="13.9">
      <c r="A104" s="1">
        <v>103</v>
      </c>
      <c r="B104" s="23" t="e">
        <f ca="1">_xludf.BETA.INV(R104,'04_PSA_INPUTS'!H5,'04_PSA_INPUTS'!I5)</f>
        <v>#NAME?</v>
      </c>
      <c r="C104" s="23" t="e">
        <f ca="1">_xludf.BETA.INV(S104,'04_PSA_INPUTS'!H6,'04_PSA_INPUTS'!I6)</f>
        <v>#NAME?</v>
      </c>
      <c r="D104" s="27" t="e">
        <f ca="1">_xludf.GAMMA.INV(T104,'04_PSA_INPUTS'!H7,'04_PSA_INPUTS'!I7)</f>
        <v>#NAME?</v>
      </c>
      <c r="E104" s="27" t="e">
        <f ca="1">_xludf.GAMMA.INV(U104,'04_PSA_INPUTS'!H8,'04_PSA_INPUTS'!I8)</f>
        <v>#NAME?</v>
      </c>
      <c r="F104" s="27" t="e">
        <f ca="1">_xludf.GAMMA.INV(V104,'04_PSA_INPUTS'!H9,'04_PSA_INPUTS'!I9)</f>
        <v>#NAME?</v>
      </c>
      <c r="G104" s="23" t="e">
        <f ca="1">_xludf.BETA.INV(W104,'04_PSA_INPUTS'!H10,'04_PSA_INPUTS'!I10)</f>
        <v>#NAME?</v>
      </c>
      <c r="H104" s="23" t="e">
        <f ca="1">_xludf.BETA.INV(X104,'04_PSA_INPUTS'!H11,'04_PSA_INPUTS'!I11)</f>
        <v>#NAME?</v>
      </c>
      <c r="I104" s="27" t="e">
        <f ca="1">D104+B104*F104+'01_INPUTS'!B20</f>
        <v>#NAME?</v>
      </c>
      <c r="J104" s="27" t="e">
        <f ca="1">E104+C104*F104+'01_INPUTS'!B21</f>
        <v>#NAME?</v>
      </c>
      <c r="K104" s="27" t="e">
        <f t="shared" ca="1" si="6"/>
        <v>#NAME?</v>
      </c>
      <c r="L104" s="23" t="e">
        <f t="shared" ca="1" si="7"/>
        <v>#NAME?</v>
      </c>
      <c r="M104" s="23" t="e">
        <f t="shared" ca="1" si="8"/>
        <v>#NAME?</v>
      </c>
      <c r="N104" s="23" t="e">
        <f t="shared" ca="1" si="9"/>
        <v>#NAME?</v>
      </c>
      <c r="O104" s="27" t="e">
        <f t="shared" ca="1" si="10"/>
        <v>#NAME?</v>
      </c>
      <c r="P104" s="27" t="e">
        <f ca="1">'01_INPUTS'!B9*N104-K104</f>
        <v>#NAME?</v>
      </c>
      <c r="Q104" s="1" t="e">
        <f t="shared" ca="1" si="11"/>
        <v>#NAME?</v>
      </c>
      <c r="R104" s="28">
        <v>0.37540362076833844</v>
      </c>
      <c r="S104" s="28">
        <v>0.27504040719941258</v>
      </c>
      <c r="T104" s="28">
        <v>0.65920641529373825</v>
      </c>
      <c r="U104" s="28">
        <v>0.37703414261341095</v>
      </c>
      <c r="V104" s="28">
        <v>0.40541116078384221</v>
      </c>
      <c r="W104" s="28">
        <v>0.64037519413977861</v>
      </c>
      <c r="X104" s="28">
        <v>0.97617835854180157</v>
      </c>
    </row>
    <row r="105" spans="1:24" ht="13.9">
      <c r="A105" s="1">
        <v>104</v>
      </c>
      <c r="B105" s="23" t="e">
        <f ca="1">_xludf.BETA.INV(R105,'04_PSA_INPUTS'!H5,'04_PSA_INPUTS'!I5)</f>
        <v>#NAME?</v>
      </c>
      <c r="C105" s="23" t="e">
        <f ca="1">_xludf.BETA.INV(S105,'04_PSA_INPUTS'!H6,'04_PSA_INPUTS'!I6)</f>
        <v>#NAME?</v>
      </c>
      <c r="D105" s="27" t="e">
        <f ca="1">_xludf.GAMMA.INV(T105,'04_PSA_INPUTS'!H7,'04_PSA_INPUTS'!I7)</f>
        <v>#NAME?</v>
      </c>
      <c r="E105" s="27" t="e">
        <f ca="1">_xludf.GAMMA.INV(U105,'04_PSA_INPUTS'!H8,'04_PSA_INPUTS'!I8)</f>
        <v>#NAME?</v>
      </c>
      <c r="F105" s="27" t="e">
        <f ca="1">_xludf.GAMMA.INV(V105,'04_PSA_INPUTS'!H9,'04_PSA_INPUTS'!I9)</f>
        <v>#NAME?</v>
      </c>
      <c r="G105" s="23" t="e">
        <f ca="1">_xludf.BETA.INV(W105,'04_PSA_INPUTS'!H10,'04_PSA_INPUTS'!I10)</f>
        <v>#NAME?</v>
      </c>
      <c r="H105" s="23" t="e">
        <f ca="1">_xludf.BETA.INV(X105,'04_PSA_INPUTS'!H11,'04_PSA_INPUTS'!I11)</f>
        <v>#NAME?</v>
      </c>
      <c r="I105" s="27" t="e">
        <f ca="1">D105+B105*F105+'01_INPUTS'!B20</f>
        <v>#NAME?</v>
      </c>
      <c r="J105" s="27" t="e">
        <f ca="1">E105+C105*F105+'01_INPUTS'!B21</f>
        <v>#NAME?</v>
      </c>
      <c r="K105" s="27" t="e">
        <f t="shared" ca="1" si="6"/>
        <v>#NAME?</v>
      </c>
      <c r="L105" s="23" t="e">
        <f t="shared" ca="1" si="7"/>
        <v>#NAME?</v>
      </c>
      <c r="M105" s="23" t="e">
        <f t="shared" ca="1" si="8"/>
        <v>#NAME?</v>
      </c>
      <c r="N105" s="23" t="e">
        <f t="shared" ca="1" si="9"/>
        <v>#NAME?</v>
      </c>
      <c r="O105" s="27" t="e">
        <f t="shared" ca="1" si="10"/>
        <v>#NAME?</v>
      </c>
      <c r="P105" s="27" t="e">
        <f ca="1">'01_INPUTS'!B9*N105-K105</f>
        <v>#NAME?</v>
      </c>
      <c r="Q105" s="1" t="e">
        <f t="shared" ca="1" si="11"/>
        <v>#NAME?</v>
      </c>
      <c r="R105" s="28">
        <v>0.91420568898320198</v>
      </c>
      <c r="S105" s="28">
        <v>0.86653636721894145</v>
      </c>
      <c r="T105" s="28">
        <v>0.40657442039810121</v>
      </c>
      <c r="U105" s="28">
        <v>0.90939424792304635</v>
      </c>
      <c r="V105" s="28">
        <v>0.9951901116874069</v>
      </c>
      <c r="W105" s="28">
        <v>0.77511604037135839</v>
      </c>
      <c r="X105" s="28">
        <v>0.79845061106607318</v>
      </c>
    </row>
    <row r="106" spans="1:24" ht="13.9">
      <c r="A106" s="1">
        <v>105</v>
      </c>
      <c r="B106" s="23" t="e">
        <f ca="1">_xludf.BETA.INV(R106,'04_PSA_INPUTS'!H5,'04_PSA_INPUTS'!I5)</f>
        <v>#NAME?</v>
      </c>
      <c r="C106" s="23" t="e">
        <f ca="1">_xludf.BETA.INV(S106,'04_PSA_INPUTS'!H6,'04_PSA_INPUTS'!I6)</f>
        <v>#NAME?</v>
      </c>
      <c r="D106" s="27" t="e">
        <f ca="1">_xludf.GAMMA.INV(T106,'04_PSA_INPUTS'!H7,'04_PSA_INPUTS'!I7)</f>
        <v>#NAME?</v>
      </c>
      <c r="E106" s="27" t="e">
        <f ca="1">_xludf.GAMMA.INV(U106,'04_PSA_INPUTS'!H8,'04_PSA_INPUTS'!I8)</f>
        <v>#NAME?</v>
      </c>
      <c r="F106" s="27" t="e">
        <f ca="1">_xludf.GAMMA.INV(V106,'04_PSA_INPUTS'!H9,'04_PSA_INPUTS'!I9)</f>
        <v>#NAME?</v>
      </c>
      <c r="G106" s="23" t="e">
        <f ca="1">_xludf.BETA.INV(W106,'04_PSA_INPUTS'!H10,'04_PSA_INPUTS'!I10)</f>
        <v>#NAME?</v>
      </c>
      <c r="H106" s="23" t="e">
        <f ca="1">_xludf.BETA.INV(X106,'04_PSA_INPUTS'!H11,'04_PSA_INPUTS'!I11)</f>
        <v>#NAME?</v>
      </c>
      <c r="I106" s="27" t="e">
        <f ca="1">D106+B106*F106+'01_INPUTS'!B20</f>
        <v>#NAME?</v>
      </c>
      <c r="J106" s="27" t="e">
        <f ca="1">E106+C106*F106+'01_INPUTS'!B21</f>
        <v>#NAME?</v>
      </c>
      <c r="K106" s="27" t="e">
        <f t="shared" ca="1" si="6"/>
        <v>#NAME?</v>
      </c>
      <c r="L106" s="23" t="e">
        <f t="shared" ca="1" si="7"/>
        <v>#NAME?</v>
      </c>
      <c r="M106" s="23" t="e">
        <f t="shared" ca="1" si="8"/>
        <v>#NAME?</v>
      </c>
      <c r="N106" s="23" t="e">
        <f t="shared" ca="1" si="9"/>
        <v>#NAME?</v>
      </c>
      <c r="O106" s="27" t="e">
        <f t="shared" ca="1" si="10"/>
        <v>#NAME?</v>
      </c>
      <c r="P106" s="27" t="e">
        <f ca="1">'01_INPUTS'!B9*N106-K106</f>
        <v>#NAME?</v>
      </c>
      <c r="Q106" s="1" t="e">
        <f t="shared" ca="1" si="11"/>
        <v>#NAME?</v>
      </c>
      <c r="R106" s="28">
        <v>3.7141538457944989E-2</v>
      </c>
      <c r="S106" s="28">
        <v>0.32244759378954768</v>
      </c>
      <c r="T106" s="28">
        <v>0.29611966898664832</v>
      </c>
      <c r="U106" s="28">
        <v>0.27986097382381558</v>
      </c>
      <c r="V106" s="28">
        <v>0.82470245263539255</v>
      </c>
      <c r="W106" s="28">
        <v>0.14245813596062362</v>
      </c>
      <c r="X106" s="28">
        <v>0.33900309936143458</v>
      </c>
    </row>
    <row r="107" spans="1:24" ht="13.9">
      <c r="A107" s="1">
        <v>106</v>
      </c>
      <c r="B107" s="23" t="e">
        <f ca="1">_xludf.BETA.INV(R107,'04_PSA_INPUTS'!H5,'04_PSA_INPUTS'!I5)</f>
        <v>#NAME?</v>
      </c>
      <c r="C107" s="23" t="e">
        <f ca="1">_xludf.BETA.INV(S107,'04_PSA_INPUTS'!H6,'04_PSA_INPUTS'!I6)</f>
        <v>#NAME?</v>
      </c>
      <c r="D107" s="27" t="e">
        <f ca="1">_xludf.GAMMA.INV(T107,'04_PSA_INPUTS'!H7,'04_PSA_INPUTS'!I7)</f>
        <v>#NAME?</v>
      </c>
      <c r="E107" s="27" t="e">
        <f ca="1">_xludf.GAMMA.INV(U107,'04_PSA_INPUTS'!H8,'04_PSA_INPUTS'!I8)</f>
        <v>#NAME?</v>
      </c>
      <c r="F107" s="27" t="e">
        <f ca="1">_xludf.GAMMA.INV(V107,'04_PSA_INPUTS'!H9,'04_PSA_INPUTS'!I9)</f>
        <v>#NAME?</v>
      </c>
      <c r="G107" s="23" t="e">
        <f ca="1">_xludf.BETA.INV(W107,'04_PSA_INPUTS'!H10,'04_PSA_INPUTS'!I10)</f>
        <v>#NAME?</v>
      </c>
      <c r="H107" s="23" t="e">
        <f ca="1">_xludf.BETA.INV(X107,'04_PSA_INPUTS'!H11,'04_PSA_INPUTS'!I11)</f>
        <v>#NAME?</v>
      </c>
      <c r="I107" s="27" t="e">
        <f ca="1">D107+B107*F107+'01_INPUTS'!B20</f>
        <v>#NAME?</v>
      </c>
      <c r="J107" s="27" t="e">
        <f ca="1">E107+C107*F107+'01_INPUTS'!B21</f>
        <v>#NAME?</v>
      </c>
      <c r="K107" s="27" t="e">
        <f t="shared" ca="1" si="6"/>
        <v>#NAME?</v>
      </c>
      <c r="L107" s="23" t="e">
        <f t="shared" ca="1" si="7"/>
        <v>#NAME?</v>
      </c>
      <c r="M107" s="23" t="e">
        <f t="shared" ca="1" si="8"/>
        <v>#NAME?</v>
      </c>
      <c r="N107" s="23" t="e">
        <f t="shared" ca="1" si="9"/>
        <v>#NAME?</v>
      </c>
      <c r="O107" s="27" t="e">
        <f t="shared" ca="1" si="10"/>
        <v>#NAME?</v>
      </c>
      <c r="P107" s="27" t="e">
        <f ca="1">'01_INPUTS'!B9*N107-K107</f>
        <v>#NAME?</v>
      </c>
      <c r="Q107" s="1" t="e">
        <f t="shared" ca="1" si="11"/>
        <v>#NAME?</v>
      </c>
      <c r="R107" s="28">
        <v>1.3520663138478994E-2</v>
      </c>
      <c r="S107" s="28">
        <v>9.9460002034902573E-2</v>
      </c>
      <c r="T107" s="28">
        <v>0.13274525944143534</v>
      </c>
      <c r="U107" s="28">
        <v>0.24157612584531307</v>
      </c>
      <c r="V107" s="28">
        <v>0.80962779256515205</v>
      </c>
      <c r="W107" s="28">
        <v>0.1516578420996666</v>
      </c>
      <c r="X107" s="28">
        <v>5.7178619783371687E-2</v>
      </c>
    </row>
    <row r="108" spans="1:24" ht="13.9">
      <c r="A108" s="1">
        <v>107</v>
      </c>
      <c r="B108" s="23" t="e">
        <f ca="1">_xludf.BETA.INV(R108,'04_PSA_INPUTS'!H5,'04_PSA_INPUTS'!I5)</f>
        <v>#NAME?</v>
      </c>
      <c r="C108" s="23" t="e">
        <f ca="1">_xludf.BETA.INV(S108,'04_PSA_INPUTS'!H6,'04_PSA_INPUTS'!I6)</f>
        <v>#NAME?</v>
      </c>
      <c r="D108" s="27" t="e">
        <f ca="1">_xludf.GAMMA.INV(T108,'04_PSA_INPUTS'!H7,'04_PSA_INPUTS'!I7)</f>
        <v>#NAME?</v>
      </c>
      <c r="E108" s="27" t="e">
        <f ca="1">_xludf.GAMMA.INV(U108,'04_PSA_INPUTS'!H8,'04_PSA_INPUTS'!I8)</f>
        <v>#NAME?</v>
      </c>
      <c r="F108" s="27" t="e">
        <f ca="1">_xludf.GAMMA.INV(V108,'04_PSA_INPUTS'!H9,'04_PSA_INPUTS'!I9)</f>
        <v>#NAME?</v>
      </c>
      <c r="G108" s="23" t="e">
        <f ca="1">_xludf.BETA.INV(W108,'04_PSA_INPUTS'!H10,'04_PSA_INPUTS'!I10)</f>
        <v>#NAME?</v>
      </c>
      <c r="H108" s="23" t="e">
        <f ca="1">_xludf.BETA.INV(X108,'04_PSA_INPUTS'!H11,'04_PSA_INPUTS'!I11)</f>
        <v>#NAME?</v>
      </c>
      <c r="I108" s="27" t="e">
        <f ca="1">D108+B108*F108+'01_INPUTS'!B20</f>
        <v>#NAME?</v>
      </c>
      <c r="J108" s="27" t="e">
        <f ca="1">E108+C108*F108+'01_INPUTS'!B21</f>
        <v>#NAME?</v>
      </c>
      <c r="K108" s="27" t="e">
        <f t="shared" ca="1" si="6"/>
        <v>#NAME?</v>
      </c>
      <c r="L108" s="23" t="e">
        <f t="shared" ca="1" si="7"/>
        <v>#NAME?</v>
      </c>
      <c r="M108" s="23" t="e">
        <f t="shared" ca="1" si="8"/>
        <v>#NAME?</v>
      </c>
      <c r="N108" s="23" t="e">
        <f t="shared" ca="1" si="9"/>
        <v>#NAME?</v>
      </c>
      <c r="O108" s="27" t="e">
        <f t="shared" ca="1" si="10"/>
        <v>#NAME?</v>
      </c>
      <c r="P108" s="27" t="e">
        <f ca="1">'01_INPUTS'!B9*N108-K108</f>
        <v>#NAME?</v>
      </c>
      <c r="Q108" s="1" t="e">
        <f t="shared" ca="1" si="11"/>
        <v>#NAME?</v>
      </c>
      <c r="R108" s="28">
        <v>0.6705542525742203</v>
      </c>
      <c r="S108" s="28">
        <v>0.15524820378050208</v>
      </c>
      <c r="T108" s="28">
        <v>0.94627493619918823</v>
      </c>
      <c r="U108" s="28">
        <v>0.13993737823329866</v>
      </c>
      <c r="V108" s="28">
        <v>0.76983008324168622</v>
      </c>
      <c r="W108" s="28">
        <v>0.71880099177360535</v>
      </c>
      <c r="X108" s="28">
        <v>0.25257439236156642</v>
      </c>
    </row>
    <row r="109" spans="1:24" ht="13.9">
      <c r="A109" s="1">
        <v>108</v>
      </c>
      <c r="B109" s="23" t="e">
        <f ca="1">_xludf.BETA.INV(R109,'04_PSA_INPUTS'!H5,'04_PSA_INPUTS'!I5)</f>
        <v>#NAME?</v>
      </c>
      <c r="C109" s="23" t="e">
        <f ca="1">_xludf.BETA.INV(S109,'04_PSA_INPUTS'!H6,'04_PSA_INPUTS'!I6)</f>
        <v>#NAME?</v>
      </c>
      <c r="D109" s="27" t="e">
        <f ca="1">_xludf.GAMMA.INV(T109,'04_PSA_INPUTS'!H7,'04_PSA_INPUTS'!I7)</f>
        <v>#NAME?</v>
      </c>
      <c r="E109" s="27" t="e">
        <f ca="1">_xludf.GAMMA.INV(U109,'04_PSA_INPUTS'!H8,'04_PSA_INPUTS'!I8)</f>
        <v>#NAME?</v>
      </c>
      <c r="F109" s="27" t="e">
        <f ca="1">_xludf.GAMMA.INV(V109,'04_PSA_INPUTS'!H9,'04_PSA_INPUTS'!I9)</f>
        <v>#NAME?</v>
      </c>
      <c r="G109" s="23" t="e">
        <f ca="1">_xludf.BETA.INV(W109,'04_PSA_INPUTS'!H10,'04_PSA_INPUTS'!I10)</f>
        <v>#NAME?</v>
      </c>
      <c r="H109" s="23" t="e">
        <f ca="1">_xludf.BETA.INV(X109,'04_PSA_INPUTS'!H11,'04_PSA_INPUTS'!I11)</f>
        <v>#NAME?</v>
      </c>
      <c r="I109" s="27" t="e">
        <f ca="1">D109+B109*F109+'01_INPUTS'!B20</f>
        <v>#NAME?</v>
      </c>
      <c r="J109" s="27" t="e">
        <f ca="1">E109+C109*F109+'01_INPUTS'!B21</f>
        <v>#NAME?</v>
      </c>
      <c r="K109" s="27" t="e">
        <f t="shared" ca="1" si="6"/>
        <v>#NAME?</v>
      </c>
      <c r="L109" s="23" t="e">
        <f t="shared" ca="1" si="7"/>
        <v>#NAME?</v>
      </c>
      <c r="M109" s="23" t="e">
        <f t="shared" ca="1" si="8"/>
        <v>#NAME?</v>
      </c>
      <c r="N109" s="23" t="e">
        <f t="shared" ca="1" si="9"/>
        <v>#NAME?</v>
      </c>
      <c r="O109" s="27" t="e">
        <f t="shared" ca="1" si="10"/>
        <v>#NAME?</v>
      </c>
      <c r="P109" s="27" t="e">
        <f ca="1">'01_INPUTS'!B9*N109-K109</f>
        <v>#NAME?</v>
      </c>
      <c r="Q109" s="1" t="e">
        <f t="shared" ca="1" si="11"/>
        <v>#NAME?</v>
      </c>
      <c r="R109" s="28">
        <v>0.10306306695565581</v>
      </c>
      <c r="S109" s="28">
        <v>0.31498984154313803</v>
      </c>
      <c r="T109" s="28">
        <v>0.10044631804339588</v>
      </c>
      <c r="U109" s="28">
        <v>0.6449557573068887</v>
      </c>
      <c r="V109" s="28">
        <v>0.19239329663105309</v>
      </c>
      <c r="W109" s="28">
        <v>0.99784621479921043</v>
      </c>
      <c r="X109" s="28">
        <v>0.53475759900175035</v>
      </c>
    </row>
    <row r="110" spans="1:24" ht="13.9">
      <c r="A110" s="1">
        <v>109</v>
      </c>
      <c r="B110" s="23" t="e">
        <f ca="1">_xludf.BETA.INV(R110,'04_PSA_INPUTS'!H5,'04_PSA_INPUTS'!I5)</f>
        <v>#NAME?</v>
      </c>
      <c r="C110" s="23" t="e">
        <f ca="1">_xludf.BETA.INV(S110,'04_PSA_INPUTS'!H6,'04_PSA_INPUTS'!I6)</f>
        <v>#NAME?</v>
      </c>
      <c r="D110" s="27" t="e">
        <f ca="1">_xludf.GAMMA.INV(T110,'04_PSA_INPUTS'!H7,'04_PSA_INPUTS'!I7)</f>
        <v>#NAME?</v>
      </c>
      <c r="E110" s="27" t="e">
        <f ca="1">_xludf.GAMMA.INV(U110,'04_PSA_INPUTS'!H8,'04_PSA_INPUTS'!I8)</f>
        <v>#NAME?</v>
      </c>
      <c r="F110" s="27" t="e">
        <f ca="1">_xludf.GAMMA.INV(V110,'04_PSA_INPUTS'!H9,'04_PSA_INPUTS'!I9)</f>
        <v>#NAME?</v>
      </c>
      <c r="G110" s="23" t="e">
        <f ca="1">_xludf.BETA.INV(W110,'04_PSA_INPUTS'!H10,'04_PSA_INPUTS'!I10)</f>
        <v>#NAME?</v>
      </c>
      <c r="H110" s="23" t="e">
        <f ca="1">_xludf.BETA.INV(X110,'04_PSA_INPUTS'!H11,'04_PSA_INPUTS'!I11)</f>
        <v>#NAME?</v>
      </c>
      <c r="I110" s="27" t="e">
        <f ca="1">D110+B110*F110+'01_INPUTS'!B20</f>
        <v>#NAME?</v>
      </c>
      <c r="J110" s="27" t="e">
        <f ca="1">E110+C110*F110+'01_INPUTS'!B21</f>
        <v>#NAME?</v>
      </c>
      <c r="K110" s="27" t="e">
        <f t="shared" ca="1" si="6"/>
        <v>#NAME?</v>
      </c>
      <c r="L110" s="23" t="e">
        <f t="shared" ca="1" si="7"/>
        <v>#NAME?</v>
      </c>
      <c r="M110" s="23" t="e">
        <f t="shared" ca="1" si="8"/>
        <v>#NAME?</v>
      </c>
      <c r="N110" s="23" t="e">
        <f t="shared" ca="1" si="9"/>
        <v>#NAME?</v>
      </c>
      <c r="O110" s="27" t="e">
        <f t="shared" ca="1" si="10"/>
        <v>#NAME?</v>
      </c>
      <c r="P110" s="27" t="e">
        <f ca="1">'01_INPUTS'!B9*N110-K110</f>
        <v>#NAME?</v>
      </c>
      <c r="Q110" s="1" t="e">
        <f t="shared" ca="1" si="11"/>
        <v>#NAME?</v>
      </c>
      <c r="R110" s="28">
        <v>0.97511939168907702</v>
      </c>
      <c r="S110" s="28">
        <v>0.62305850046686828</v>
      </c>
      <c r="T110" s="28">
        <v>0.31807707529515028</v>
      </c>
      <c r="U110" s="28">
        <v>0.1681753855664283</v>
      </c>
      <c r="V110" s="28">
        <v>0.36915232241153717</v>
      </c>
      <c r="W110" s="28">
        <v>6.0660141985863447E-2</v>
      </c>
      <c r="X110" s="28">
        <v>0.6534123714081943</v>
      </c>
    </row>
    <row r="111" spans="1:24" ht="13.9">
      <c r="A111" s="1">
        <v>110</v>
      </c>
      <c r="B111" s="23" t="e">
        <f ca="1">_xludf.BETA.INV(R111,'04_PSA_INPUTS'!H5,'04_PSA_INPUTS'!I5)</f>
        <v>#NAME?</v>
      </c>
      <c r="C111" s="23" t="e">
        <f ca="1">_xludf.BETA.INV(S111,'04_PSA_INPUTS'!H6,'04_PSA_INPUTS'!I6)</f>
        <v>#NAME?</v>
      </c>
      <c r="D111" s="27" t="e">
        <f ca="1">_xludf.GAMMA.INV(T111,'04_PSA_INPUTS'!H7,'04_PSA_INPUTS'!I7)</f>
        <v>#NAME?</v>
      </c>
      <c r="E111" s="27" t="e">
        <f ca="1">_xludf.GAMMA.INV(U111,'04_PSA_INPUTS'!H8,'04_PSA_INPUTS'!I8)</f>
        <v>#NAME?</v>
      </c>
      <c r="F111" s="27" t="e">
        <f ca="1">_xludf.GAMMA.INV(V111,'04_PSA_INPUTS'!H9,'04_PSA_INPUTS'!I9)</f>
        <v>#NAME?</v>
      </c>
      <c r="G111" s="23" t="e">
        <f ca="1">_xludf.BETA.INV(W111,'04_PSA_INPUTS'!H10,'04_PSA_INPUTS'!I10)</f>
        <v>#NAME?</v>
      </c>
      <c r="H111" s="23" t="e">
        <f ca="1">_xludf.BETA.INV(X111,'04_PSA_INPUTS'!H11,'04_PSA_INPUTS'!I11)</f>
        <v>#NAME?</v>
      </c>
      <c r="I111" s="27" t="e">
        <f ca="1">D111+B111*F111+'01_INPUTS'!B20</f>
        <v>#NAME?</v>
      </c>
      <c r="J111" s="27" t="e">
        <f ca="1">E111+C111*F111+'01_INPUTS'!B21</f>
        <v>#NAME?</v>
      </c>
      <c r="K111" s="27" t="e">
        <f t="shared" ca="1" si="6"/>
        <v>#NAME?</v>
      </c>
      <c r="L111" s="23" t="e">
        <f t="shared" ca="1" si="7"/>
        <v>#NAME?</v>
      </c>
      <c r="M111" s="23" t="e">
        <f t="shared" ca="1" si="8"/>
        <v>#NAME?</v>
      </c>
      <c r="N111" s="23" t="e">
        <f t="shared" ca="1" si="9"/>
        <v>#NAME?</v>
      </c>
      <c r="O111" s="27" t="e">
        <f t="shared" ca="1" si="10"/>
        <v>#NAME?</v>
      </c>
      <c r="P111" s="27" t="e">
        <f ca="1">'01_INPUTS'!B9*N111-K111</f>
        <v>#NAME?</v>
      </c>
      <c r="Q111" s="1" t="e">
        <f t="shared" ca="1" si="11"/>
        <v>#NAME?</v>
      </c>
      <c r="R111" s="28">
        <v>0.44931237678974867</v>
      </c>
      <c r="S111" s="28">
        <v>0.87268417491577566</v>
      </c>
      <c r="T111" s="28">
        <v>0.61537146684713662</v>
      </c>
      <c r="U111" s="28">
        <v>0.96361392457038164</v>
      </c>
      <c r="V111" s="28">
        <v>0.61873777955770493</v>
      </c>
      <c r="W111" s="28">
        <v>0.15338663314469159</v>
      </c>
      <c r="X111" s="28">
        <v>0.72814644989557564</v>
      </c>
    </row>
    <row r="112" spans="1:24" ht="13.9">
      <c r="A112" s="1">
        <v>111</v>
      </c>
      <c r="B112" s="23" t="e">
        <f ca="1">_xludf.BETA.INV(R112,'04_PSA_INPUTS'!H5,'04_PSA_INPUTS'!I5)</f>
        <v>#NAME?</v>
      </c>
      <c r="C112" s="23" t="e">
        <f ca="1">_xludf.BETA.INV(S112,'04_PSA_INPUTS'!H6,'04_PSA_INPUTS'!I6)</f>
        <v>#NAME?</v>
      </c>
      <c r="D112" s="27" t="e">
        <f ca="1">_xludf.GAMMA.INV(T112,'04_PSA_INPUTS'!H7,'04_PSA_INPUTS'!I7)</f>
        <v>#NAME?</v>
      </c>
      <c r="E112" s="27" t="e">
        <f ca="1">_xludf.GAMMA.INV(U112,'04_PSA_INPUTS'!H8,'04_PSA_INPUTS'!I8)</f>
        <v>#NAME?</v>
      </c>
      <c r="F112" s="27" t="e">
        <f ca="1">_xludf.GAMMA.INV(V112,'04_PSA_INPUTS'!H9,'04_PSA_INPUTS'!I9)</f>
        <v>#NAME?</v>
      </c>
      <c r="G112" s="23" t="e">
        <f ca="1">_xludf.BETA.INV(W112,'04_PSA_INPUTS'!H10,'04_PSA_INPUTS'!I10)</f>
        <v>#NAME?</v>
      </c>
      <c r="H112" s="23" t="e">
        <f ca="1">_xludf.BETA.INV(X112,'04_PSA_INPUTS'!H11,'04_PSA_INPUTS'!I11)</f>
        <v>#NAME?</v>
      </c>
      <c r="I112" s="27" t="e">
        <f ca="1">D112+B112*F112+'01_INPUTS'!B20</f>
        <v>#NAME?</v>
      </c>
      <c r="J112" s="27" t="e">
        <f ca="1">E112+C112*F112+'01_INPUTS'!B21</f>
        <v>#NAME?</v>
      </c>
      <c r="K112" s="27" t="e">
        <f t="shared" ca="1" si="6"/>
        <v>#NAME?</v>
      </c>
      <c r="L112" s="23" t="e">
        <f t="shared" ca="1" si="7"/>
        <v>#NAME?</v>
      </c>
      <c r="M112" s="23" t="e">
        <f t="shared" ca="1" si="8"/>
        <v>#NAME?</v>
      </c>
      <c r="N112" s="23" t="e">
        <f t="shared" ca="1" si="9"/>
        <v>#NAME?</v>
      </c>
      <c r="O112" s="27" t="e">
        <f t="shared" ca="1" si="10"/>
        <v>#NAME?</v>
      </c>
      <c r="P112" s="27" t="e">
        <f ca="1">'01_INPUTS'!B9*N112-K112</f>
        <v>#NAME?</v>
      </c>
      <c r="Q112" s="1" t="e">
        <f t="shared" ca="1" si="11"/>
        <v>#NAME?</v>
      </c>
      <c r="R112" s="28">
        <v>0.74725636001676321</v>
      </c>
      <c r="S112" s="28">
        <v>0.84590420918539166</v>
      </c>
      <c r="T112" s="28">
        <v>0.376773068215698</v>
      </c>
      <c r="U112" s="28">
        <v>0.82046173932030797</v>
      </c>
      <c r="V112" s="28">
        <v>0.51615004963241518</v>
      </c>
      <c r="W112" s="28">
        <v>1.7418293515220284E-2</v>
      </c>
      <c r="X112" s="28">
        <v>0.43478109245188534</v>
      </c>
    </row>
    <row r="113" spans="1:24" ht="13.9">
      <c r="A113" s="1">
        <v>112</v>
      </c>
      <c r="B113" s="23" t="e">
        <f ca="1">_xludf.BETA.INV(R113,'04_PSA_INPUTS'!H5,'04_PSA_INPUTS'!I5)</f>
        <v>#NAME?</v>
      </c>
      <c r="C113" s="23" t="e">
        <f ca="1">_xludf.BETA.INV(S113,'04_PSA_INPUTS'!H6,'04_PSA_INPUTS'!I6)</f>
        <v>#NAME?</v>
      </c>
      <c r="D113" s="27" t="e">
        <f ca="1">_xludf.GAMMA.INV(T113,'04_PSA_INPUTS'!H7,'04_PSA_INPUTS'!I7)</f>
        <v>#NAME?</v>
      </c>
      <c r="E113" s="27" t="e">
        <f ca="1">_xludf.GAMMA.INV(U113,'04_PSA_INPUTS'!H8,'04_PSA_INPUTS'!I8)</f>
        <v>#NAME?</v>
      </c>
      <c r="F113" s="27" t="e">
        <f ca="1">_xludf.GAMMA.INV(V113,'04_PSA_INPUTS'!H9,'04_PSA_INPUTS'!I9)</f>
        <v>#NAME?</v>
      </c>
      <c r="G113" s="23" t="e">
        <f ca="1">_xludf.BETA.INV(W113,'04_PSA_INPUTS'!H10,'04_PSA_INPUTS'!I10)</f>
        <v>#NAME?</v>
      </c>
      <c r="H113" s="23" t="e">
        <f ca="1">_xludf.BETA.INV(X113,'04_PSA_INPUTS'!H11,'04_PSA_INPUTS'!I11)</f>
        <v>#NAME?</v>
      </c>
      <c r="I113" s="27" t="e">
        <f ca="1">D113+B113*F113+'01_INPUTS'!B20</f>
        <v>#NAME?</v>
      </c>
      <c r="J113" s="27" t="e">
        <f ca="1">E113+C113*F113+'01_INPUTS'!B21</f>
        <v>#NAME?</v>
      </c>
      <c r="K113" s="27" t="e">
        <f t="shared" ca="1" si="6"/>
        <v>#NAME?</v>
      </c>
      <c r="L113" s="23" t="e">
        <f t="shared" ca="1" si="7"/>
        <v>#NAME?</v>
      </c>
      <c r="M113" s="23" t="e">
        <f t="shared" ca="1" si="8"/>
        <v>#NAME?</v>
      </c>
      <c r="N113" s="23" t="e">
        <f t="shared" ca="1" si="9"/>
        <v>#NAME?</v>
      </c>
      <c r="O113" s="27" t="e">
        <f t="shared" ca="1" si="10"/>
        <v>#NAME?</v>
      </c>
      <c r="P113" s="27" t="e">
        <f ca="1">'01_INPUTS'!B9*N113-K113</f>
        <v>#NAME?</v>
      </c>
      <c r="Q113" s="1" t="e">
        <f t="shared" ca="1" si="11"/>
        <v>#NAME?</v>
      </c>
      <c r="R113" s="28">
        <v>1.6680900473147631E-2</v>
      </c>
      <c r="S113" s="28">
        <v>8.7432626402005553E-2</v>
      </c>
      <c r="T113" s="28">
        <v>0.35540854511782527</v>
      </c>
      <c r="U113" s="28">
        <v>0.54020206700079143</v>
      </c>
      <c r="V113" s="28">
        <v>0.72003662935458124</v>
      </c>
      <c r="W113" s="28">
        <v>0.72706226841546595</v>
      </c>
      <c r="X113" s="28">
        <v>0.73668420547619462</v>
      </c>
    </row>
    <row r="114" spans="1:24" ht="13.9">
      <c r="A114" s="1">
        <v>113</v>
      </c>
      <c r="B114" s="23" t="e">
        <f ca="1">_xludf.BETA.INV(R114,'04_PSA_INPUTS'!H5,'04_PSA_INPUTS'!I5)</f>
        <v>#NAME?</v>
      </c>
      <c r="C114" s="23" t="e">
        <f ca="1">_xludf.BETA.INV(S114,'04_PSA_INPUTS'!H6,'04_PSA_INPUTS'!I6)</f>
        <v>#NAME?</v>
      </c>
      <c r="D114" s="27" t="e">
        <f ca="1">_xludf.GAMMA.INV(T114,'04_PSA_INPUTS'!H7,'04_PSA_INPUTS'!I7)</f>
        <v>#NAME?</v>
      </c>
      <c r="E114" s="27" t="e">
        <f ca="1">_xludf.GAMMA.INV(U114,'04_PSA_INPUTS'!H8,'04_PSA_INPUTS'!I8)</f>
        <v>#NAME?</v>
      </c>
      <c r="F114" s="27" t="e">
        <f ca="1">_xludf.GAMMA.INV(V114,'04_PSA_INPUTS'!H9,'04_PSA_INPUTS'!I9)</f>
        <v>#NAME?</v>
      </c>
      <c r="G114" s="23" t="e">
        <f ca="1">_xludf.BETA.INV(W114,'04_PSA_INPUTS'!H10,'04_PSA_INPUTS'!I10)</f>
        <v>#NAME?</v>
      </c>
      <c r="H114" s="23" t="e">
        <f ca="1">_xludf.BETA.INV(X114,'04_PSA_INPUTS'!H11,'04_PSA_INPUTS'!I11)</f>
        <v>#NAME?</v>
      </c>
      <c r="I114" s="27" t="e">
        <f ca="1">D114+B114*F114+'01_INPUTS'!B20</f>
        <v>#NAME?</v>
      </c>
      <c r="J114" s="27" t="e">
        <f ca="1">E114+C114*F114+'01_INPUTS'!B21</f>
        <v>#NAME?</v>
      </c>
      <c r="K114" s="27" t="e">
        <f t="shared" ca="1" si="6"/>
        <v>#NAME?</v>
      </c>
      <c r="L114" s="23" t="e">
        <f t="shared" ca="1" si="7"/>
        <v>#NAME?</v>
      </c>
      <c r="M114" s="23" t="e">
        <f t="shared" ca="1" si="8"/>
        <v>#NAME?</v>
      </c>
      <c r="N114" s="23" t="e">
        <f t="shared" ca="1" si="9"/>
        <v>#NAME?</v>
      </c>
      <c r="O114" s="27" t="e">
        <f t="shared" ca="1" si="10"/>
        <v>#NAME?</v>
      </c>
      <c r="P114" s="27" t="e">
        <f ca="1">'01_INPUTS'!B9*N114-K114</f>
        <v>#NAME?</v>
      </c>
      <c r="Q114" s="1" t="e">
        <f t="shared" ca="1" si="11"/>
        <v>#NAME?</v>
      </c>
      <c r="R114" s="28">
        <v>0.96274375170469284</v>
      </c>
      <c r="S114" s="28">
        <v>0.69018970313481987</v>
      </c>
      <c r="T114" s="28">
        <v>0.96387740108184516</v>
      </c>
      <c r="U114" s="28">
        <v>0.63009098684415221</v>
      </c>
      <c r="V114" s="28">
        <v>0.47698399377986789</v>
      </c>
      <c r="W114" s="28">
        <v>0.89557516621425748</v>
      </c>
      <c r="X114" s="28">
        <v>0.401227040681988</v>
      </c>
    </row>
    <row r="115" spans="1:24" ht="13.9">
      <c r="A115" s="1">
        <v>114</v>
      </c>
      <c r="B115" s="23" t="e">
        <f ca="1">_xludf.BETA.INV(R115,'04_PSA_INPUTS'!H5,'04_PSA_INPUTS'!I5)</f>
        <v>#NAME?</v>
      </c>
      <c r="C115" s="23" t="e">
        <f ca="1">_xludf.BETA.INV(S115,'04_PSA_INPUTS'!H6,'04_PSA_INPUTS'!I6)</f>
        <v>#NAME?</v>
      </c>
      <c r="D115" s="27" t="e">
        <f ca="1">_xludf.GAMMA.INV(T115,'04_PSA_INPUTS'!H7,'04_PSA_INPUTS'!I7)</f>
        <v>#NAME?</v>
      </c>
      <c r="E115" s="27" t="e">
        <f ca="1">_xludf.GAMMA.INV(U115,'04_PSA_INPUTS'!H8,'04_PSA_INPUTS'!I8)</f>
        <v>#NAME?</v>
      </c>
      <c r="F115" s="27" t="e">
        <f ca="1">_xludf.GAMMA.INV(V115,'04_PSA_INPUTS'!H9,'04_PSA_INPUTS'!I9)</f>
        <v>#NAME?</v>
      </c>
      <c r="G115" s="23" t="e">
        <f ca="1">_xludf.BETA.INV(W115,'04_PSA_INPUTS'!H10,'04_PSA_INPUTS'!I10)</f>
        <v>#NAME?</v>
      </c>
      <c r="H115" s="23" t="e">
        <f ca="1">_xludf.BETA.INV(X115,'04_PSA_INPUTS'!H11,'04_PSA_INPUTS'!I11)</f>
        <v>#NAME?</v>
      </c>
      <c r="I115" s="27" t="e">
        <f ca="1">D115+B115*F115+'01_INPUTS'!B20</f>
        <v>#NAME?</v>
      </c>
      <c r="J115" s="27" t="e">
        <f ca="1">E115+C115*F115+'01_INPUTS'!B21</f>
        <v>#NAME?</v>
      </c>
      <c r="K115" s="27" t="e">
        <f t="shared" ca="1" si="6"/>
        <v>#NAME?</v>
      </c>
      <c r="L115" s="23" t="e">
        <f t="shared" ca="1" si="7"/>
        <v>#NAME?</v>
      </c>
      <c r="M115" s="23" t="e">
        <f t="shared" ca="1" si="8"/>
        <v>#NAME?</v>
      </c>
      <c r="N115" s="23" t="e">
        <f t="shared" ca="1" si="9"/>
        <v>#NAME?</v>
      </c>
      <c r="O115" s="27" t="e">
        <f t="shared" ca="1" si="10"/>
        <v>#NAME?</v>
      </c>
      <c r="P115" s="27" t="e">
        <f ca="1">'01_INPUTS'!B9*N115-K115</f>
        <v>#NAME?</v>
      </c>
      <c r="Q115" s="1" t="e">
        <f t="shared" ca="1" si="11"/>
        <v>#NAME?</v>
      </c>
      <c r="R115" s="28">
        <v>0.59517729538492858</v>
      </c>
      <c r="S115" s="28">
        <v>0.77327605173923075</v>
      </c>
      <c r="T115" s="28">
        <v>0.55751578044146299</v>
      </c>
      <c r="U115" s="28">
        <v>0.77005247096531093</v>
      </c>
      <c r="V115" s="28">
        <v>0.59351129154674709</v>
      </c>
      <c r="W115" s="28">
        <v>2.7876593638211489E-2</v>
      </c>
      <c r="X115" s="28">
        <v>0.46913459175266325</v>
      </c>
    </row>
    <row r="116" spans="1:24" ht="13.9">
      <c r="A116" s="1">
        <v>115</v>
      </c>
      <c r="B116" s="23" t="e">
        <f ca="1">_xludf.BETA.INV(R116,'04_PSA_INPUTS'!H5,'04_PSA_INPUTS'!I5)</f>
        <v>#NAME?</v>
      </c>
      <c r="C116" s="23" t="e">
        <f ca="1">_xludf.BETA.INV(S116,'04_PSA_INPUTS'!H6,'04_PSA_INPUTS'!I6)</f>
        <v>#NAME?</v>
      </c>
      <c r="D116" s="27" t="e">
        <f ca="1">_xludf.GAMMA.INV(T116,'04_PSA_INPUTS'!H7,'04_PSA_INPUTS'!I7)</f>
        <v>#NAME?</v>
      </c>
      <c r="E116" s="27" t="e">
        <f ca="1">_xludf.GAMMA.INV(U116,'04_PSA_INPUTS'!H8,'04_PSA_INPUTS'!I8)</f>
        <v>#NAME?</v>
      </c>
      <c r="F116" s="27" t="e">
        <f ca="1">_xludf.GAMMA.INV(V116,'04_PSA_INPUTS'!H9,'04_PSA_INPUTS'!I9)</f>
        <v>#NAME?</v>
      </c>
      <c r="G116" s="23" t="e">
        <f ca="1">_xludf.BETA.INV(W116,'04_PSA_INPUTS'!H10,'04_PSA_INPUTS'!I10)</f>
        <v>#NAME?</v>
      </c>
      <c r="H116" s="23" t="e">
        <f ca="1">_xludf.BETA.INV(X116,'04_PSA_INPUTS'!H11,'04_PSA_INPUTS'!I11)</f>
        <v>#NAME?</v>
      </c>
      <c r="I116" s="27" t="e">
        <f ca="1">D116+B116*F116+'01_INPUTS'!B20</f>
        <v>#NAME?</v>
      </c>
      <c r="J116" s="27" t="e">
        <f ca="1">E116+C116*F116+'01_INPUTS'!B21</f>
        <v>#NAME?</v>
      </c>
      <c r="K116" s="27" t="e">
        <f t="shared" ca="1" si="6"/>
        <v>#NAME?</v>
      </c>
      <c r="L116" s="23" t="e">
        <f t="shared" ca="1" si="7"/>
        <v>#NAME?</v>
      </c>
      <c r="M116" s="23" t="e">
        <f t="shared" ca="1" si="8"/>
        <v>#NAME?</v>
      </c>
      <c r="N116" s="23" t="e">
        <f t="shared" ca="1" si="9"/>
        <v>#NAME?</v>
      </c>
      <c r="O116" s="27" t="e">
        <f t="shared" ca="1" si="10"/>
        <v>#NAME?</v>
      </c>
      <c r="P116" s="27" t="e">
        <f ca="1">'01_INPUTS'!B9*N116-K116</f>
        <v>#NAME?</v>
      </c>
      <c r="Q116" s="1" t="e">
        <f t="shared" ca="1" si="11"/>
        <v>#NAME?</v>
      </c>
      <c r="R116" s="28">
        <v>0.87165070860646665</v>
      </c>
      <c r="S116" s="28">
        <v>0.66951314895413816</v>
      </c>
      <c r="T116" s="28">
        <v>0.74741815589368343</v>
      </c>
      <c r="U116" s="28">
        <v>0.75116691319271922</v>
      </c>
      <c r="V116" s="28">
        <v>6.915110838599503E-2</v>
      </c>
      <c r="W116" s="28">
        <v>0.55658819456584752</v>
      </c>
      <c r="X116" s="28">
        <v>0.60671754204668105</v>
      </c>
    </row>
    <row r="117" spans="1:24" ht="13.9">
      <c r="A117" s="1">
        <v>116</v>
      </c>
      <c r="B117" s="23" t="e">
        <f ca="1">_xludf.BETA.INV(R117,'04_PSA_INPUTS'!H5,'04_PSA_INPUTS'!I5)</f>
        <v>#NAME?</v>
      </c>
      <c r="C117" s="23" t="e">
        <f ca="1">_xludf.BETA.INV(S117,'04_PSA_INPUTS'!H6,'04_PSA_INPUTS'!I6)</f>
        <v>#NAME?</v>
      </c>
      <c r="D117" s="27" t="e">
        <f ca="1">_xludf.GAMMA.INV(T117,'04_PSA_INPUTS'!H7,'04_PSA_INPUTS'!I7)</f>
        <v>#NAME?</v>
      </c>
      <c r="E117" s="27" t="e">
        <f ca="1">_xludf.GAMMA.INV(U117,'04_PSA_INPUTS'!H8,'04_PSA_INPUTS'!I8)</f>
        <v>#NAME?</v>
      </c>
      <c r="F117" s="27" t="e">
        <f ca="1">_xludf.GAMMA.INV(V117,'04_PSA_INPUTS'!H9,'04_PSA_INPUTS'!I9)</f>
        <v>#NAME?</v>
      </c>
      <c r="G117" s="23" t="e">
        <f ca="1">_xludf.BETA.INV(W117,'04_PSA_INPUTS'!H10,'04_PSA_INPUTS'!I10)</f>
        <v>#NAME?</v>
      </c>
      <c r="H117" s="23" t="e">
        <f ca="1">_xludf.BETA.INV(X117,'04_PSA_INPUTS'!H11,'04_PSA_INPUTS'!I11)</f>
        <v>#NAME?</v>
      </c>
      <c r="I117" s="27" t="e">
        <f ca="1">D117+B117*F117+'01_INPUTS'!B20</f>
        <v>#NAME?</v>
      </c>
      <c r="J117" s="27" t="e">
        <f ca="1">E117+C117*F117+'01_INPUTS'!B21</f>
        <v>#NAME?</v>
      </c>
      <c r="K117" s="27" t="e">
        <f t="shared" ca="1" si="6"/>
        <v>#NAME?</v>
      </c>
      <c r="L117" s="23" t="e">
        <f t="shared" ca="1" si="7"/>
        <v>#NAME?</v>
      </c>
      <c r="M117" s="23" t="e">
        <f t="shared" ca="1" si="8"/>
        <v>#NAME?</v>
      </c>
      <c r="N117" s="23" t="e">
        <f t="shared" ca="1" si="9"/>
        <v>#NAME?</v>
      </c>
      <c r="O117" s="27" t="e">
        <f t="shared" ca="1" si="10"/>
        <v>#NAME?</v>
      </c>
      <c r="P117" s="27" t="e">
        <f ca="1">'01_INPUTS'!B9*N117-K117</f>
        <v>#NAME?</v>
      </c>
      <c r="Q117" s="1" t="e">
        <f t="shared" ca="1" si="11"/>
        <v>#NAME?</v>
      </c>
      <c r="R117" s="28">
        <v>0.23467173636890948</v>
      </c>
      <c r="S117" s="28">
        <v>0.93992351461201906</v>
      </c>
      <c r="T117" s="28">
        <v>0.35478589311242104</v>
      </c>
      <c r="U117" s="28">
        <v>0.40890600136481225</v>
      </c>
      <c r="V117" s="28">
        <v>0.96015073009766638</v>
      </c>
      <c r="W117" s="28">
        <v>0.20199112687259912</v>
      </c>
      <c r="X117" s="28">
        <v>0.83897324465215206</v>
      </c>
    </row>
    <row r="118" spans="1:24" ht="13.9">
      <c r="A118" s="1">
        <v>117</v>
      </c>
      <c r="B118" s="23" t="e">
        <f ca="1">_xludf.BETA.INV(R118,'04_PSA_INPUTS'!H5,'04_PSA_INPUTS'!I5)</f>
        <v>#NAME?</v>
      </c>
      <c r="C118" s="23" t="e">
        <f ca="1">_xludf.BETA.INV(S118,'04_PSA_INPUTS'!H6,'04_PSA_INPUTS'!I6)</f>
        <v>#NAME?</v>
      </c>
      <c r="D118" s="27" t="e">
        <f ca="1">_xludf.GAMMA.INV(T118,'04_PSA_INPUTS'!H7,'04_PSA_INPUTS'!I7)</f>
        <v>#NAME?</v>
      </c>
      <c r="E118" s="27" t="e">
        <f ca="1">_xludf.GAMMA.INV(U118,'04_PSA_INPUTS'!H8,'04_PSA_INPUTS'!I8)</f>
        <v>#NAME?</v>
      </c>
      <c r="F118" s="27" t="e">
        <f ca="1">_xludf.GAMMA.INV(V118,'04_PSA_INPUTS'!H9,'04_PSA_INPUTS'!I9)</f>
        <v>#NAME?</v>
      </c>
      <c r="G118" s="23" t="e">
        <f ca="1">_xludf.BETA.INV(W118,'04_PSA_INPUTS'!H10,'04_PSA_INPUTS'!I10)</f>
        <v>#NAME?</v>
      </c>
      <c r="H118" s="23" t="e">
        <f ca="1">_xludf.BETA.INV(X118,'04_PSA_INPUTS'!H11,'04_PSA_INPUTS'!I11)</f>
        <v>#NAME?</v>
      </c>
      <c r="I118" s="27" t="e">
        <f ca="1">D118+B118*F118+'01_INPUTS'!B20</f>
        <v>#NAME?</v>
      </c>
      <c r="J118" s="27" t="e">
        <f ca="1">E118+C118*F118+'01_INPUTS'!B21</f>
        <v>#NAME?</v>
      </c>
      <c r="K118" s="27" t="e">
        <f t="shared" ca="1" si="6"/>
        <v>#NAME?</v>
      </c>
      <c r="L118" s="23" t="e">
        <f t="shared" ca="1" si="7"/>
        <v>#NAME?</v>
      </c>
      <c r="M118" s="23" t="e">
        <f t="shared" ca="1" si="8"/>
        <v>#NAME?</v>
      </c>
      <c r="N118" s="23" t="e">
        <f t="shared" ca="1" si="9"/>
        <v>#NAME?</v>
      </c>
      <c r="O118" s="27" t="e">
        <f t="shared" ca="1" si="10"/>
        <v>#NAME?</v>
      </c>
      <c r="P118" s="27" t="e">
        <f ca="1">'01_INPUTS'!B9*N118-K118</f>
        <v>#NAME?</v>
      </c>
      <c r="Q118" s="1" t="e">
        <f t="shared" ca="1" si="11"/>
        <v>#NAME?</v>
      </c>
      <c r="R118" s="28">
        <v>0.75752101908437908</v>
      </c>
      <c r="S118" s="28">
        <v>0.30689133005216718</v>
      </c>
      <c r="T118" s="28">
        <v>0.46723462198860943</v>
      </c>
      <c r="U118" s="28">
        <v>6.7630595061928034E-2</v>
      </c>
      <c r="V118" s="28">
        <v>0.17829315294511616</v>
      </c>
      <c r="W118" s="28">
        <v>0.42640958400443196</v>
      </c>
      <c r="X118" s="28">
        <v>0.15015289513394237</v>
      </c>
    </row>
    <row r="119" spans="1:24" ht="13.9">
      <c r="A119" s="1">
        <v>118</v>
      </c>
      <c r="B119" s="23" t="e">
        <f ca="1">_xludf.BETA.INV(R119,'04_PSA_INPUTS'!H5,'04_PSA_INPUTS'!I5)</f>
        <v>#NAME?</v>
      </c>
      <c r="C119" s="23" t="e">
        <f ca="1">_xludf.BETA.INV(S119,'04_PSA_INPUTS'!H6,'04_PSA_INPUTS'!I6)</f>
        <v>#NAME?</v>
      </c>
      <c r="D119" s="27" t="e">
        <f ca="1">_xludf.GAMMA.INV(T119,'04_PSA_INPUTS'!H7,'04_PSA_INPUTS'!I7)</f>
        <v>#NAME?</v>
      </c>
      <c r="E119" s="27" t="e">
        <f ca="1">_xludf.GAMMA.INV(U119,'04_PSA_INPUTS'!H8,'04_PSA_INPUTS'!I8)</f>
        <v>#NAME?</v>
      </c>
      <c r="F119" s="27" t="e">
        <f ca="1">_xludf.GAMMA.INV(V119,'04_PSA_INPUTS'!H9,'04_PSA_INPUTS'!I9)</f>
        <v>#NAME?</v>
      </c>
      <c r="G119" s="23" t="e">
        <f ca="1">_xludf.BETA.INV(W119,'04_PSA_INPUTS'!H10,'04_PSA_INPUTS'!I10)</f>
        <v>#NAME?</v>
      </c>
      <c r="H119" s="23" t="e">
        <f ca="1">_xludf.BETA.INV(X119,'04_PSA_INPUTS'!H11,'04_PSA_INPUTS'!I11)</f>
        <v>#NAME?</v>
      </c>
      <c r="I119" s="27" t="e">
        <f ca="1">D119+B119*F119+'01_INPUTS'!B20</f>
        <v>#NAME?</v>
      </c>
      <c r="J119" s="27" t="e">
        <f ca="1">E119+C119*F119+'01_INPUTS'!B21</f>
        <v>#NAME?</v>
      </c>
      <c r="K119" s="27" t="e">
        <f t="shared" ca="1" si="6"/>
        <v>#NAME?</v>
      </c>
      <c r="L119" s="23" t="e">
        <f t="shared" ca="1" si="7"/>
        <v>#NAME?</v>
      </c>
      <c r="M119" s="23" t="e">
        <f t="shared" ca="1" si="8"/>
        <v>#NAME?</v>
      </c>
      <c r="N119" s="23" t="e">
        <f t="shared" ca="1" si="9"/>
        <v>#NAME?</v>
      </c>
      <c r="O119" s="27" t="e">
        <f t="shared" ca="1" si="10"/>
        <v>#NAME?</v>
      </c>
      <c r="P119" s="27" t="e">
        <f ca="1">'01_INPUTS'!B9*N119-K119</f>
        <v>#NAME?</v>
      </c>
      <c r="Q119" s="1" t="e">
        <f t="shared" ca="1" si="11"/>
        <v>#NAME?</v>
      </c>
      <c r="R119" s="28">
        <v>0.62697769980877638</v>
      </c>
      <c r="S119" s="28">
        <v>0.55634606210514903</v>
      </c>
      <c r="T119" s="28">
        <v>0.11490348842926323</v>
      </c>
      <c r="U119" s="28">
        <v>0.76280267094261944</v>
      </c>
      <c r="V119" s="28">
        <v>0.78354046586900949</v>
      </c>
      <c r="W119" s="28">
        <v>0.65173106989823282</v>
      </c>
      <c r="X119" s="28">
        <v>1.4314474537968636E-3</v>
      </c>
    </row>
    <row r="120" spans="1:24" ht="13.9">
      <c r="A120" s="1">
        <v>119</v>
      </c>
      <c r="B120" s="23" t="e">
        <f ca="1">_xludf.BETA.INV(R120,'04_PSA_INPUTS'!H5,'04_PSA_INPUTS'!I5)</f>
        <v>#NAME?</v>
      </c>
      <c r="C120" s="23" t="e">
        <f ca="1">_xludf.BETA.INV(S120,'04_PSA_INPUTS'!H6,'04_PSA_INPUTS'!I6)</f>
        <v>#NAME?</v>
      </c>
      <c r="D120" s="27" t="e">
        <f ca="1">_xludf.GAMMA.INV(T120,'04_PSA_INPUTS'!H7,'04_PSA_INPUTS'!I7)</f>
        <v>#NAME?</v>
      </c>
      <c r="E120" s="27" t="e">
        <f ca="1">_xludf.GAMMA.INV(U120,'04_PSA_INPUTS'!H8,'04_PSA_INPUTS'!I8)</f>
        <v>#NAME?</v>
      </c>
      <c r="F120" s="27" t="e">
        <f ca="1">_xludf.GAMMA.INV(V120,'04_PSA_INPUTS'!H9,'04_PSA_INPUTS'!I9)</f>
        <v>#NAME?</v>
      </c>
      <c r="G120" s="23" t="e">
        <f ca="1">_xludf.BETA.INV(W120,'04_PSA_INPUTS'!H10,'04_PSA_INPUTS'!I10)</f>
        <v>#NAME?</v>
      </c>
      <c r="H120" s="23" t="e">
        <f ca="1">_xludf.BETA.INV(X120,'04_PSA_INPUTS'!H11,'04_PSA_INPUTS'!I11)</f>
        <v>#NAME?</v>
      </c>
      <c r="I120" s="27" t="e">
        <f ca="1">D120+B120*F120+'01_INPUTS'!B20</f>
        <v>#NAME?</v>
      </c>
      <c r="J120" s="27" t="e">
        <f ca="1">E120+C120*F120+'01_INPUTS'!B21</f>
        <v>#NAME?</v>
      </c>
      <c r="K120" s="27" t="e">
        <f t="shared" ca="1" si="6"/>
        <v>#NAME?</v>
      </c>
      <c r="L120" s="23" t="e">
        <f t="shared" ca="1" si="7"/>
        <v>#NAME?</v>
      </c>
      <c r="M120" s="23" t="e">
        <f t="shared" ca="1" si="8"/>
        <v>#NAME?</v>
      </c>
      <c r="N120" s="23" t="e">
        <f t="shared" ca="1" si="9"/>
        <v>#NAME?</v>
      </c>
      <c r="O120" s="27" t="e">
        <f t="shared" ca="1" si="10"/>
        <v>#NAME?</v>
      </c>
      <c r="P120" s="27" t="e">
        <f ca="1">'01_INPUTS'!B9*N120-K120</f>
        <v>#NAME?</v>
      </c>
      <c r="Q120" s="1" t="e">
        <f t="shared" ca="1" si="11"/>
        <v>#NAME?</v>
      </c>
      <c r="R120" s="28">
        <v>0.8081369623541832</v>
      </c>
      <c r="S120" s="28">
        <v>0.4561085794121027</v>
      </c>
      <c r="T120" s="28">
        <v>0.84238321101292968</v>
      </c>
      <c r="U120" s="28">
        <v>0.10257724300026894</v>
      </c>
      <c r="V120" s="28">
        <v>0.60435413685627282</v>
      </c>
      <c r="W120" s="28">
        <v>7.4100407306104898E-2</v>
      </c>
      <c r="X120" s="28">
        <v>0.57064865180291235</v>
      </c>
    </row>
    <row r="121" spans="1:24" ht="13.9">
      <c r="A121" s="1">
        <v>120</v>
      </c>
      <c r="B121" s="23" t="e">
        <f ca="1">_xludf.BETA.INV(R121,'04_PSA_INPUTS'!H5,'04_PSA_INPUTS'!I5)</f>
        <v>#NAME?</v>
      </c>
      <c r="C121" s="23" t="e">
        <f ca="1">_xludf.BETA.INV(S121,'04_PSA_INPUTS'!H6,'04_PSA_INPUTS'!I6)</f>
        <v>#NAME?</v>
      </c>
      <c r="D121" s="27" t="e">
        <f ca="1">_xludf.GAMMA.INV(T121,'04_PSA_INPUTS'!H7,'04_PSA_INPUTS'!I7)</f>
        <v>#NAME?</v>
      </c>
      <c r="E121" s="27" t="e">
        <f ca="1">_xludf.GAMMA.INV(U121,'04_PSA_INPUTS'!H8,'04_PSA_INPUTS'!I8)</f>
        <v>#NAME?</v>
      </c>
      <c r="F121" s="27" t="e">
        <f ca="1">_xludf.GAMMA.INV(V121,'04_PSA_INPUTS'!H9,'04_PSA_INPUTS'!I9)</f>
        <v>#NAME?</v>
      </c>
      <c r="G121" s="23" t="e">
        <f ca="1">_xludf.BETA.INV(W121,'04_PSA_INPUTS'!H10,'04_PSA_INPUTS'!I10)</f>
        <v>#NAME?</v>
      </c>
      <c r="H121" s="23" t="e">
        <f ca="1">_xludf.BETA.INV(X121,'04_PSA_INPUTS'!H11,'04_PSA_INPUTS'!I11)</f>
        <v>#NAME?</v>
      </c>
      <c r="I121" s="27" t="e">
        <f ca="1">D121+B121*F121+'01_INPUTS'!B20</f>
        <v>#NAME?</v>
      </c>
      <c r="J121" s="27" t="e">
        <f ca="1">E121+C121*F121+'01_INPUTS'!B21</f>
        <v>#NAME?</v>
      </c>
      <c r="K121" s="27" t="e">
        <f t="shared" ca="1" si="6"/>
        <v>#NAME?</v>
      </c>
      <c r="L121" s="23" t="e">
        <f t="shared" ca="1" si="7"/>
        <v>#NAME?</v>
      </c>
      <c r="M121" s="23" t="e">
        <f t="shared" ca="1" si="8"/>
        <v>#NAME?</v>
      </c>
      <c r="N121" s="23" t="e">
        <f t="shared" ca="1" si="9"/>
        <v>#NAME?</v>
      </c>
      <c r="O121" s="27" t="e">
        <f t="shared" ca="1" si="10"/>
        <v>#NAME?</v>
      </c>
      <c r="P121" s="27" t="e">
        <f ca="1">'01_INPUTS'!B9*N121-K121</f>
        <v>#NAME?</v>
      </c>
      <c r="Q121" s="1" t="e">
        <f t="shared" ca="1" si="11"/>
        <v>#NAME?</v>
      </c>
      <c r="R121" s="28">
        <v>0.57257490721531212</v>
      </c>
      <c r="S121" s="28">
        <v>0.14397285878658295</v>
      </c>
      <c r="T121" s="28">
        <v>0.69142841384746134</v>
      </c>
      <c r="U121" s="28">
        <v>0.5738905577454716</v>
      </c>
      <c r="V121" s="28">
        <v>3.7273955065757036E-2</v>
      </c>
      <c r="W121" s="28">
        <v>0.88317711697891355</v>
      </c>
      <c r="X121" s="28">
        <v>3.7251400295644999E-2</v>
      </c>
    </row>
    <row r="122" spans="1:24" ht="13.9">
      <c r="A122" s="1">
        <v>121</v>
      </c>
      <c r="B122" s="23" t="e">
        <f ca="1">_xludf.BETA.INV(R122,'04_PSA_INPUTS'!H5,'04_PSA_INPUTS'!I5)</f>
        <v>#NAME?</v>
      </c>
      <c r="C122" s="23" t="e">
        <f ca="1">_xludf.BETA.INV(S122,'04_PSA_INPUTS'!H6,'04_PSA_INPUTS'!I6)</f>
        <v>#NAME?</v>
      </c>
      <c r="D122" s="27" t="e">
        <f ca="1">_xludf.GAMMA.INV(T122,'04_PSA_INPUTS'!H7,'04_PSA_INPUTS'!I7)</f>
        <v>#NAME?</v>
      </c>
      <c r="E122" s="27" t="e">
        <f ca="1">_xludf.GAMMA.INV(U122,'04_PSA_INPUTS'!H8,'04_PSA_INPUTS'!I8)</f>
        <v>#NAME?</v>
      </c>
      <c r="F122" s="27" t="e">
        <f ca="1">_xludf.GAMMA.INV(V122,'04_PSA_INPUTS'!H9,'04_PSA_INPUTS'!I9)</f>
        <v>#NAME?</v>
      </c>
      <c r="G122" s="23" t="e">
        <f ca="1">_xludf.BETA.INV(W122,'04_PSA_INPUTS'!H10,'04_PSA_INPUTS'!I10)</f>
        <v>#NAME?</v>
      </c>
      <c r="H122" s="23" t="e">
        <f ca="1">_xludf.BETA.INV(X122,'04_PSA_INPUTS'!H11,'04_PSA_INPUTS'!I11)</f>
        <v>#NAME?</v>
      </c>
      <c r="I122" s="27" t="e">
        <f ca="1">D122+B122*F122+'01_INPUTS'!B20</f>
        <v>#NAME?</v>
      </c>
      <c r="J122" s="27" t="e">
        <f ca="1">E122+C122*F122+'01_INPUTS'!B21</f>
        <v>#NAME?</v>
      </c>
      <c r="K122" s="27" t="e">
        <f t="shared" ca="1" si="6"/>
        <v>#NAME?</v>
      </c>
      <c r="L122" s="23" t="e">
        <f t="shared" ca="1" si="7"/>
        <v>#NAME?</v>
      </c>
      <c r="M122" s="23" t="e">
        <f t="shared" ca="1" si="8"/>
        <v>#NAME?</v>
      </c>
      <c r="N122" s="23" t="e">
        <f t="shared" ca="1" si="9"/>
        <v>#NAME?</v>
      </c>
      <c r="O122" s="27" t="e">
        <f t="shared" ca="1" si="10"/>
        <v>#NAME?</v>
      </c>
      <c r="P122" s="27" t="e">
        <f ca="1">'01_INPUTS'!B9*N122-K122</f>
        <v>#NAME?</v>
      </c>
      <c r="Q122" s="1" t="e">
        <f t="shared" ca="1" si="11"/>
        <v>#NAME?</v>
      </c>
      <c r="R122" s="28">
        <v>0.70191381662152708</v>
      </c>
      <c r="S122" s="28">
        <v>0.89922794653102756</v>
      </c>
      <c r="T122" s="28">
        <v>0.10124384029768407</v>
      </c>
      <c r="U122" s="28">
        <v>0.40257147257216275</v>
      </c>
      <c r="V122" s="28">
        <v>0.36973094358108938</v>
      </c>
      <c r="W122" s="28">
        <v>0.35303737851791084</v>
      </c>
      <c r="X122" s="28">
        <v>0.6209851517342031</v>
      </c>
    </row>
    <row r="123" spans="1:24" ht="13.9">
      <c r="A123" s="1">
        <v>122</v>
      </c>
      <c r="B123" s="23" t="e">
        <f ca="1">_xludf.BETA.INV(R123,'04_PSA_INPUTS'!H5,'04_PSA_INPUTS'!I5)</f>
        <v>#NAME?</v>
      </c>
      <c r="C123" s="23" t="e">
        <f ca="1">_xludf.BETA.INV(S123,'04_PSA_INPUTS'!H6,'04_PSA_INPUTS'!I6)</f>
        <v>#NAME?</v>
      </c>
      <c r="D123" s="27" t="e">
        <f ca="1">_xludf.GAMMA.INV(T123,'04_PSA_INPUTS'!H7,'04_PSA_INPUTS'!I7)</f>
        <v>#NAME?</v>
      </c>
      <c r="E123" s="27" t="e">
        <f ca="1">_xludf.GAMMA.INV(U123,'04_PSA_INPUTS'!H8,'04_PSA_INPUTS'!I8)</f>
        <v>#NAME?</v>
      </c>
      <c r="F123" s="27" t="e">
        <f ca="1">_xludf.GAMMA.INV(V123,'04_PSA_INPUTS'!H9,'04_PSA_INPUTS'!I9)</f>
        <v>#NAME?</v>
      </c>
      <c r="G123" s="23" t="e">
        <f ca="1">_xludf.BETA.INV(W123,'04_PSA_INPUTS'!H10,'04_PSA_INPUTS'!I10)</f>
        <v>#NAME?</v>
      </c>
      <c r="H123" s="23" t="e">
        <f ca="1">_xludf.BETA.INV(X123,'04_PSA_INPUTS'!H11,'04_PSA_INPUTS'!I11)</f>
        <v>#NAME?</v>
      </c>
      <c r="I123" s="27" t="e">
        <f ca="1">D123+B123*F123+'01_INPUTS'!B20</f>
        <v>#NAME?</v>
      </c>
      <c r="J123" s="27" t="e">
        <f ca="1">E123+C123*F123+'01_INPUTS'!B21</f>
        <v>#NAME?</v>
      </c>
      <c r="K123" s="27" t="e">
        <f t="shared" ca="1" si="6"/>
        <v>#NAME?</v>
      </c>
      <c r="L123" s="23" t="e">
        <f t="shared" ca="1" si="7"/>
        <v>#NAME?</v>
      </c>
      <c r="M123" s="23" t="e">
        <f t="shared" ca="1" si="8"/>
        <v>#NAME?</v>
      </c>
      <c r="N123" s="23" t="e">
        <f t="shared" ca="1" si="9"/>
        <v>#NAME?</v>
      </c>
      <c r="O123" s="27" t="e">
        <f t="shared" ca="1" si="10"/>
        <v>#NAME?</v>
      </c>
      <c r="P123" s="27" t="e">
        <f ca="1">'01_INPUTS'!B9*N123-K123</f>
        <v>#NAME?</v>
      </c>
      <c r="Q123" s="1" t="e">
        <f t="shared" ca="1" si="11"/>
        <v>#NAME?</v>
      </c>
      <c r="R123" s="28">
        <v>0.20064209634438157</v>
      </c>
      <c r="S123" s="28">
        <v>0.67414157115854323</v>
      </c>
      <c r="T123" s="28">
        <v>0.60525479214265943</v>
      </c>
      <c r="U123" s="28">
        <v>0.30407083267346025</v>
      </c>
      <c r="V123" s="28">
        <v>0.58979282528162003</v>
      </c>
      <c r="W123" s="28">
        <v>0.76295326557010412</v>
      </c>
      <c r="X123" s="28">
        <v>0.24895292054861784</v>
      </c>
    </row>
    <row r="124" spans="1:24" ht="13.9">
      <c r="A124" s="1">
        <v>123</v>
      </c>
      <c r="B124" s="23" t="e">
        <f ca="1">_xludf.BETA.INV(R124,'04_PSA_INPUTS'!H5,'04_PSA_INPUTS'!I5)</f>
        <v>#NAME?</v>
      </c>
      <c r="C124" s="23" t="e">
        <f ca="1">_xludf.BETA.INV(S124,'04_PSA_INPUTS'!H6,'04_PSA_INPUTS'!I6)</f>
        <v>#NAME?</v>
      </c>
      <c r="D124" s="27" t="e">
        <f ca="1">_xludf.GAMMA.INV(T124,'04_PSA_INPUTS'!H7,'04_PSA_INPUTS'!I7)</f>
        <v>#NAME?</v>
      </c>
      <c r="E124" s="27" t="e">
        <f ca="1">_xludf.GAMMA.INV(U124,'04_PSA_INPUTS'!H8,'04_PSA_INPUTS'!I8)</f>
        <v>#NAME?</v>
      </c>
      <c r="F124" s="27" t="e">
        <f ca="1">_xludf.GAMMA.INV(V124,'04_PSA_INPUTS'!H9,'04_PSA_INPUTS'!I9)</f>
        <v>#NAME?</v>
      </c>
      <c r="G124" s="23" t="e">
        <f ca="1">_xludf.BETA.INV(W124,'04_PSA_INPUTS'!H10,'04_PSA_INPUTS'!I10)</f>
        <v>#NAME?</v>
      </c>
      <c r="H124" s="23" t="e">
        <f ca="1">_xludf.BETA.INV(X124,'04_PSA_INPUTS'!H11,'04_PSA_INPUTS'!I11)</f>
        <v>#NAME?</v>
      </c>
      <c r="I124" s="27" t="e">
        <f ca="1">D124+B124*F124+'01_INPUTS'!B20</f>
        <v>#NAME?</v>
      </c>
      <c r="J124" s="27" t="e">
        <f ca="1">E124+C124*F124+'01_INPUTS'!B21</f>
        <v>#NAME?</v>
      </c>
      <c r="K124" s="27" t="e">
        <f t="shared" ca="1" si="6"/>
        <v>#NAME?</v>
      </c>
      <c r="L124" s="23" t="e">
        <f t="shared" ca="1" si="7"/>
        <v>#NAME?</v>
      </c>
      <c r="M124" s="23" t="e">
        <f t="shared" ca="1" si="8"/>
        <v>#NAME?</v>
      </c>
      <c r="N124" s="23" t="e">
        <f t="shared" ca="1" si="9"/>
        <v>#NAME?</v>
      </c>
      <c r="O124" s="27" t="e">
        <f t="shared" ca="1" si="10"/>
        <v>#NAME?</v>
      </c>
      <c r="P124" s="27" t="e">
        <f ca="1">'01_INPUTS'!B9*N124-K124</f>
        <v>#NAME?</v>
      </c>
      <c r="Q124" s="1" t="e">
        <f t="shared" ca="1" si="11"/>
        <v>#NAME?</v>
      </c>
      <c r="R124" s="28">
        <v>0.24791059829294682</v>
      </c>
      <c r="S124" s="28">
        <v>0.1034184496384114</v>
      </c>
      <c r="T124" s="28">
        <v>0.842941660201177</v>
      </c>
      <c r="U124" s="28">
        <v>0.94821854564361274</v>
      </c>
      <c r="V124" s="28">
        <v>0.58967971452511847</v>
      </c>
      <c r="W124" s="28">
        <v>0.1938881587702781</v>
      </c>
      <c r="X124" s="28">
        <v>0.86897044139914215</v>
      </c>
    </row>
    <row r="125" spans="1:24" ht="13.9">
      <c r="A125" s="1">
        <v>124</v>
      </c>
      <c r="B125" s="23" t="e">
        <f ca="1">_xludf.BETA.INV(R125,'04_PSA_INPUTS'!H5,'04_PSA_INPUTS'!I5)</f>
        <v>#NAME?</v>
      </c>
      <c r="C125" s="23" t="e">
        <f ca="1">_xludf.BETA.INV(S125,'04_PSA_INPUTS'!H6,'04_PSA_INPUTS'!I6)</f>
        <v>#NAME?</v>
      </c>
      <c r="D125" s="27" t="e">
        <f ca="1">_xludf.GAMMA.INV(T125,'04_PSA_INPUTS'!H7,'04_PSA_INPUTS'!I7)</f>
        <v>#NAME?</v>
      </c>
      <c r="E125" s="27" t="e">
        <f ca="1">_xludf.GAMMA.INV(U125,'04_PSA_INPUTS'!H8,'04_PSA_INPUTS'!I8)</f>
        <v>#NAME?</v>
      </c>
      <c r="F125" s="27" t="e">
        <f ca="1">_xludf.GAMMA.INV(V125,'04_PSA_INPUTS'!H9,'04_PSA_INPUTS'!I9)</f>
        <v>#NAME?</v>
      </c>
      <c r="G125" s="23" t="e">
        <f ca="1">_xludf.BETA.INV(W125,'04_PSA_INPUTS'!H10,'04_PSA_INPUTS'!I10)</f>
        <v>#NAME?</v>
      </c>
      <c r="H125" s="23" t="e">
        <f ca="1">_xludf.BETA.INV(X125,'04_PSA_INPUTS'!H11,'04_PSA_INPUTS'!I11)</f>
        <v>#NAME?</v>
      </c>
      <c r="I125" s="27" t="e">
        <f ca="1">D125+B125*F125+'01_INPUTS'!B20</f>
        <v>#NAME?</v>
      </c>
      <c r="J125" s="27" t="e">
        <f ca="1">E125+C125*F125+'01_INPUTS'!B21</f>
        <v>#NAME?</v>
      </c>
      <c r="K125" s="27" t="e">
        <f t="shared" ca="1" si="6"/>
        <v>#NAME?</v>
      </c>
      <c r="L125" s="23" t="e">
        <f t="shared" ca="1" si="7"/>
        <v>#NAME?</v>
      </c>
      <c r="M125" s="23" t="e">
        <f t="shared" ca="1" si="8"/>
        <v>#NAME?</v>
      </c>
      <c r="N125" s="23" t="e">
        <f t="shared" ca="1" si="9"/>
        <v>#NAME?</v>
      </c>
      <c r="O125" s="27" t="e">
        <f t="shared" ca="1" si="10"/>
        <v>#NAME?</v>
      </c>
      <c r="P125" s="27" t="e">
        <f ca="1">'01_INPUTS'!B9*N125-K125</f>
        <v>#NAME?</v>
      </c>
      <c r="Q125" s="1" t="e">
        <f t="shared" ca="1" si="11"/>
        <v>#NAME?</v>
      </c>
      <c r="R125" s="28">
        <v>0.78877444355748594</v>
      </c>
      <c r="S125" s="28">
        <v>0.22395785176195204</v>
      </c>
      <c r="T125" s="28">
        <v>0.44717788370326161</v>
      </c>
      <c r="U125" s="28">
        <v>0.4336332546081394</v>
      </c>
      <c r="V125" s="28">
        <v>0.58971954649314284</v>
      </c>
      <c r="W125" s="28">
        <v>0.97061997326090932</v>
      </c>
      <c r="X125" s="28">
        <v>3.385569155216217E-2</v>
      </c>
    </row>
    <row r="126" spans="1:24" ht="13.9">
      <c r="A126" s="1">
        <v>125</v>
      </c>
      <c r="B126" s="23" t="e">
        <f ca="1">_xludf.BETA.INV(R126,'04_PSA_INPUTS'!H5,'04_PSA_INPUTS'!I5)</f>
        <v>#NAME?</v>
      </c>
      <c r="C126" s="23" t="e">
        <f ca="1">_xludf.BETA.INV(S126,'04_PSA_INPUTS'!H6,'04_PSA_INPUTS'!I6)</f>
        <v>#NAME?</v>
      </c>
      <c r="D126" s="27" t="e">
        <f ca="1">_xludf.GAMMA.INV(T126,'04_PSA_INPUTS'!H7,'04_PSA_INPUTS'!I7)</f>
        <v>#NAME?</v>
      </c>
      <c r="E126" s="27" t="e">
        <f ca="1">_xludf.GAMMA.INV(U126,'04_PSA_INPUTS'!H8,'04_PSA_INPUTS'!I8)</f>
        <v>#NAME?</v>
      </c>
      <c r="F126" s="27" t="e">
        <f ca="1">_xludf.GAMMA.INV(V126,'04_PSA_INPUTS'!H9,'04_PSA_INPUTS'!I9)</f>
        <v>#NAME?</v>
      </c>
      <c r="G126" s="23" t="e">
        <f ca="1">_xludf.BETA.INV(W126,'04_PSA_INPUTS'!H10,'04_PSA_INPUTS'!I10)</f>
        <v>#NAME?</v>
      </c>
      <c r="H126" s="23" t="e">
        <f ca="1">_xludf.BETA.INV(X126,'04_PSA_INPUTS'!H11,'04_PSA_INPUTS'!I11)</f>
        <v>#NAME?</v>
      </c>
      <c r="I126" s="27" t="e">
        <f ca="1">D126+B126*F126+'01_INPUTS'!B20</f>
        <v>#NAME?</v>
      </c>
      <c r="J126" s="27" t="e">
        <f ca="1">E126+C126*F126+'01_INPUTS'!B21</f>
        <v>#NAME?</v>
      </c>
      <c r="K126" s="27" t="e">
        <f t="shared" ca="1" si="6"/>
        <v>#NAME?</v>
      </c>
      <c r="L126" s="23" t="e">
        <f t="shared" ca="1" si="7"/>
        <v>#NAME?</v>
      </c>
      <c r="M126" s="23" t="e">
        <f t="shared" ca="1" si="8"/>
        <v>#NAME?</v>
      </c>
      <c r="N126" s="23" t="e">
        <f t="shared" ca="1" si="9"/>
        <v>#NAME?</v>
      </c>
      <c r="O126" s="27" t="e">
        <f t="shared" ca="1" si="10"/>
        <v>#NAME?</v>
      </c>
      <c r="P126" s="27" t="e">
        <f ca="1">'01_INPUTS'!B9*N126-K126</f>
        <v>#NAME?</v>
      </c>
      <c r="Q126" s="1" t="e">
        <f t="shared" ca="1" si="11"/>
        <v>#NAME?</v>
      </c>
      <c r="R126" s="28">
        <v>0.16796550643630326</v>
      </c>
      <c r="S126" s="28">
        <v>0.95103571796789765</v>
      </c>
      <c r="T126" s="28">
        <v>2.4014947703108191E-2</v>
      </c>
      <c r="U126" s="28">
        <v>0.97380573395639658</v>
      </c>
      <c r="V126" s="28">
        <v>0.32893480476923287</v>
      </c>
      <c r="W126" s="28">
        <v>0.11660563410259783</v>
      </c>
      <c r="X126" s="28">
        <v>0.66937742661684752</v>
      </c>
    </row>
    <row r="127" spans="1:24" ht="13.9">
      <c r="A127" s="1">
        <v>126</v>
      </c>
      <c r="B127" s="23" t="e">
        <f ca="1">_xludf.BETA.INV(R127,'04_PSA_INPUTS'!H5,'04_PSA_INPUTS'!I5)</f>
        <v>#NAME?</v>
      </c>
      <c r="C127" s="23" t="e">
        <f ca="1">_xludf.BETA.INV(S127,'04_PSA_INPUTS'!H6,'04_PSA_INPUTS'!I6)</f>
        <v>#NAME?</v>
      </c>
      <c r="D127" s="27" t="e">
        <f ca="1">_xludf.GAMMA.INV(T127,'04_PSA_INPUTS'!H7,'04_PSA_INPUTS'!I7)</f>
        <v>#NAME?</v>
      </c>
      <c r="E127" s="27" t="e">
        <f ca="1">_xludf.GAMMA.INV(U127,'04_PSA_INPUTS'!H8,'04_PSA_INPUTS'!I8)</f>
        <v>#NAME?</v>
      </c>
      <c r="F127" s="27" t="e">
        <f ca="1">_xludf.GAMMA.INV(V127,'04_PSA_INPUTS'!H9,'04_PSA_INPUTS'!I9)</f>
        <v>#NAME?</v>
      </c>
      <c r="G127" s="23" t="e">
        <f ca="1">_xludf.BETA.INV(W127,'04_PSA_INPUTS'!H10,'04_PSA_INPUTS'!I10)</f>
        <v>#NAME?</v>
      </c>
      <c r="H127" s="23" t="e">
        <f ca="1">_xludf.BETA.INV(X127,'04_PSA_INPUTS'!H11,'04_PSA_INPUTS'!I11)</f>
        <v>#NAME?</v>
      </c>
      <c r="I127" s="27" t="e">
        <f ca="1">D127+B127*F127+'01_INPUTS'!B20</f>
        <v>#NAME?</v>
      </c>
      <c r="J127" s="27" t="e">
        <f ca="1">E127+C127*F127+'01_INPUTS'!B21</f>
        <v>#NAME?</v>
      </c>
      <c r="K127" s="27" t="e">
        <f t="shared" ca="1" si="6"/>
        <v>#NAME?</v>
      </c>
      <c r="L127" s="23" t="e">
        <f t="shared" ca="1" si="7"/>
        <v>#NAME?</v>
      </c>
      <c r="M127" s="23" t="e">
        <f t="shared" ca="1" si="8"/>
        <v>#NAME?</v>
      </c>
      <c r="N127" s="23" t="e">
        <f t="shared" ca="1" si="9"/>
        <v>#NAME?</v>
      </c>
      <c r="O127" s="27" t="e">
        <f t="shared" ca="1" si="10"/>
        <v>#NAME?</v>
      </c>
      <c r="P127" s="27" t="e">
        <f ca="1">'01_INPUTS'!B9*N127-K127</f>
        <v>#NAME?</v>
      </c>
      <c r="Q127" s="1" t="e">
        <f t="shared" ca="1" si="11"/>
        <v>#NAME?</v>
      </c>
      <c r="R127" s="28">
        <v>0.98429071437567472</v>
      </c>
      <c r="S127" s="28">
        <v>0.30384304746985435</v>
      </c>
      <c r="T127" s="28">
        <v>0.39650345733389258</v>
      </c>
      <c r="U127" s="28">
        <v>0.54142177780158818</v>
      </c>
      <c r="V127" s="28">
        <v>0.72374038235284388</v>
      </c>
      <c r="W127" s="28">
        <v>0.69674268481321633</v>
      </c>
      <c r="X127" s="28">
        <v>0.9411140859592706</v>
      </c>
    </row>
    <row r="128" spans="1:24" ht="13.9">
      <c r="A128" s="1">
        <v>127</v>
      </c>
      <c r="B128" s="23" t="e">
        <f ca="1">_xludf.BETA.INV(R128,'04_PSA_INPUTS'!H5,'04_PSA_INPUTS'!I5)</f>
        <v>#NAME?</v>
      </c>
      <c r="C128" s="23" t="e">
        <f ca="1">_xludf.BETA.INV(S128,'04_PSA_INPUTS'!H6,'04_PSA_INPUTS'!I6)</f>
        <v>#NAME?</v>
      </c>
      <c r="D128" s="27" t="e">
        <f ca="1">_xludf.GAMMA.INV(T128,'04_PSA_INPUTS'!H7,'04_PSA_INPUTS'!I7)</f>
        <v>#NAME?</v>
      </c>
      <c r="E128" s="27" t="e">
        <f ca="1">_xludf.GAMMA.INV(U128,'04_PSA_INPUTS'!H8,'04_PSA_INPUTS'!I8)</f>
        <v>#NAME?</v>
      </c>
      <c r="F128" s="27" t="e">
        <f ca="1">_xludf.GAMMA.INV(V128,'04_PSA_INPUTS'!H9,'04_PSA_INPUTS'!I9)</f>
        <v>#NAME?</v>
      </c>
      <c r="G128" s="23" t="e">
        <f ca="1">_xludf.BETA.INV(W128,'04_PSA_INPUTS'!H10,'04_PSA_INPUTS'!I10)</f>
        <v>#NAME?</v>
      </c>
      <c r="H128" s="23" t="e">
        <f ca="1">_xludf.BETA.INV(X128,'04_PSA_INPUTS'!H11,'04_PSA_INPUTS'!I11)</f>
        <v>#NAME?</v>
      </c>
      <c r="I128" s="27" t="e">
        <f ca="1">D128+B128*F128+'01_INPUTS'!B20</f>
        <v>#NAME?</v>
      </c>
      <c r="J128" s="27" t="e">
        <f ca="1">E128+C128*F128+'01_INPUTS'!B21</f>
        <v>#NAME?</v>
      </c>
      <c r="K128" s="27" t="e">
        <f t="shared" ca="1" si="6"/>
        <v>#NAME?</v>
      </c>
      <c r="L128" s="23" t="e">
        <f t="shared" ca="1" si="7"/>
        <v>#NAME?</v>
      </c>
      <c r="M128" s="23" t="e">
        <f t="shared" ca="1" si="8"/>
        <v>#NAME?</v>
      </c>
      <c r="N128" s="23" t="e">
        <f t="shared" ca="1" si="9"/>
        <v>#NAME?</v>
      </c>
      <c r="O128" s="27" t="e">
        <f t="shared" ca="1" si="10"/>
        <v>#NAME?</v>
      </c>
      <c r="P128" s="27" t="e">
        <f ca="1">'01_INPUTS'!B9*N128-K128</f>
        <v>#NAME?</v>
      </c>
      <c r="Q128" s="1" t="e">
        <f t="shared" ca="1" si="11"/>
        <v>#NAME?</v>
      </c>
      <c r="R128" s="28">
        <v>0.44502278743311763</v>
      </c>
      <c r="S128" s="28">
        <v>0.89605058031156659</v>
      </c>
      <c r="T128" s="28">
        <v>0.3722705626860261</v>
      </c>
      <c r="U128" s="28">
        <v>0.49118809914216399</v>
      </c>
      <c r="V128" s="28">
        <v>0.50166117888875306</v>
      </c>
      <c r="W128" s="28">
        <v>0.48885574913583696</v>
      </c>
      <c r="X128" s="28">
        <v>0.7994385773781687</v>
      </c>
    </row>
    <row r="129" spans="1:24" ht="13.9">
      <c r="A129" s="1">
        <v>128</v>
      </c>
      <c r="B129" s="23" t="e">
        <f ca="1">_xludf.BETA.INV(R129,'04_PSA_INPUTS'!H5,'04_PSA_INPUTS'!I5)</f>
        <v>#NAME?</v>
      </c>
      <c r="C129" s="23" t="e">
        <f ca="1">_xludf.BETA.INV(S129,'04_PSA_INPUTS'!H6,'04_PSA_INPUTS'!I6)</f>
        <v>#NAME?</v>
      </c>
      <c r="D129" s="27" t="e">
        <f ca="1">_xludf.GAMMA.INV(T129,'04_PSA_INPUTS'!H7,'04_PSA_INPUTS'!I7)</f>
        <v>#NAME?</v>
      </c>
      <c r="E129" s="27" t="e">
        <f ca="1">_xludf.GAMMA.INV(U129,'04_PSA_INPUTS'!H8,'04_PSA_INPUTS'!I8)</f>
        <v>#NAME?</v>
      </c>
      <c r="F129" s="27" t="e">
        <f ca="1">_xludf.GAMMA.INV(V129,'04_PSA_INPUTS'!H9,'04_PSA_INPUTS'!I9)</f>
        <v>#NAME?</v>
      </c>
      <c r="G129" s="23" t="e">
        <f ca="1">_xludf.BETA.INV(W129,'04_PSA_INPUTS'!H10,'04_PSA_INPUTS'!I10)</f>
        <v>#NAME?</v>
      </c>
      <c r="H129" s="23" t="e">
        <f ca="1">_xludf.BETA.INV(X129,'04_PSA_INPUTS'!H11,'04_PSA_INPUTS'!I11)</f>
        <v>#NAME?</v>
      </c>
      <c r="I129" s="27" t="e">
        <f ca="1">D129+B129*F129+'01_INPUTS'!B20</f>
        <v>#NAME?</v>
      </c>
      <c r="J129" s="27" t="e">
        <f ca="1">E129+C129*F129+'01_INPUTS'!B21</f>
        <v>#NAME?</v>
      </c>
      <c r="K129" s="27" t="e">
        <f t="shared" ca="1" si="6"/>
        <v>#NAME?</v>
      </c>
      <c r="L129" s="23" t="e">
        <f t="shared" ca="1" si="7"/>
        <v>#NAME?</v>
      </c>
      <c r="M129" s="23" t="e">
        <f t="shared" ca="1" si="8"/>
        <v>#NAME?</v>
      </c>
      <c r="N129" s="23" t="e">
        <f t="shared" ca="1" si="9"/>
        <v>#NAME?</v>
      </c>
      <c r="O129" s="27" t="e">
        <f t="shared" ca="1" si="10"/>
        <v>#NAME?</v>
      </c>
      <c r="P129" s="27" t="e">
        <f ca="1">'01_INPUTS'!B9*N129-K129</f>
        <v>#NAME?</v>
      </c>
      <c r="Q129" s="1" t="e">
        <f t="shared" ca="1" si="11"/>
        <v>#NAME?</v>
      </c>
      <c r="R129" s="28">
        <v>0.67705251043662429</v>
      </c>
      <c r="S129" s="28">
        <v>9.9306500051170588E-3</v>
      </c>
      <c r="T129" s="28">
        <v>0.79009358840994537</v>
      </c>
      <c r="U129" s="28">
        <v>0.24668999970890582</v>
      </c>
      <c r="V129" s="28">
        <v>0.48523444542661309</v>
      </c>
      <c r="W129" s="28">
        <v>0.88703104737214744</v>
      </c>
      <c r="X129" s="28">
        <v>7.3885688092559576E-2</v>
      </c>
    </row>
    <row r="130" spans="1:24" ht="13.9">
      <c r="A130" s="1">
        <v>129</v>
      </c>
      <c r="B130" s="23" t="e">
        <f ca="1">_xludf.BETA.INV(R130,'04_PSA_INPUTS'!H5,'04_PSA_INPUTS'!I5)</f>
        <v>#NAME?</v>
      </c>
      <c r="C130" s="23" t="e">
        <f ca="1">_xludf.BETA.INV(S130,'04_PSA_INPUTS'!H6,'04_PSA_INPUTS'!I6)</f>
        <v>#NAME?</v>
      </c>
      <c r="D130" s="27" t="e">
        <f ca="1">_xludf.GAMMA.INV(T130,'04_PSA_INPUTS'!H7,'04_PSA_INPUTS'!I7)</f>
        <v>#NAME?</v>
      </c>
      <c r="E130" s="27" t="e">
        <f ca="1">_xludf.GAMMA.INV(U130,'04_PSA_INPUTS'!H8,'04_PSA_INPUTS'!I8)</f>
        <v>#NAME?</v>
      </c>
      <c r="F130" s="27" t="e">
        <f ca="1">_xludf.GAMMA.INV(V130,'04_PSA_INPUTS'!H9,'04_PSA_INPUTS'!I9)</f>
        <v>#NAME?</v>
      </c>
      <c r="G130" s="23" t="e">
        <f ca="1">_xludf.BETA.INV(W130,'04_PSA_INPUTS'!H10,'04_PSA_INPUTS'!I10)</f>
        <v>#NAME?</v>
      </c>
      <c r="H130" s="23" t="e">
        <f ca="1">_xludf.BETA.INV(X130,'04_PSA_INPUTS'!H11,'04_PSA_INPUTS'!I11)</f>
        <v>#NAME?</v>
      </c>
      <c r="I130" s="27" t="e">
        <f ca="1">D130+B130*F130+'01_INPUTS'!B20</f>
        <v>#NAME?</v>
      </c>
      <c r="J130" s="27" t="e">
        <f ca="1">E130+C130*F130+'01_INPUTS'!B21</f>
        <v>#NAME?</v>
      </c>
      <c r="K130" s="27" t="e">
        <f t="shared" ref="K130:K193" ca="1" si="12">I130-J130</f>
        <v>#NAME?</v>
      </c>
      <c r="L130" s="23" t="e">
        <f t="shared" ref="L130:L193" ca="1" si="13">G130-B130*H130</f>
        <v>#NAME?</v>
      </c>
      <c r="M130" s="23" t="e">
        <f t="shared" ref="M130:M193" ca="1" si="14">G130-C130*H130</f>
        <v>#NAME?</v>
      </c>
      <c r="N130" s="23" t="e">
        <f t="shared" ref="N130:N193" ca="1" si="15">L130-M130</f>
        <v>#NAME?</v>
      </c>
      <c r="O130" s="27" t="e">
        <f t="shared" ref="O130:O193" ca="1" si="16">IF(N130=0,"",K130/N130)</f>
        <v>#NAME?</v>
      </c>
      <c r="P130" s="27" t="e">
        <f ca="1">'01_INPUTS'!B9*N130-K130</f>
        <v>#NAME?</v>
      </c>
      <c r="Q130" s="1" t="e">
        <f t="shared" ref="Q130:Q193" ca="1" si="17">IF(P130&gt;0,1,0)</f>
        <v>#NAME?</v>
      </c>
      <c r="R130" s="28">
        <v>0.45731447264552116</v>
      </c>
      <c r="S130" s="28">
        <v>0.83152600238099694</v>
      </c>
      <c r="T130" s="28">
        <v>7.1606730110943317E-2</v>
      </c>
      <c r="U130" s="28">
        <v>0.91791529743932188</v>
      </c>
      <c r="V130" s="28">
        <v>0.96909561264328659</v>
      </c>
      <c r="W130" s="28">
        <v>0.39780181366950274</v>
      </c>
      <c r="X130" s="28">
        <v>4.6311552869156003E-2</v>
      </c>
    </row>
    <row r="131" spans="1:24" ht="13.9">
      <c r="A131" s="1">
        <v>130</v>
      </c>
      <c r="B131" s="23" t="e">
        <f ca="1">_xludf.BETA.INV(R131,'04_PSA_INPUTS'!H5,'04_PSA_INPUTS'!I5)</f>
        <v>#NAME?</v>
      </c>
      <c r="C131" s="23" t="e">
        <f ca="1">_xludf.BETA.INV(S131,'04_PSA_INPUTS'!H6,'04_PSA_INPUTS'!I6)</f>
        <v>#NAME?</v>
      </c>
      <c r="D131" s="27" t="e">
        <f ca="1">_xludf.GAMMA.INV(T131,'04_PSA_INPUTS'!H7,'04_PSA_INPUTS'!I7)</f>
        <v>#NAME?</v>
      </c>
      <c r="E131" s="27" t="e">
        <f ca="1">_xludf.GAMMA.INV(U131,'04_PSA_INPUTS'!H8,'04_PSA_INPUTS'!I8)</f>
        <v>#NAME?</v>
      </c>
      <c r="F131" s="27" t="e">
        <f ca="1">_xludf.GAMMA.INV(V131,'04_PSA_INPUTS'!H9,'04_PSA_INPUTS'!I9)</f>
        <v>#NAME?</v>
      </c>
      <c r="G131" s="23" t="e">
        <f ca="1">_xludf.BETA.INV(W131,'04_PSA_INPUTS'!H10,'04_PSA_INPUTS'!I10)</f>
        <v>#NAME?</v>
      </c>
      <c r="H131" s="23" t="e">
        <f ca="1">_xludf.BETA.INV(X131,'04_PSA_INPUTS'!H11,'04_PSA_INPUTS'!I11)</f>
        <v>#NAME?</v>
      </c>
      <c r="I131" s="27" t="e">
        <f ca="1">D131+B131*F131+'01_INPUTS'!B20</f>
        <v>#NAME?</v>
      </c>
      <c r="J131" s="27" t="e">
        <f ca="1">E131+C131*F131+'01_INPUTS'!B21</f>
        <v>#NAME?</v>
      </c>
      <c r="K131" s="27" t="e">
        <f t="shared" ca="1" si="12"/>
        <v>#NAME?</v>
      </c>
      <c r="L131" s="23" t="e">
        <f t="shared" ca="1" si="13"/>
        <v>#NAME?</v>
      </c>
      <c r="M131" s="23" t="e">
        <f t="shared" ca="1" si="14"/>
        <v>#NAME?</v>
      </c>
      <c r="N131" s="23" t="e">
        <f t="shared" ca="1" si="15"/>
        <v>#NAME?</v>
      </c>
      <c r="O131" s="27" t="e">
        <f t="shared" ca="1" si="16"/>
        <v>#NAME?</v>
      </c>
      <c r="P131" s="27" t="e">
        <f ca="1">'01_INPUTS'!B9*N131-K131</f>
        <v>#NAME?</v>
      </c>
      <c r="Q131" s="1" t="e">
        <f t="shared" ca="1" si="17"/>
        <v>#NAME?</v>
      </c>
      <c r="R131" s="28">
        <v>0.10201951372437179</v>
      </c>
      <c r="S131" s="28">
        <v>0.1628035067114979</v>
      </c>
      <c r="T131" s="28">
        <v>0.40365051338449121</v>
      </c>
      <c r="U131" s="28">
        <v>0.50541817140765488</v>
      </c>
      <c r="V131" s="28">
        <v>5.185290053486824E-2</v>
      </c>
      <c r="W131" s="28">
        <v>0.67551931412890553</v>
      </c>
      <c r="X131" s="28">
        <v>1.0543334996327758E-2</v>
      </c>
    </row>
    <row r="132" spans="1:24" ht="13.9">
      <c r="A132" s="1">
        <v>131</v>
      </c>
      <c r="B132" s="23" t="e">
        <f ca="1">_xludf.BETA.INV(R132,'04_PSA_INPUTS'!H5,'04_PSA_INPUTS'!I5)</f>
        <v>#NAME?</v>
      </c>
      <c r="C132" s="23" t="e">
        <f ca="1">_xludf.BETA.INV(S132,'04_PSA_INPUTS'!H6,'04_PSA_INPUTS'!I6)</f>
        <v>#NAME?</v>
      </c>
      <c r="D132" s="27" t="e">
        <f ca="1">_xludf.GAMMA.INV(T132,'04_PSA_INPUTS'!H7,'04_PSA_INPUTS'!I7)</f>
        <v>#NAME?</v>
      </c>
      <c r="E132" s="27" t="e">
        <f ca="1">_xludf.GAMMA.INV(U132,'04_PSA_INPUTS'!H8,'04_PSA_INPUTS'!I8)</f>
        <v>#NAME?</v>
      </c>
      <c r="F132" s="27" t="e">
        <f ca="1">_xludf.GAMMA.INV(V132,'04_PSA_INPUTS'!H9,'04_PSA_INPUTS'!I9)</f>
        <v>#NAME?</v>
      </c>
      <c r="G132" s="23" t="e">
        <f ca="1">_xludf.BETA.INV(W132,'04_PSA_INPUTS'!H10,'04_PSA_INPUTS'!I10)</f>
        <v>#NAME?</v>
      </c>
      <c r="H132" s="23" t="e">
        <f ca="1">_xludf.BETA.INV(X132,'04_PSA_INPUTS'!H11,'04_PSA_INPUTS'!I11)</f>
        <v>#NAME?</v>
      </c>
      <c r="I132" s="27" t="e">
        <f ca="1">D132+B132*F132+'01_INPUTS'!B20</f>
        <v>#NAME?</v>
      </c>
      <c r="J132" s="27" t="e">
        <f ca="1">E132+C132*F132+'01_INPUTS'!B21</f>
        <v>#NAME?</v>
      </c>
      <c r="K132" s="27" t="e">
        <f t="shared" ca="1" si="12"/>
        <v>#NAME?</v>
      </c>
      <c r="L132" s="23" t="e">
        <f t="shared" ca="1" si="13"/>
        <v>#NAME?</v>
      </c>
      <c r="M132" s="23" t="e">
        <f t="shared" ca="1" si="14"/>
        <v>#NAME?</v>
      </c>
      <c r="N132" s="23" t="e">
        <f t="shared" ca="1" si="15"/>
        <v>#NAME?</v>
      </c>
      <c r="O132" s="27" t="e">
        <f t="shared" ca="1" si="16"/>
        <v>#NAME?</v>
      </c>
      <c r="P132" s="27" t="e">
        <f ca="1">'01_INPUTS'!B9*N132-K132</f>
        <v>#NAME?</v>
      </c>
      <c r="Q132" s="1" t="e">
        <f t="shared" ca="1" si="17"/>
        <v>#NAME?</v>
      </c>
      <c r="R132" s="28">
        <v>0.49982009013183415</v>
      </c>
      <c r="S132" s="28">
        <v>0.71612810087390244</v>
      </c>
      <c r="T132" s="28">
        <v>0.46455220179632306</v>
      </c>
      <c r="U132" s="28">
        <v>0.38248755596578121</v>
      </c>
      <c r="V132" s="28">
        <v>0.30439523700624704</v>
      </c>
      <c r="W132" s="28">
        <v>0.62631034851074219</v>
      </c>
      <c r="X132" s="28">
        <v>0.8433191345538944</v>
      </c>
    </row>
    <row r="133" spans="1:24" ht="13.9">
      <c r="A133" s="1">
        <v>132</v>
      </c>
      <c r="B133" s="23" t="e">
        <f ca="1">_xludf.BETA.INV(R133,'04_PSA_INPUTS'!H5,'04_PSA_INPUTS'!I5)</f>
        <v>#NAME?</v>
      </c>
      <c r="C133" s="23" t="e">
        <f ca="1">_xludf.BETA.INV(S133,'04_PSA_INPUTS'!H6,'04_PSA_INPUTS'!I6)</f>
        <v>#NAME?</v>
      </c>
      <c r="D133" s="27" t="e">
        <f ca="1">_xludf.GAMMA.INV(T133,'04_PSA_INPUTS'!H7,'04_PSA_INPUTS'!I7)</f>
        <v>#NAME?</v>
      </c>
      <c r="E133" s="27" t="e">
        <f ca="1">_xludf.GAMMA.INV(U133,'04_PSA_INPUTS'!H8,'04_PSA_INPUTS'!I8)</f>
        <v>#NAME?</v>
      </c>
      <c r="F133" s="27" t="e">
        <f ca="1">_xludf.GAMMA.INV(V133,'04_PSA_INPUTS'!H9,'04_PSA_INPUTS'!I9)</f>
        <v>#NAME?</v>
      </c>
      <c r="G133" s="23" t="e">
        <f ca="1">_xludf.BETA.INV(W133,'04_PSA_INPUTS'!H10,'04_PSA_INPUTS'!I10)</f>
        <v>#NAME?</v>
      </c>
      <c r="H133" s="23" t="e">
        <f ca="1">_xludf.BETA.INV(X133,'04_PSA_INPUTS'!H11,'04_PSA_INPUTS'!I11)</f>
        <v>#NAME?</v>
      </c>
      <c r="I133" s="27" t="e">
        <f ca="1">D133+B133*F133+'01_INPUTS'!B20</f>
        <v>#NAME?</v>
      </c>
      <c r="J133" s="27" t="e">
        <f ca="1">E133+C133*F133+'01_INPUTS'!B21</f>
        <v>#NAME?</v>
      </c>
      <c r="K133" s="27" t="e">
        <f t="shared" ca="1" si="12"/>
        <v>#NAME?</v>
      </c>
      <c r="L133" s="23" t="e">
        <f t="shared" ca="1" si="13"/>
        <v>#NAME?</v>
      </c>
      <c r="M133" s="23" t="e">
        <f t="shared" ca="1" si="14"/>
        <v>#NAME?</v>
      </c>
      <c r="N133" s="23" t="e">
        <f t="shared" ca="1" si="15"/>
        <v>#NAME?</v>
      </c>
      <c r="O133" s="27" t="e">
        <f t="shared" ca="1" si="16"/>
        <v>#NAME?</v>
      </c>
      <c r="P133" s="27" t="e">
        <f ca="1">'01_INPUTS'!B9*N133-K133</f>
        <v>#NAME?</v>
      </c>
      <c r="Q133" s="1" t="e">
        <f t="shared" ca="1" si="17"/>
        <v>#NAME?</v>
      </c>
      <c r="R133" s="28">
        <v>0.5906886646989733</v>
      </c>
      <c r="S133" s="28">
        <v>0.84138592891395092</v>
      </c>
      <c r="T133" s="28">
        <v>0.73168984265066683</v>
      </c>
      <c r="U133" s="28">
        <v>0.50579762668348849</v>
      </c>
      <c r="V133" s="28">
        <v>0.80517718940973282</v>
      </c>
      <c r="W133" s="28">
        <v>0.55429159523919225</v>
      </c>
      <c r="X133" s="28">
        <v>0.72498510521836579</v>
      </c>
    </row>
    <row r="134" spans="1:24" ht="13.9">
      <c r="A134" s="1">
        <v>133</v>
      </c>
      <c r="B134" s="23" t="e">
        <f ca="1">_xludf.BETA.INV(R134,'04_PSA_INPUTS'!H5,'04_PSA_INPUTS'!I5)</f>
        <v>#NAME?</v>
      </c>
      <c r="C134" s="23" t="e">
        <f ca="1">_xludf.BETA.INV(S134,'04_PSA_INPUTS'!H6,'04_PSA_INPUTS'!I6)</f>
        <v>#NAME?</v>
      </c>
      <c r="D134" s="27" t="e">
        <f ca="1">_xludf.GAMMA.INV(T134,'04_PSA_INPUTS'!H7,'04_PSA_INPUTS'!I7)</f>
        <v>#NAME?</v>
      </c>
      <c r="E134" s="27" t="e">
        <f ca="1">_xludf.GAMMA.INV(U134,'04_PSA_INPUTS'!H8,'04_PSA_INPUTS'!I8)</f>
        <v>#NAME?</v>
      </c>
      <c r="F134" s="27" t="e">
        <f ca="1">_xludf.GAMMA.INV(V134,'04_PSA_INPUTS'!H9,'04_PSA_INPUTS'!I9)</f>
        <v>#NAME?</v>
      </c>
      <c r="G134" s="23" t="e">
        <f ca="1">_xludf.BETA.INV(W134,'04_PSA_INPUTS'!H10,'04_PSA_INPUTS'!I10)</f>
        <v>#NAME?</v>
      </c>
      <c r="H134" s="23" t="e">
        <f ca="1">_xludf.BETA.INV(X134,'04_PSA_INPUTS'!H11,'04_PSA_INPUTS'!I11)</f>
        <v>#NAME?</v>
      </c>
      <c r="I134" s="27" t="e">
        <f ca="1">D134+B134*F134+'01_INPUTS'!B20</f>
        <v>#NAME?</v>
      </c>
      <c r="J134" s="27" t="e">
        <f ca="1">E134+C134*F134+'01_INPUTS'!B21</f>
        <v>#NAME?</v>
      </c>
      <c r="K134" s="27" t="e">
        <f t="shared" ca="1" si="12"/>
        <v>#NAME?</v>
      </c>
      <c r="L134" s="23" t="e">
        <f t="shared" ca="1" si="13"/>
        <v>#NAME?</v>
      </c>
      <c r="M134" s="23" t="e">
        <f t="shared" ca="1" si="14"/>
        <v>#NAME?</v>
      </c>
      <c r="N134" s="23" t="e">
        <f t="shared" ca="1" si="15"/>
        <v>#NAME?</v>
      </c>
      <c r="O134" s="27" t="e">
        <f t="shared" ca="1" si="16"/>
        <v>#NAME?</v>
      </c>
      <c r="P134" s="27" t="e">
        <f ca="1">'01_INPUTS'!B9*N134-K134</f>
        <v>#NAME?</v>
      </c>
      <c r="Q134" s="1" t="e">
        <f t="shared" ca="1" si="17"/>
        <v>#NAME?</v>
      </c>
      <c r="R134" s="28">
        <v>0.38950194767676294</v>
      </c>
      <c r="S134" s="28">
        <v>0.22503045317716897</v>
      </c>
      <c r="T134" s="28">
        <v>0.30660809460096061</v>
      </c>
      <c r="U134" s="28">
        <v>0.97565039712935686</v>
      </c>
      <c r="V134" s="28">
        <v>0.75832981779240072</v>
      </c>
      <c r="W134" s="28">
        <v>0.93736415472812951</v>
      </c>
      <c r="X134" s="28">
        <v>0.77361583383753896</v>
      </c>
    </row>
    <row r="135" spans="1:24" ht="13.9">
      <c r="A135" s="1">
        <v>134</v>
      </c>
      <c r="B135" s="23" t="e">
        <f ca="1">_xludf.BETA.INV(R135,'04_PSA_INPUTS'!H5,'04_PSA_INPUTS'!I5)</f>
        <v>#NAME?</v>
      </c>
      <c r="C135" s="23" t="e">
        <f ca="1">_xludf.BETA.INV(S135,'04_PSA_INPUTS'!H6,'04_PSA_INPUTS'!I6)</f>
        <v>#NAME?</v>
      </c>
      <c r="D135" s="27" t="e">
        <f ca="1">_xludf.GAMMA.INV(T135,'04_PSA_INPUTS'!H7,'04_PSA_INPUTS'!I7)</f>
        <v>#NAME?</v>
      </c>
      <c r="E135" s="27" t="e">
        <f ca="1">_xludf.GAMMA.INV(U135,'04_PSA_INPUTS'!H8,'04_PSA_INPUTS'!I8)</f>
        <v>#NAME?</v>
      </c>
      <c r="F135" s="27" t="e">
        <f ca="1">_xludf.GAMMA.INV(V135,'04_PSA_INPUTS'!H9,'04_PSA_INPUTS'!I9)</f>
        <v>#NAME?</v>
      </c>
      <c r="G135" s="23" t="e">
        <f ca="1">_xludf.BETA.INV(W135,'04_PSA_INPUTS'!H10,'04_PSA_INPUTS'!I10)</f>
        <v>#NAME?</v>
      </c>
      <c r="H135" s="23" t="e">
        <f ca="1">_xludf.BETA.INV(X135,'04_PSA_INPUTS'!H11,'04_PSA_INPUTS'!I11)</f>
        <v>#NAME?</v>
      </c>
      <c r="I135" s="27" t="e">
        <f ca="1">D135+B135*F135+'01_INPUTS'!B20</f>
        <v>#NAME?</v>
      </c>
      <c r="J135" s="27" t="e">
        <f ca="1">E135+C135*F135+'01_INPUTS'!B21</f>
        <v>#NAME?</v>
      </c>
      <c r="K135" s="27" t="e">
        <f t="shared" ca="1" si="12"/>
        <v>#NAME?</v>
      </c>
      <c r="L135" s="23" t="e">
        <f t="shared" ca="1" si="13"/>
        <v>#NAME?</v>
      </c>
      <c r="M135" s="23" t="e">
        <f t="shared" ca="1" si="14"/>
        <v>#NAME?</v>
      </c>
      <c r="N135" s="23" t="e">
        <f t="shared" ca="1" si="15"/>
        <v>#NAME?</v>
      </c>
      <c r="O135" s="27" t="e">
        <f t="shared" ca="1" si="16"/>
        <v>#NAME?</v>
      </c>
      <c r="P135" s="27" t="e">
        <f ca="1">'01_INPUTS'!B9*N135-K135</f>
        <v>#NAME?</v>
      </c>
      <c r="Q135" s="1" t="e">
        <f t="shared" ca="1" si="17"/>
        <v>#NAME?</v>
      </c>
      <c r="R135" s="28">
        <v>7.1091179735958576E-2</v>
      </c>
      <c r="S135" s="28">
        <v>0.70754855684936047</v>
      </c>
      <c r="T135" s="28">
        <v>6.1437746742740273E-2</v>
      </c>
      <c r="U135" s="28">
        <v>0.96513877157121897</v>
      </c>
      <c r="V135" s="28">
        <v>0.788116266252473</v>
      </c>
      <c r="W135" s="28">
        <v>0.29672318999655545</v>
      </c>
      <c r="X135" s="28">
        <v>0.1480279010720551</v>
      </c>
    </row>
    <row r="136" spans="1:24" ht="13.9">
      <c r="A136" s="1">
        <v>135</v>
      </c>
      <c r="B136" s="23" t="e">
        <f ca="1">_xludf.BETA.INV(R136,'04_PSA_INPUTS'!H5,'04_PSA_INPUTS'!I5)</f>
        <v>#NAME?</v>
      </c>
      <c r="C136" s="23" t="e">
        <f ca="1">_xludf.BETA.INV(S136,'04_PSA_INPUTS'!H6,'04_PSA_INPUTS'!I6)</f>
        <v>#NAME?</v>
      </c>
      <c r="D136" s="27" t="e">
        <f ca="1">_xludf.GAMMA.INV(T136,'04_PSA_INPUTS'!H7,'04_PSA_INPUTS'!I7)</f>
        <v>#NAME?</v>
      </c>
      <c r="E136" s="27" t="e">
        <f ca="1">_xludf.GAMMA.INV(U136,'04_PSA_INPUTS'!H8,'04_PSA_INPUTS'!I8)</f>
        <v>#NAME?</v>
      </c>
      <c r="F136" s="27" t="e">
        <f ca="1">_xludf.GAMMA.INV(V136,'04_PSA_INPUTS'!H9,'04_PSA_INPUTS'!I9)</f>
        <v>#NAME?</v>
      </c>
      <c r="G136" s="23" t="e">
        <f ca="1">_xludf.BETA.INV(W136,'04_PSA_INPUTS'!H10,'04_PSA_INPUTS'!I10)</f>
        <v>#NAME?</v>
      </c>
      <c r="H136" s="23" t="e">
        <f ca="1">_xludf.BETA.INV(X136,'04_PSA_INPUTS'!H11,'04_PSA_INPUTS'!I11)</f>
        <v>#NAME?</v>
      </c>
      <c r="I136" s="27" t="e">
        <f ca="1">D136+B136*F136+'01_INPUTS'!B20</f>
        <v>#NAME?</v>
      </c>
      <c r="J136" s="27" t="e">
        <f ca="1">E136+C136*F136+'01_INPUTS'!B21</f>
        <v>#NAME?</v>
      </c>
      <c r="K136" s="27" t="e">
        <f t="shared" ca="1" si="12"/>
        <v>#NAME?</v>
      </c>
      <c r="L136" s="23" t="e">
        <f t="shared" ca="1" si="13"/>
        <v>#NAME?</v>
      </c>
      <c r="M136" s="23" t="e">
        <f t="shared" ca="1" si="14"/>
        <v>#NAME?</v>
      </c>
      <c r="N136" s="23" t="e">
        <f t="shared" ca="1" si="15"/>
        <v>#NAME?</v>
      </c>
      <c r="O136" s="27" t="e">
        <f t="shared" ca="1" si="16"/>
        <v>#NAME?</v>
      </c>
      <c r="P136" s="27" t="e">
        <f ca="1">'01_INPUTS'!B9*N136-K136</f>
        <v>#NAME?</v>
      </c>
      <c r="Q136" s="1" t="e">
        <f t="shared" ca="1" si="17"/>
        <v>#NAME?</v>
      </c>
      <c r="R136" s="28">
        <v>0.64156319736503065</v>
      </c>
      <c r="S136" s="28">
        <v>0.15193164511583745</v>
      </c>
      <c r="T136" s="28">
        <v>0.17630582675337791</v>
      </c>
      <c r="U136" s="28">
        <v>0.26275023864582181</v>
      </c>
      <c r="V136" s="28">
        <v>0.74185559945181012</v>
      </c>
      <c r="W136" s="28">
        <v>0.24432117235846817</v>
      </c>
      <c r="X136" s="28">
        <v>0.8249404348898679</v>
      </c>
    </row>
    <row r="137" spans="1:24" ht="13.9">
      <c r="A137" s="1">
        <v>136</v>
      </c>
      <c r="B137" s="23" t="e">
        <f ca="1">_xludf.BETA.INV(R137,'04_PSA_INPUTS'!H5,'04_PSA_INPUTS'!I5)</f>
        <v>#NAME?</v>
      </c>
      <c r="C137" s="23" t="e">
        <f ca="1">_xludf.BETA.INV(S137,'04_PSA_INPUTS'!H6,'04_PSA_INPUTS'!I6)</f>
        <v>#NAME?</v>
      </c>
      <c r="D137" s="27" t="e">
        <f ca="1">_xludf.GAMMA.INV(T137,'04_PSA_INPUTS'!H7,'04_PSA_INPUTS'!I7)</f>
        <v>#NAME?</v>
      </c>
      <c r="E137" s="27" t="e">
        <f ca="1">_xludf.GAMMA.INV(U137,'04_PSA_INPUTS'!H8,'04_PSA_INPUTS'!I8)</f>
        <v>#NAME?</v>
      </c>
      <c r="F137" s="27" t="e">
        <f ca="1">_xludf.GAMMA.INV(V137,'04_PSA_INPUTS'!H9,'04_PSA_INPUTS'!I9)</f>
        <v>#NAME?</v>
      </c>
      <c r="G137" s="23" t="e">
        <f ca="1">_xludf.BETA.INV(W137,'04_PSA_INPUTS'!H10,'04_PSA_INPUTS'!I10)</f>
        <v>#NAME?</v>
      </c>
      <c r="H137" s="23" t="e">
        <f ca="1">_xludf.BETA.INV(X137,'04_PSA_INPUTS'!H11,'04_PSA_INPUTS'!I11)</f>
        <v>#NAME?</v>
      </c>
      <c r="I137" s="27" t="e">
        <f ca="1">D137+B137*F137+'01_INPUTS'!B20</f>
        <v>#NAME?</v>
      </c>
      <c r="J137" s="27" t="e">
        <f ca="1">E137+C137*F137+'01_INPUTS'!B21</f>
        <v>#NAME?</v>
      </c>
      <c r="K137" s="27" t="e">
        <f t="shared" ca="1" si="12"/>
        <v>#NAME?</v>
      </c>
      <c r="L137" s="23" t="e">
        <f t="shared" ca="1" si="13"/>
        <v>#NAME?</v>
      </c>
      <c r="M137" s="23" t="e">
        <f t="shared" ca="1" si="14"/>
        <v>#NAME?</v>
      </c>
      <c r="N137" s="23" t="e">
        <f t="shared" ca="1" si="15"/>
        <v>#NAME?</v>
      </c>
      <c r="O137" s="27" t="e">
        <f t="shared" ca="1" si="16"/>
        <v>#NAME?</v>
      </c>
      <c r="P137" s="27" t="e">
        <f ca="1">'01_INPUTS'!B9*N137-K137</f>
        <v>#NAME?</v>
      </c>
      <c r="Q137" s="1" t="e">
        <f t="shared" ca="1" si="17"/>
        <v>#NAME?</v>
      </c>
      <c r="R137" s="28">
        <v>0.35411812271922827</v>
      </c>
      <c r="S137" s="28">
        <v>0.73385827103629708</v>
      </c>
      <c r="T137" s="28">
        <v>0.49319068249315023</v>
      </c>
      <c r="U137" s="28">
        <v>8.1350218970328569E-2</v>
      </c>
      <c r="V137" s="28">
        <v>2.5368722388520837E-2</v>
      </c>
      <c r="W137" s="28">
        <v>0.95587411499582231</v>
      </c>
      <c r="X137" s="28">
        <v>0.2171115642413497</v>
      </c>
    </row>
    <row r="138" spans="1:24" ht="13.9">
      <c r="A138" s="1">
        <v>137</v>
      </c>
      <c r="B138" s="23" t="e">
        <f ca="1">_xludf.BETA.INV(R138,'04_PSA_INPUTS'!H5,'04_PSA_INPUTS'!I5)</f>
        <v>#NAME?</v>
      </c>
      <c r="C138" s="23" t="e">
        <f ca="1">_xludf.BETA.INV(S138,'04_PSA_INPUTS'!H6,'04_PSA_INPUTS'!I6)</f>
        <v>#NAME?</v>
      </c>
      <c r="D138" s="27" t="e">
        <f ca="1">_xludf.GAMMA.INV(T138,'04_PSA_INPUTS'!H7,'04_PSA_INPUTS'!I7)</f>
        <v>#NAME?</v>
      </c>
      <c r="E138" s="27" t="e">
        <f ca="1">_xludf.GAMMA.INV(U138,'04_PSA_INPUTS'!H8,'04_PSA_INPUTS'!I8)</f>
        <v>#NAME?</v>
      </c>
      <c r="F138" s="27" t="e">
        <f ca="1">_xludf.GAMMA.INV(V138,'04_PSA_INPUTS'!H9,'04_PSA_INPUTS'!I9)</f>
        <v>#NAME?</v>
      </c>
      <c r="G138" s="23" t="e">
        <f ca="1">_xludf.BETA.INV(W138,'04_PSA_INPUTS'!H10,'04_PSA_INPUTS'!I10)</f>
        <v>#NAME?</v>
      </c>
      <c r="H138" s="23" t="e">
        <f ca="1">_xludf.BETA.INV(X138,'04_PSA_INPUTS'!H11,'04_PSA_INPUTS'!I11)</f>
        <v>#NAME?</v>
      </c>
      <c r="I138" s="27" t="e">
        <f ca="1">D138+B138*F138+'01_INPUTS'!B20</f>
        <v>#NAME?</v>
      </c>
      <c r="J138" s="27" t="e">
        <f ca="1">E138+C138*F138+'01_INPUTS'!B21</f>
        <v>#NAME?</v>
      </c>
      <c r="K138" s="27" t="e">
        <f t="shared" ca="1" si="12"/>
        <v>#NAME?</v>
      </c>
      <c r="L138" s="23" t="e">
        <f t="shared" ca="1" si="13"/>
        <v>#NAME?</v>
      </c>
      <c r="M138" s="23" t="e">
        <f t="shared" ca="1" si="14"/>
        <v>#NAME?</v>
      </c>
      <c r="N138" s="23" t="e">
        <f t="shared" ca="1" si="15"/>
        <v>#NAME?</v>
      </c>
      <c r="O138" s="27" t="e">
        <f t="shared" ca="1" si="16"/>
        <v>#NAME?</v>
      </c>
      <c r="P138" s="27" t="e">
        <f ca="1">'01_INPUTS'!B9*N138-K138</f>
        <v>#NAME?</v>
      </c>
      <c r="Q138" s="1" t="e">
        <f t="shared" ca="1" si="17"/>
        <v>#NAME?</v>
      </c>
      <c r="R138" s="28">
        <v>0.29977194825187325</v>
      </c>
      <c r="S138" s="28">
        <v>0.98915448784828186</v>
      </c>
      <c r="T138" s="28">
        <v>0.30568224494345486</v>
      </c>
      <c r="U138" s="28">
        <v>0.28485112683847547</v>
      </c>
      <c r="V138" s="28">
        <v>0.26653920230455697</v>
      </c>
      <c r="W138" s="28">
        <v>2.1448215004056692E-2</v>
      </c>
      <c r="X138" s="28">
        <v>0.49354234407655895</v>
      </c>
    </row>
    <row r="139" spans="1:24" ht="13.9">
      <c r="A139" s="1">
        <v>138</v>
      </c>
      <c r="B139" s="23" t="e">
        <f ca="1">_xludf.BETA.INV(R139,'04_PSA_INPUTS'!H5,'04_PSA_INPUTS'!I5)</f>
        <v>#NAME?</v>
      </c>
      <c r="C139" s="23" t="e">
        <f ca="1">_xludf.BETA.INV(S139,'04_PSA_INPUTS'!H6,'04_PSA_INPUTS'!I6)</f>
        <v>#NAME?</v>
      </c>
      <c r="D139" s="27" t="e">
        <f ca="1">_xludf.GAMMA.INV(T139,'04_PSA_INPUTS'!H7,'04_PSA_INPUTS'!I7)</f>
        <v>#NAME?</v>
      </c>
      <c r="E139" s="27" t="e">
        <f ca="1">_xludf.GAMMA.INV(U139,'04_PSA_INPUTS'!H8,'04_PSA_INPUTS'!I8)</f>
        <v>#NAME?</v>
      </c>
      <c r="F139" s="27" t="e">
        <f ca="1">_xludf.GAMMA.INV(V139,'04_PSA_INPUTS'!H9,'04_PSA_INPUTS'!I9)</f>
        <v>#NAME?</v>
      </c>
      <c r="G139" s="23" t="e">
        <f ca="1">_xludf.BETA.INV(W139,'04_PSA_INPUTS'!H10,'04_PSA_INPUTS'!I10)</f>
        <v>#NAME?</v>
      </c>
      <c r="H139" s="23" t="e">
        <f ca="1">_xludf.BETA.INV(X139,'04_PSA_INPUTS'!H11,'04_PSA_INPUTS'!I11)</f>
        <v>#NAME?</v>
      </c>
      <c r="I139" s="27" t="e">
        <f ca="1">D139+B139*F139+'01_INPUTS'!B20</f>
        <v>#NAME?</v>
      </c>
      <c r="J139" s="27" t="e">
        <f ca="1">E139+C139*F139+'01_INPUTS'!B21</f>
        <v>#NAME?</v>
      </c>
      <c r="K139" s="27" t="e">
        <f t="shared" ca="1" si="12"/>
        <v>#NAME?</v>
      </c>
      <c r="L139" s="23" t="e">
        <f t="shared" ca="1" si="13"/>
        <v>#NAME?</v>
      </c>
      <c r="M139" s="23" t="e">
        <f t="shared" ca="1" si="14"/>
        <v>#NAME?</v>
      </c>
      <c r="N139" s="23" t="e">
        <f t="shared" ca="1" si="15"/>
        <v>#NAME?</v>
      </c>
      <c r="O139" s="27" t="e">
        <f t="shared" ca="1" si="16"/>
        <v>#NAME?</v>
      </c>
      <c r="P139" s="27" t="e">
        <f ca="1">'01_INPUTS'!B9*N139-K139</f>
        <v>#NAME?</v>
      </c>
      <c r="Q139" s="1" t="e">
        <f t="shared" ca="1" si="17"/>
        <v>#NAME?</v>
      </c>
      <c r="R139" s="28">
        <v>0.16587143507786095</v>
      </c>
      <c r="S139" s="28">
        <v>0.15970376064069569</v>
      </c>
      <c r="T139" s="28">
        <v>0.57027533766813576</v>
      </c>
      <c r="U139" s="28">
        <v>0.95188131299801171</v>
      </c>
      <c r="V139" s="28">
        <v>0.27763730380684137</v>
      </c>
      <c r="W139" s="28">
        <v>0.11678885552100837</v>
      </c>
      <c r="X139" s="28">
        <v>0.36406810604967177</v>
      </c>
    </row>
    <row r="140" spans="1:24" ht="13.9">
      <c r="A140" s="1">
        <v>139</v>
      </c>
      <c r="B140" s="23" t="e">
        <f ca="1">_xludf.BETA.INV(R140,'04_PSA_INPUTS'!H5,'04_PSA_INPUTS'!I5)</f>
        <v>#NAME?</v>
      </c>
      <c r="C140" s="23" t="e">
        <f ca="1">_xludf.BETA.INV(S140,'04_PSA_INPUTS'!H6,'04_PSA_INPUTS'!I6)</f>
        <v>#NAME?</v>
      </c>
      <c r="D140" s="27" t="e">
        <f ca="1">_xludf.GAMMA.INV(T140,'04_PSA_INPUTS'!H7,'04_PSA_INPUTS'!I7)</f>
        <v>#NAME?</v>
      </c>
      <c r="E140" s="27" t="e">
        <f ca="1">_xludf.GAMMA.INV(U140,'04_PSA_INPUTS'!H8,'04_PSA_INPUTS'!I8)</f>
        <v>#NAME?</v>
      </c>
      <c r="F140" s="27" t="e">
        <f ca="1">_xludf.GAMMA.INV(V140,'04_PSA_INPUTS'!H9,'04_PSA_INPUTS'!I9)</f>
        <v>#NAME?</v>
      </c>
      <c r="G140" s="23" t="e">
        <f ca="1">_xludf.BETA.INV(W140,'04_PSA_INPUTS'!H10,'04_PSA_INPUTS'!I10)</f>
        <v>#NAME?</v>
      </c>
      <c r="H140" s="23" t="e">
        <f ca="1">_xludf.BETA.INV(X140,'04_PSA_INPUTS'!H11,'04_PSA_INPUTS'!I11)</f>
        <v>#NAME?</v>
      </c>
      <c r="I140" s="27" t="e">
        <f ca="1">D140+B140*F140+'01_INPUTS'!B20</f>
        <v>#NAME?</v>
      </c>
      <c r="J140" s="27" t="e">
        <f ca="1">E140+C140*F140+'01_INPUTS'!B21</f>
        <v>#NAME?</v>
      </c>
      <c r="K140" s="27" t="e">
        <f t="shared" ca="1" si="12"/>
        <v>#NAME?</v>
      </c>
      <c r="L140" s="23" t="e">
        <f t="shared" ca="1" si="13"/>
        <v>#NAME?</v>
      </c>
      <c r="M140" s="23" t="e">
        <f t="shared" ca="1" si="14"/>
        <v>#NAME?</v>
      </c>
      <c r="N140" s="23" t="e">
        <f t="shared" ca="1" si="15"/>
        <v>#NAME?</v>
      </c>
      <c r="O140" s="27" t="e">
        <f t="shared" ca="1" si="16"/>
        <v>#NAME?</v>
      </c>
      <c r="P140" s="27" t="e">
        <f ca="1">'01_INPUTS'!B9*N140-K140</f>
        <v>#NAME?</v>
      </c>
      <c r="Q140" s="1" t="e">
        <f t="shared" ca="1" si="17"/>
        <v>#NAME?</v>
      </c>
      <c r="R140" s="28">
        <v>0.87615789682604373</v>
      </c>
      <c r="S140" s="28">
        <v>0.12555534183047712</v>
      </c>
      <c r="T140" s="28">
        <v>0.31291748210787773</v>
      </c>
      <c r="U140" s="28">
        <v>0.7764651975594461</v>
      </c>
      <c r="V140" s="28">
        <v>6.4349800813943148E-3</v>
      </c>
      <c r="W140" s="28">
        <v>0.66562180314213037</v>
      </c>
      <c r="X140" s="28">
        <v>0.34958362183533609</v>
      </c>
    </row>
    <row r="141" spans="1:24" ht="13.9">
      <c r="A141" s="1">
        <v>140</v>
      </c>
      <c r="B141" s="23" t="e">
        <f ca="1">_xludf.BETA.INV(R141,'04_PSA_INPUTS'!H5,'04_PSA_INPUTS'!I5)</f>
        <v>#NAME?</v>
      </c>
      <c r="C141" s="23" t="e">
        <f ca="1">_xludf.BETA.INV(S141,'04_PSA_INPUTS'!H6,'04_PSA_INPUTS'!I6)</f>
        <v>#NAME?</v>
      </c>
      <c r="D141" s="27" t="e">
        <f ca="1">_xludf.GAMMA.INV(T141,'04_PSA_INPUTS'!H7,'04_PSA_INPUTS'!I7)</f>
        <v>#NAME?</v>
      </c>
      <c r="E141" s="27" t="e">
        <f ca="1">_xludf.GAMMA.INV(U141,'04_PSA_INPUTS'!H8,'04_PSA_INPUTS'!I8)</f>
        <v>#NAME?</v>
      </c>
      <c r="F141" s="27" t="e">
        <f ca="1">_xludf.GAMMA.INV(V141,'04_PSA_INPUTS'!H9,'04_PSA_INPUTS'!I9)</f>
        <v>#NAME?</v>
      </c>
      <c r="G141" s="23" t="e">
        <f ca="1">_xludf.BETA.INV(W141,'04_PSA_INPUTS'!H10,'04_PSA_INPUTS'!I10)</f>
        <v>#NAME?</v>
      </c>
      <c r="H141" s="23" t="e">
        <f ca="1">_xludf.BETA.INV(X141,'04_PSA_INPUTS'!H11,'04_PSA_INPUTS'!I11)</f>
        <v>#NAME?</v>
      </c>
      <c r="I141" s="27" t="e">
        <f ca="1">D141+B141*F141+'01_INPUTS'!B20</f>
        <v>#NAME?</v>
      </c>
      <c r="J141" s="27" t="e">
        <f ca="1">E141+C141*F141+'01_INPUTS'!B21</f>
        <v>#NAME?</v>
      </c>
      <c r="K141" s="27" t="e">
        <f t="shared" ca="1" si="12"/>
        <v>#NAME?</v>
      </c>
      <c r="L141" s="23" t="e">
        <f t="shared" ca="1" si="13"/>
        <v>#NAME?</v>
      </c>
      <c r="M141" s="23" t="e">
        <f t="shared" ca="1" si="14"/>
        <v>#NAME?</v>
      </c>
      <c r="N141" s="23" t="e">
        <f t="shared" ca="1" si="15"/>
        <v>#NAME?</v>
      </c>
      <c r="O141" s="27" t="e">
        <f t="shared" ca="1" si="16"/>
        <v>#NAME?</v>
      </c>
      <c r="P141" s="27" t="e">
        <f ca="1">'01_INPUTS'!B9*N141-K141</f>
        <v>#NAME?</v>
      </c>
      <c r="Q141" s="1" t="e">
        <f t="shared" ca="1" si="17"/>
        <v>#NAME?</v>
      </c>
      <c r="R141" s="28">
        <v>0.33134231809526682</v>
      </c>
      <c r="S141" s="28">
        <v>0.87423234293237329</v>
      </c>
      <c r="T141" s="28">
        <v>0.64367229118943214</v>
      </c>
      <c r="U141" s="28">
        <v>0.55954866297543049</v>
      </c>
      <c r="V141" s="28">
        <v>0.28276168671436608</v>
      </c>
      <c r="W141" s="28">
        <v>0.5297732362523675</v>
      </c>
      <c r="X141" s="28">
        <v>0.55220466805621982</v>
      </c>
    </row>
    <row r="142" spans="1:24" ht="13.9">
      <c r="A142" s="1">
        <v>141</v>
      </c>
      <c r="B142" s="23" t="e">
        <f ca="1">_xludf.BETA.INV(R142,'04_PSA_INPUTS'!H5,'04_PSA_INPUTS'!I5)</f>
        <v>#NAME?</v>
      </c>
      <c r="C142" s="23" t="e">
        <f ca="1">_xludf.BETA.INV(S142,'04_PSA_INPUTS'!H6,'04_PSA_INPUTS'!I6)</f>
        <v>#NAME?</v>
      </c>
      <c r="D142" s="27" t="e">
        <f ca="1">_xludf.GAMMA.INV(T142,'04_PSA_INPUTS'!H7,'04_PSA_INPUTS'!I7)</f>
        <v>#NAME?</v>
      </c>
      <c r="E142" s="27" t="e">
        <f ca="1">_xludf.GAMMA.INV(U142,'04_PSA_INPUTS'!H8,'04_PSA_INPUTS'!I8)</f>
        <v>#NAME?</v>
      </c>
      <c r="F142" s="27" t="e">
        <f ca="1">_xludf.GAMMA.INV(V142,'04_PSA_INPUTS'!H9,'04_PSA_INPUTS'!I9)</f>
        <v>#NAME?</v>
      </c>
      <c r="G142" s="23" t="e">
        <f ca="1">_xludf.BETA.INV(W142,'04_PSA_INPUTS'!H10,'04_PSA_INPUTS'!I10)</f>
        <v>#NAME?</v>
      </c>
      <c r="H142" s="23" t="e">
        <f ca="1">_xludf.BETA.INV(X142,'04_PSA_INPUTS'!H11,'04_PSA_INPUTS'!I11)</f>
        <v>#NAME?</v>
      </c>
      <c r="I142" s="27" t="e">
        <f ca="1">D142+B142*F142+'01_INPUTS'!B20</f>
        <v>#NAME?</v>
      </c>
      <c r="J142" s="27" t="e">
        <f ca="1">E142+C142*F142+'01_INPUTS'!B21</f>
        <v>#NAME?</v>
      </c>
      <c r="K142" s="27" t="e">
        <f t="shared" ca="1" si="12"/>
        <v>#NAME?</v>
      </c>
      <c r="L142" s="23" t="e">
        <f t="shared" ca="1" si="13"/>
        <v>#NAME?</v>
      </c>
      <c r="M142" s="23" t="e">
        <f t="shared" ca="1" si="14"/>
        <v>#NAME?</v>
      </c>
      <c r="N142" s="23" t="e">
        <f t="shared" ca="1" si="15"/>
        <v>#NAME?</v>
      </c>
      <c r="O142" s="27" t="e">
        <f t="shared" ca="1" si="16"/>
        <v>#NAME?</v>
      </c>
      <c r="P142" s="27" t="e">
        <f ca="1">'01_INPUTS'!B9*N142-K142</f>
        <v>#NAME?</v>
      </c>
      <c r="Q142" s="1" t="e">
        <f t="shared" ca="1" si="17"/>
        <v>#NAME?</v>
      </c>
      <c r="R142" s="28">
        <v>0.72770911920815706</v>
      </c>
      <c r="S142" s="28">
        <v>0.19952706038020551</v>
      </c>
      <c r="T142" s="28">
        <v>0.36124461703002453</v>
      </c>
      <c r="U142" s="28">
        <v>0.83021619543433189</v>
      </c>
      <c r="V142" s="28">
        <v>0.68086066236719489</v>
      </c>
      <c r="W142" s="28">
        <v>0.59585868753492832</v>
      </c>
      <c r="X142" s="28">
        <v>0.95774763519875705</v>
      </c>
    </row>
    <row r="143" spans="1:24" ht="13.9">
      <c r="A143" s="1">
        <v>142</v>
      </c>
      <c r="B143" s="23" t="e">
        <f ca="1">_xludf.BETA.INV(R143,'04_PSA_INPUTS'!H5,'04_PSA_INPUTS'!I5)</f>
        <v>#NAME?</v>
      </c>
      <c r="C143" s="23" t="e">
        <f ca="1">_xludf.BETA.INV(S143,'04_PSA_INPUTS'!H6,'04_PSA_INPUTS'!I6)</f>
        <v>#NAME?</v>
      </c>
      <c r="D143" s="27" t="e">
        <f ca="1">_xludf.GAMMA.INV(T143,'04_PSA_INPUTS'!H7,'04_PSA_INPUTS'!I7)</f>
        <v>#NAME?</v>
      </c>
      <c r="E143" s="27" t="e">
        <f ca="1">_xludf.GAMMA.INV(U143,'04_PSA_INPUTS'!H8,'04_PSA_INPUTS'!I8)</f>
        <v>#NAME?</v>
      </c>
      <c r="F143" s="27" t="e">
        <f ca="1">_xludf.GAMMA.INV(V143,'04_PSA_INPUTS'!H9,'04_PSA_INPUTS'!I9)</f>
        <v>#NAME?</v>
      </c>
      <c r="G143" s="23" t="e">
        <f ca="1">_xludf.BETA.INV(W143,'04_PSA_INPUTS'!H10,'04_PSA_INPUTS'!I10)</f>
        <v>#NAME?</v>
      </c>
      <c r="H143" s="23" t="e">
        <f ca="1">_xludf.BETA.INV(X143,'04_PSA_INPUTS'!H11,'04_PSA_INPUTS'!I11)</f>
        <v>#NAME?</v>
      </c>
      <c r="I143" s="27" t="e">
        <f ca="1">D143+B143*F143+'01_INPUTS'!B20</f>
        <v>#NAME?</v>
      </c>
      <c r="J143" s="27" t="e">
        <f ca="1">E143+C143*F143+'01_INPUTS'!B21</f>
        <v>#NAME?</v>
      </c>
      <c r="K143" s="27" t="e">
        <f t="shared" ca="1" si="12"/>
        <v>#NAME?</v>
      </c>
      <c r="L143" s="23" t="e">
        <f t="shared" ca="1" si="13"/>
        <v>#NAME?</v>
      </c>
      <c r="M143" s="23" t="e">
        <f t="shared" ca="1" si="14"/>
        <v>#NAME?</v>
      </c>
      <c r="N143" s="23" t="e">
        <f t="shared" ca="1" si="15"/>
        <v>#NAME?</v>
      </c>
      <c r="O143" s="27" t="e">
        <f t="shared" ca="1" si="16"/>
        <v>#NAME?</v>
      </c>
      <c r="P143" s="27" t="e">
        <f ca="1">'01_INPUTS'!B9*N143-K143</f>
        <v>#NAME?</v>
      </c>
      <c r="Q143" s="1" t="e">
        <f t="shared" ca="1" si="17"/>
        <v>#NAME?</v>
      </c>
      <c r="R143" s="28">
        <v>0.48130478989332914</v>
      </c>
      <c r="S143" s="28">
        <v>0.75004499196074903</v>
      </c>
      <c r="T143" s="28">
        <v>0.77604564791545272</v>
      </c>
      <c r="U143" s="28">
        <v>0.43646504357457161</v>
      </c>
      <c r="V143" s="28">
        <v>0.34105747449211776</v>
      </c>
      <c r="W143" s="28">
        <v>0.74570730165578425</v>
      </c>
      <c r="X143" s="28">
        <v>0.40935308183543384</v>
      </c>
    </row>
    <row r="144" spans="1:24" ht="13.9">
      <c r="A144" s="1">
        <v>143</v>
      </c>
      <c r="B144" s="23" t="e">
        <f ca="1">_xludf.BETA.INV(R144,'04_PSA_INPUTS'!H5,'04_PSA_INPUTS'!I5)</f>
        <v>#NAME?</v>
      </c>
      <c r="C144" s="23" t="e">
        <f ca="1">_xludf.BETA.INV(S144,'04_PSA_INPUTS'!H6,'04_PSA_INPUTS'!I6)</f>
        <v>#NAME?</v>
      </c>
      <c r="D144" s="27" t="e">
        <f ca="1">_xludf.GAMMA.INV(T144,'04_PSA_INPUTS'!H7,'04_PSA_INPUTS'!I7)</f>
        <v>#NAME?</v>
      </c>
      <c r="E144" s="27" t="e">
        <f ca="1">_xludf.GAMMA.INV(U144,'04_PSA_INPUTS'!H8,'04_PSA_INPUTS'!I8)</f>
        <v>#NAME?</v>
      </c>
      <c r="F144" s="27" t="e">
        <f ca="1">_xludf.GAMMA.INV(V144,'04_PSA_INPUTS'!H9,'04_PSA_INPUTS'!I9)</f>
        <v>#NAME?</v>
      </c>
      <c r="G144" s="23" t="e">
        <f ca="1">_xludf.BETA.INV(W144,'04_PSA_INPUTS'!H10,'04_PSA_INPUTS'!I10)</f>
        <v>#NAME?</v>
      </c>
      <c r="H144" s="23" t="e">
        <f ca="1">_xludf.BETA.INV(X144,'04_PSA_INPUTS'!H11,'04_PSA_INPUTS'!I11)</f>
        <v>#NAME?</v>
      </c>
      <c r="I144" s="27" t="e">
        <f ca="1">D144+B144*F144+'01_INPUTS'!B20</f>
        <v>#NAME?</v>
      </c>
      <c r="J144" s="27" t="e">
        <f ca="1">E144+C144*F144+'01_INPUTS'!B21</f>
        <v>#NAME?</v>
      </c>
      <c r="K144" s="27" t="e">
        <f t="shared" ca="1" si="12"/>
        <v>#NAME?</v>
      </c>
      <c r="L144" s="23" t="e">
        <f t="shared" ca="1" si="13"/>
        <v>#NAME?</v>
      </c>
      <c r="M144" s="23" t="e">
        <f t="shared" ca="1" si="14"/>
        <v>#NAME?</v>
      </c>
      <c r="N144" s="23" t="e">
        <f t="shared" ca="1" si="15"/>
        <v>#NAME?</v>
      </c>
      <c r="O144" s="27" t="e">
        <f t="shared" ca="1" si="16"/>
        <v>#NAME?</v>
      </c>
      <c r="P144" s="27" t="e">
        <f ca="1">'01_INPUTS'!B9*N144-K144</f>
        <v>#NAME?</v>
      </c>
      <c r="Q144" s="1" t="e">
        <f t="shared" ca="1" si="17"/>
        <v>#NAME?</v>
      </c>
      <c r="R144" s="28">
        <v>0.44929469516500831</v>
      </c>
      <c r="S144" s="28">
        <v>0.29262037738226354</v>
      </c>
      <c r="T144" s="28">
        <v>0.87687594071030617</v>
      </c>
      <c r="U144" s="28">
        <v>0.26424691779538989</v>
      </c>
      <c r="V144" s="28">
        <v>0.48998199985362589</v>
      </c>
      <c r="W144" s="28">
        <v>0.38349920720793307</v>
      </c>
      <c r="X144" s="28">
        <v>0.97561758453957736</v>
      </c>
    </row>
    <row r="145" spans="1:24" ht="13.9">
      <c r="A145" s="1">
        <v>144</v>
      </c>
      <c r="B145" s="23" t="e">
        <f ca="1">_xludf.BETA.INV(R145,'04_PSA_INPUTS'!H5,'04_PSA_INPUTS'!I5)</f>
        <v>#NAME?</v>
      </c>
      <c r="C145" s="23" t="e">
        <f ca="1">_xludf.BETA.INV(S145,'04_PSA_INPUTS'!H6,'04_PSA_INPUTS'!I6)</f>
        <v>#NAME?</v>
      </c>
      <c r="D145" s="27" t="e">
        <f ca="1">_xludf.GAMMA.INV(T145,'04_PSA_INPUTS'!H7,'04_PSA_INPUTS'!I7)</f>
        <v>#NAME?</v>
      </c>
      <c r="E145" s="27" t="e">
        <f ca="1">_xludf.GAMMA.INV(U145,'04_PSA_INPUTS'!H8,'04_PSA_INPUTS'!I8)</f>
        <v>#NAME?</v>
      </c>
      <c r="F145" s="27" t="e">
        <f ca="1">_xludf.GAMMA.INV(V145,'04_PSA_INPUTS'!H9,'04_PSA_INPUTS'!I9)</f>
        <v>#NAME?</v>
      </c>
      <c r="G145" s="23" t="e">
        <f ca="1">_xludf.BETA.INV(W145,'04_PSA_INPUTS'!H10,'04_PSA_INPUTS'!I10)</f>
        <v>#NAME?</v>
      </c>
      <c r="H145" s="23" t="e">
        <f ca="1">_xludf.BETA.INV(X145,'04_PSA_INPUTS'!H11,'04_PSA_INPUTS'!I11)</f>
        <v>#NAME?</v>
      </c>
      <c r="I145" s="27" t="e">
        <f ca="1">D145+B145*F145+'01_INPUTS'!B20</f>
        <v>#NAME?</v>
      </c>
      <c r="J145" s="27" t="e">
        <f ca="1">E145+C145*F145+'01_INPUTS'!B21</f>
        <v>#NAME?</v>
      </c>
      <c r="K145" s="27" t="e">
        <f t="shared" ca="1" si="12"/>
        <v>#NAME?</v>
      </c>
      <c r="L145" s="23" t="e">
        <f t="shared" ca="1" si="13"/>
        <v>#NAME?</v>
      </c>
      <c r="M145" s="23" t="e">
        <f t="shared" ca="1" si="14"/>
        <v>#NAME?</v>
      </c>
      <c r="N145" s="23" t="e">
        <f t="shared" ca="1" si="15"/>
        <v>#NAME?</v>
      </c>
      <c r="O145" s="27" t="e">
        <f t="shared" ca="1" si="16"/>
        <v>#NAME?</v>
      </c>
      <c r="P145" s="27" t="e">
        <f ca="1">'01_INPUTS'!B9*N145-K145</f>
        <v>#NAME?</v>
      </c>
      <c r="Q145" s="1" t="e">
        <f t="shared" ca="1" si="17"/>
        <v>#NAME?</v>
      </c>
      <c r="R145" s="28">
        <v>0.22812971472740173</v>
      </c>
      <c r="S145" s="28">
        <v>8.6225883569568396E-2</v>
      </c>
      <c r="T145" s="28">
        <v>2.6962319621816278E-2</v>
      </c>
      <c r="U145" s="28">
        <v>0.9236487599555403</v>
      </c>
      <c r="V145" s="28">
        <v>0.63111506681889296</v>
      </c>
      <c r="W145" s="28">
        <v>0.98559783538803458</v>
      </c>
      <c r="X145" s="28">
        <v>0.5947002531029284</v>
      </c>
    </row>
    <row r="146" spans="1:24" ht="13.9">
      <c r="A146" s="1">
        <v>145</v>
      </c>
      <c r="B146" s="23" t="e">
        <f ca="1">_xludf.BETA.INV(R146,'04_PSA_INPUTS'!H5,'04_PSA_INPUTS'!I5)</f>
        <v>#NAME?</v>
      </c>
      <c r="C146" s="23" t="e">
        <f ca="1">_xludf.BETA.INV(S146,'04_PSA_INPUTS'!H6,'04_PSA_INPUTS'!I6)</f>
        <v>#NAME?</v>
      </c>
      <c r="D146" s="27" t="e">
        <f ca="1">_xludf.GAMMA.INV(T146,'04_PSA_INPUTS'!H7,'04_PSA_INPUTS'!I7)</f>
        <v>#NAME?</v>
      </c>
      <c r="E146" s="27" t="e">
        <f ca="1">_xludf.GAMMA.INV(U146,'04_PSA_INPUTS'!H8,'04_PSA_INPUTS'!I8)</f>
        <v>#NAME?</v>
      </c>
      <c r="F146" s="27" t="e">
        <f ca="1">_xludf.GAMMA.INV(V146,'04_PSA_INPUTS'!H9,'04_PSA_INPUTS'!I9)</f>
        <v>#NAME?</v>
      </c>
      <c r="G146" s="23" t="e">
        <f ca="1">_xludf.BETA.INV(W146,'04_PSA_INPUTS'!H10,'04_PSA_INPUTS'!I10)</f>
        <v>#NAME?</v>
      </c>
      <c r="H146" s="23" t="e">
        <f ca="1">_xludf.BETA.INV(X146,'04_PSA_INPUTS'!H11,'04_PSA_INPUTS'!I11)</f>
        <v>#NAME?</v>
      </c>
      <c r="I146" s="27" t="e">
        <f ca="1">D146+B146*F146+'01_INPUTS'!B20</f>
        <v>#NAME?</v>
      </c>
      <c r="J146" s="27" t="e">
        <f ca="1">E146+C146*F146+'01_INPUTS'!B21</f>
        <v>#NAME?</v>
      </c>
      <c r="K146" s="27" t="e">
        <f t="shared" ca="1" si="12"/>
        <v>#NAME?</v>
      </c>
      <c r="L146" s="23" t="e">
        <f t="shared" ca="1" si="13"/>
        <v>#NAME?</v>
      </c>
      <c r="M146" s="23" t="e">
        <f t="shared" ca="1" si="14"/>
        <v>#NAME?</v>
      </c>
      <c r="N146" s="23" t="e">
        <f t="shared" ca="1" si="15"/>
        <v>#NAME?</v>
      </c>
      <c r="O146" s="27" t="e">
        <f t="shared" ca="1" si="16"/>
        <v>#NAME?</v>
      </c>
      <c r="P146" s="27" t="e">
        <f ca="1">'01_INPUTS'!B9*N146-K146</f>
        <v>#NAME?</v>
      </c>
      <c r="Q146" s="1" t="e">
        <f t="shared" ca="1" si="17"/>
        <v>#NAME?</v>
      </c>
      <c r="R146" s="28">
        <v>0.5323473836760968</v>
      </c>
      <c r="S146" s="28">
        <v>0.95607651420868933</v>
      </c>
      <c r="T146" s="28">
        <v>0.90914395032450557</v>
      </c>
      <c r="U146" s="28">
        <v>0.40007461374625564</v>
      </c>
      <c r="V146" s="28">
        <v>0.55958462110720575</v>
      </c>
      <c r="W146" s="28">
        <v>1.7339364625513554E-2</v>
      </c>
      <c r="X146" s="28">
        <v>0.19130372651852667</v>
      </c>
    </row>
    <row r="147" spans="1:24" ht="13.9">
      <c r="A147" s="1">
        <v>146</v>
      </c>
      <c r="B147" s="23" t="e">
        <f ca="1">_xludf.BETA.INV(R147,'04_PSA_INPUTS'!H5,'04_PSA_INPUTS'!I5)</f>
        <v>#NAME?</v>
      </c>
      <c r="C147" s="23" t="e">
        <f ca="1">_xludf.BETA.INV(S147,'04_PSA_INPUTS'!H6,'04_PSA_INPUTS'!I6)</f>
        <v>#NAME?</v>
      </c>
      <c r="D147" s="27" t="e">
        <f ca="1">_xludf.GAMMA.INV(T147,'04_PSA_INPUTS'!H7,'04_PSA_INPUTS'!I7)</f>
        <v>#NAME?</v>
      </c>
      <c r="E147" s="27" t="e">
        <f ca="1">_xludf.GAMMA.INV(U147,'04_PSA_INPUTS'!H8,'04_PSA_INPUTS'!I8)</f>
        <v>#NAME?</v>
      </c>
      <c r="F147" s="27" t="e">
        <f ca="1">_xludf.GAMMA.INV(V147,'04_PSA_INPUTS'!H9,'04_PSA_INPUTS'!I9)</f>
        <v>#NAME?</v>
      </c>
      <c r="G147" s="23" t="e">
        <f ca="1">_xludf.BETA.INV(W147,'04_PSA_INPUTS'!H10,'04_PSA_INPUTS'!I10)</f>
        <v>#NAME?</v>
      </c>
      <c r="H147" s="23" t="e">
        <f ca="1">_xludf.BETA.INV(X147,'04_PSA_INPUTS'!H11,'04_PSA_INPUTS'!I11)</f>
        <v>#NAME?</v>
      </c>
      <c r="I147" s="27" t="e">
        <f ca="1">D147+B147*F147+'01_INPUTS'!B20</f>
        <v>#NAME?</v>
      </c>
      <c r="J147" s="27" t="e">
        <f ca="1">E147+C147*F147+'01_INPUTS'!B21</f>
        <v>#NAME?</v>
      </c>
      <c r="K147" s="27" t="e">
        <f t="shared" ca="1" si="12"/>
        <v>#NAME?</v>
      </c>
      <c r="L147" s="23" t="e">
        <f t="shared" ca="1" si="13"/>
        <v>#NAME?</v>
      </c>
      <c r="M147" s="23" t="e">
        <f t="shared" ca="1" si="14"/>
        <v>#NAME?</v>
      </c>
      <c r="N147" s="23" t="e">
        <f t="shared" ca="1" si="15"/>
        <v>#NAME?</v>
      </c>
      <c r="O147" s="27" t="e">
        <f t="shared" ca="1" si="16"/>
        <v>#NAME?</v>
      </c>
      <c r="P147" s="27" t="e">
        <f ca="1">'01_INPUTS'!B9*N147-K147</f>
        <v>#NAME?</v>
      </c>
      <c r="Q147" s="1" t="e">
        <f t="shared" ca="1" si="17"/>
        <v>#NAME?</v>
      </c>
      <c r="R147" s="28">
        <v>0.64000450470484793</v>
      </c>
      <c r="S147" s="28">
        <v>0.44119612197391689</v>
      </c>
      <c r="T147" s="28">
        <v>0.42985433991998434</v>
      </c>
      <c r="U147" s="28">
        <v>0.13526413962244987</v>
      </c>
      <c r="V147" s="28">
        <v>0.26913382415659726</v>
      </c>
      <c r="W147" s="28">
        <v>0.33062925259582698</v>
      </c>
      <c r="X147" s="28">
        <v>0.49864416918717325</v>
      </c>
    </row>
    <row r="148" spans="1:24" ht="13.9">
      <c r="A148" s="1">
        <v>147</v>
      </c>
      <c r="B148" s="23" t="e">
        <f ca="1">_xludf.BETA.INV(R148,'04_PSA_INPUTS'!H5,'04_PSA_INPUTS'!I5)</f>
        <v>#NAME?</v>
      </c>
      <c r="C148" s="23" t="e">
        <f ca="1">_xludf.BETA.INV(S148,'04_PSA_INPUTS'!H6,'04_PSA_INPUTS'!I6)</f>
        <v>#NAME?</v>
      </c>
      <c r="D148" s="27" t="e">
        <f ca="1">_xludf.GAMMA.INV(T148,'04_PSA_INPUTS'!H7,'04_PSA_INPUTS'!I7)</f>
        <v>#NAME?</v>
      </c>
      <c r="E148" s="27" t="e">
        <f ca="1">_xludf.GAMMA.INV(U148,'04_PSA_INPUTS'!H8,'04_PSA_INPUTS'!I8)</f>
        <v>#NAME?</v>
      </c>
      <c r="F148" s="27" t="e">
        <f ca="1">_xludf.GAMMA.INV(V148,'04_PSA_INPUTS'!H9,'04_PSA_INPUTS'!I9)</f>
        <v>#NAME?</v>
      </c>
      <c r="G148" s="23" t="e">
        <f ca="1">_xludf.BETA.INV(W148,'04_PSA_INPUTS'!H10,'04_PSA_INPUTS'!I10)</f>
        <v>#NAME?</v>
      </c>
      <c r="H148" s="23" t="e">
        <f ca="1">_xludf.BETA.INV(X148,'04_PSA_INPUTS'!H11,'04_PSA_INPUTS'!I11)</f>
        <v>#NAME?</v>
      </c>
      <c r="I148" s="27" t="e">
        <f ca="1">D148+B148*F148+'01_INPUTS'!B20</f>
        <v>#NAME?</v>
      </c>
      <c r="J148" s="27" t="e">
        <f ca="1">E148+C148*F148+'01_INPUTS'!B21</f>
        <v>#NAME?</v>
      </c>
      <c r="K148" s="27" t="e">
        <f t="shared" ca="1" si="12"/>
        <v>#NAME?</v>
      </c>
      <c r="L148" s="23" t="e">
        <f t="shared" ca="1" si="13"/>
        <v>#NAME?</v>
      </c>
      <c r="M148" s="23" t="e">
        <f t="shared" ca="1" si="14"/>
        <v>#NAME?</v>
      </c>
      <c r="N148" s="23" t="e">
        <f t="shared" ca="1" si="15"/>
        <v>#NAME?</v>
      </c>
      <c r="O148" s="27" t="e">
        <f t="shared" ca="1" si="16"/>
        <v>#NAME?</v>
      </c>
      <c r="P148" s="27" t="e">
        <f ca="1">'01_INPUTS'!B9*N148-K148</f>
        <v>#NAME?</v>
      </c>
      <c r="Q148" s="1" t="e">
        <f t="shared" ca="1" si="17"/>
        <v>#NAME?</v>
      </c>
      <c r="R148" s="28">
        <v>7.2699275333434343E-2</v>
      </c>
      <c r="S148" s="28">
        <v>0.20433714683167636</v>
      </c>
      <c r="T148" s="28">
        <v>0.75874254480004311</v>
      </c>
      <c r="U148" s="28">
        <v>0.60004543163813651</v>
      </c>
      <c r="V148" s="28">
        <v>7.7460393076762557E-2</v>
      </c>
      <c r="W148" s="28">
        <v>0.11983941518701613</v>
      </c>
      <c r="X148" s="28">
        <v>0.73027134290896356</v>
      </c>
    </row>
    <row r="149" spans="1:24" ht="13.9">
      <c r="A149" s="1">
        <v>148</v>
      </c>
      <c r="B149" s="23" t="e">
        <f ca="1">_xludf.BETA.INV(R149,'04_PSA_INPUTS'!H5,'04_PSA_INPUTS'!I5)</f>
        <v>#NAME?</v>
      </c>
      <c r="C149" s="23" t="e">
        <f ca="1">_xludf.BETA.INV(S149,'04_PSA_INPUTS'!H6,'04_PSA_INPUTS'!I6)</f>
        <v>#NAME?</v>
      </c>
      <c r="D149" s="27" t="e">
        <f ca="1">_xludf.GAMMA.INV(T149,'04_PSA_INPUTS'!H7,'04_PSA_INPUTS'!I7)</f>
        <v>#NAME?</v>
      </c>
      <c r="E149" s="27" t="e">
        <f ca="1">_xludf.GAMMA.INV(U149,'04_PSA_INPUTS'!H8,'04_PSA_INPUTS'!I8)</f>
        <v>#NAME?</v>
      </c>
      <c r="F149" s="27" t="e">
        <f ca="1">_xludf.GAMMA.INV(V149,'04_PSA_INPUTS'!H9,'04_PSA_INPUTS'!I9)</f>
        <v>#NAME?</v>
      </c>
      <c r="G149" s="23" t="e">
        <f ca="1">_xludf.BETA.INV(W149,'04_PSA_INPUTS'!H10,'04_PSA_INPUTS'!I10)</f>
        <v>#NAME?</v>
      </c>
      <c r="H149" s="23" t="e">
        <f ca="1">_xludf.BETA.INV(X149,'04_PSA_INPUTS'!H11,'04_PSA_INPUTS'!I11)</f>
        <v>#NAME?</v>
      </c>
      <c r="I149" s="27" t="e">
        <f ca="1">D149+B149*F149+'01_INPUTS'!B20</f>
        <v>#NAME?</v>
      </c>
      <c r="J149" s="27" t="e">
        <f ca="1">E149+C149*F149+'01_INPUTS'!B21</f>
        <v>#NAME?</v>
      </c>
      <c r="K149" s="27" t="e">
        <f t="shared" ca="1" si="12"/>
        <v>#NAME?</v>
      </c>
      <c r="L149" s="23" t="e">
        <f t="shared" ca="1" si="13"/>
        <v>#NAME?</v>
      </c>
      <c r="M149" s="23" t="e">
        <f t="shared" ca="1" si="14"/>
        <v>#NAME?</v>
      </c>
      <c r="N149" s="23" t="e">
        <f t="shared" ca="1" si="15"/>
        <v>#NAME?</v>
      </c>
      <c r="O149" s="27" t="e">
        <f t="shared" ca="1" si="16"/>
        <v>#NAME?</v>
      </c>
      <c r="P149" s="27" t="e">
        <f ca="1">'01_INPUTS'!B9*N149-K149</f>
        <v>#NAME?</v>
      </c>
      <c r="Q149" s="1" t="e">
        <f t="shared" ca="1" si="17"/>
        <v>#NAME?</v>
      </c>
      <c r="R149" s="28">
        <v>0.32905960595235229</v>
      </c>
      <c r="S149" s="28">
        <v>0.72365702944807708</v>
      </c>
      <c r="T149" s="28">
        <v>0.68210701830685139</v>
      </c>
      <c r="U149" s="28">
        <v>0.67060095071792603</v>
      </c>
      <c r="V149" s="28">
        <v>0.38987237610854208</v>
      </c>
      <c r="W149" s="28">
        <v>0.79925777018070221</v>
      </c>
      <c r="X149" s="28">
        <v>0.78613795689307153</v>
      </c>
    </row>
    <row r="150" spans="1:24" ht="13.9">
      <c r="A150" s="1">
        <v>149</v>
      </c>
      <c r="B150" s="23" t="e">
        <f ca="1">_xludf.BETA.INV(R150,'04_PSA_INPUTS'!H5,'04_PSA_INPUTS'!I5)</f>
        <v>#NAME?</v>
      </c>
      <c r="C150" s="23" t="e">
        <f ca="1">_xludf.BETA.INV(S150,'04_PSA_INPUTS'!H6,'04_PSA_INPUTS'!I6)</f>
        <v>#NAME?</v>
      </c>
      <c r="D150" s="27" t="e">
        <f ca="1">_xludf.GAMMA.INV(T150,'04_PSA_INPUTS'!H7,'04_PSA_INPUTS'!I7)</f>
        <v>#NAME?</v>
      </c>
      <c r="E150" s="27" t="e">
        <f ca="1">_xludf.GAMMA.INV(U150,'04_PSA_INPUTS'!H8,'04_PSA_INPUTS'!I8)</f>
        <v>#NAME?</v>
      </c>
      <c r="F150" s="27" t="e">
        <f ca="1">_xludf.GAMMA.INV(V150,'04_PSA_INPUTS'!H9,'04_PSA_INPUTS'!I9)</f>
        <v>#NAME?</v>
      </c>
      <c r="G150" s="23" t="e">
        <f ca="1">_xludf.BETA.INV(W150,'04_PSA_INPUTS'!H10,'04_PSA_INPUTS'!I10)</f>
        <v>#NAME?</v>
      </c>
      <c r="H150" s="23" t="e">
        <f ca="1">_xludf.BETA.INV(X150,'04_PSA_INPUTS'!H11,'04_PSA_INPUTS'!I11)</f>
        <v>#NAME?</v>
      </c>
      <c r="I150" s="27" t="e">
        <f ca="1">D150+B150*F150+'01_INPUTS'!B20</f>
        <v>#NAME?</v>
      </c>
      <c r="J150" s="27" t="e">
        <f ca="1">E150+C150*F150+'01_INPUTS'!B21</f>
        <v>#NAME?</v>
      </c>
      <c r="K150" s="27" t="e">
        <f t="shared" ca="1" si="12"/>
        <v>#NAME?</v>
      </c>
      <c r="L150" s="23" t="e">
        <f t="shared" ca="1" si="13"/>
        <v>#NAME?</v>
      </c>
      <c r="M150" s="23" t="e">
        <f t="shared" ca="1" si="14"/>
        <v>#NAME?</v>
      </c>
      <c r="N150" s="23" t="e">
        <f t="shared" ca="1" si="15"/>
        <v>#NAME?</v>
      </c>
      <c r="O150" s="27" t="e">
        <f t="shared" ca="1" si="16"/>
        <v>#NAME?</v>
      </c>
      <c r="P150" s="27" t="e">
        <f ca="1">'01_INPUTS'!B9*N150-K150</f>
        <v>#NAME?</v>
      </c>
      <c r="Q150" s="1" t="e">
        <f t="shared" ca="1" si="17"/>
        <v>#NAME?</v>
      </c>
      <c r="R150" s="28">
        <v>0.20741786644794047</v>
      </c>
      <c r="S150" s="28">
        <v>0.95988827664405107</v>
      </c>
      <c r="T150" s="28">
        <v>0.76515392959117889</v>
      </c>
      <c r="U150" s="28">
        <v>1.4757277444005013E-2</v>
      </c>
      <c r="V150" s="28">
        <v>0.37265461729839444</v>
      </c>
      <c r="W150" s="28">
        <v>0.6328209403436631</v>
      </c>
      <c r="X150" s="28">
        <v>0.99831610964611173</v>
      </c>
    </row>
    <row r="151" spans="1:24" ht="13.9">
      <c r="A151" s="1">
        <v>150</v>
      </c>
      <c r="B151" s="23" t="e">
        <f ca="1">_xludf.BETA.INV(R151,'04_PSA_INPUTS'!H5,'04_PSA_INPUTS'!I5)</f>
        <v>#NAME?</v>
      </c>
      <c r="C151" s="23" t="e">
        <f ca="1">_xludf.BETA.INV(S151,'04_PSA_INPUTS'!H6,'04_PSA_INPUTS'!I6)</f>
        <v>#NAME?</v>
      </c>
      <c r="D151" s="27" t="e">
        <f ca="1">_xludf.GAMMA.INV(T151,'04_PSA_INPUTS'!H7,'04_PSA_INPUTS'!I7)</f>
        <v>#NAME?</v>
      </c>
      <c r="E151" s="27" t="e">
        <f ca="1">_xludf.GAMMA.INV(U151,'04_PSA_INPUTS'!H8,'04_PSA_INPUTS'!I8)</f>
        <v>#NAME?</v>
      </c>
      <c r="F151" s="27" t="e">
        <f ca="1">_xludf.GAMMA.INV(V151,'04_PSA_INPUTS'!H9,'04_PSA_INPUTS'!I9)</f>
        <v>#NAME?</v>
      </c>
      <c r="G151" s="23" t="e">
        <f ca="1">_xludf.BETA.INV(W151,'04_PSA_INPUTS'!H10,'04_PSA_INPUTS'!I10)</f>
        <v>#NAME?</v>
      </c>
      <c r="H151" s="23" t="e">
        <f ca="1">_xludf.BETA.INV(X151,'04_PSA_INPUTS'!H11,'04_PSA_INPUTS'!I11)</f>
        <v>#NAME?</v>
      </c>
      <c r="I151" s="27" t="e">
        <f ca="1">D151+B151*F151+'01_INPUTS'!B20</f>
        <v>#NAME?</v>
      </c>
      <c r="J151" s="27" t="e">
        <f ca="1">E151+C151*F151+'01_INPUTS'!B21</f>
        <v>#NAME?</v>
      </c>
      <c r="K151" s="27" t="e">
        <f t="shared" ca="1" si="12"/>
        <v>#NAME?</v>
      </c>
      <c r="L151" s="23" t="e">
        <f t="shared" ca="1" si="13"/>
        <v>#NAME?</v>
      </c>
      <c r="M151" s="23" t="e">
        <f t="shared" ca="1" si="14"/>
        <v>#NAME?</v>
      </c>
      <c r="N151" s="23" t="e">
        <f t="shared" ca="1" si="15"/>
        <v>#NAME?</v>
      </c>
      <c r="O151" s="27" t="e">
        <f t="shared" ca="1" si="16"/>
        <v>#NAME?</v>
      </c>
      <c r="P151" s="27" t="e">
        <f ca="1">'01_INPUTS'!B9*N151-K151</f>
        <v>#NAME?</v>
      </c>
      <c r="Q151" s="1" t="e">
        <f t="shared" ca="1" si="17"/>
        <v>#NAME?</v>
      </c>
      <c r="R151" s="28">
        <v>0.13937817956320941</v>
      </c>
      <c r="S151" s="28">
        <v>0.39510266343131661</v>
      </c>
      <c r="T151" s="28">
        <v>0.68928195699118078</v>
      </c>
      <c r="U151" s="28">
        <v>5.7002920424565673E-2</v>
      </c>
      <c r="V151" s="28">
        <v>0.839349813060835</v>
      </c>
      <c r="W151" s="28">
        <v>0.47042971919290721</v>
      </c>
      <c r="X151" s="28">
        <v>0.14281969331204891</v>
      </c>
    </row>
    <row r="152" spans="1:24" ht="13.9">
      <c r="A152" s="1">
        <v>151</v>
      </c>
      <c r="B152" s="23" t="e">
        <f ca="1">_xludf.BETA.INV(R152,'04_PSA_INPUTS'!H5,'04_PSA_INPUTS'!I5)</f>
        <v>#NAME?</v>
      </c>
      <c r="C152" s="23" t="e">
        <f ca="1">_xludf.BETA.INV(S152,'04_PSA_INPUTS'!H6,'04_PSA_INPUTS'!I6)</f>
        <v>#NAME?</v>
      </c>
      <c r="D152" s="27" t="e">
        <f ca="1">_xludf.GAMMA.INV(T152,'04_PSA_INPUTS'!H7,'04_PSA_INPUTS'!I7)</f>
        <v>#NAME?</v>
      </c>
      <c r="E152" s="27" t="e">
        <f ca="1">_xludf.GAMMA.INV(U152,'04_PSA_INPUTS'!H8,'04_PSA_INPUTS'!I8)</f>
        <v>#NAME?</v>
      </c>
      <c r="F152" s="27" t="e">
        <f ca="1">_xludf.GAMMA.INV(V152,'04_PSA_INPUTS'!H9,'04_PSA_INPUTS'!I9)</f>
        <v>#NAME?</v>
      </c>
      <c r="G152" s="23" t="e">
        <f ca="1">_xludf.BETA.INV(W152,'04_PSA_INPUTS'!H10,'04_PSA_INPUTS'!I10)</f>
        <v>#NAME?</v>
      </c>
      <c r="H152" s="23" t="e">
        <f ca="1">_xludf.BETA.INV(X152,'04_PSA_INPUTS'!H11,'04_PSA_INPUTS'!I11)</f>
        <v>#NAME?</v>
      </c>
      <c r="I152" s="27" t="e">
        <f ca="1">D152+B152*F152+'01_INPUTS'!B20</f>
        <v>#NAME?</v>
      </c>
      <c r="J152" s="27" t="e">
        <f ca="1">E152+C152*F152+'01_INPUTS'!B21</f>
        <v>#NAME?</v>
      </c>
      <c r="K152" s="27" t="e">
        <f t="shared" ca="1" si="12"/>
        <v>#NAME?</v>
      </c>
      <c r="L152" s="23" t="e">
        <f t="shared" ca="1" si="13"/>
        <v>#NAME?</v>
      </c>
      <c r="M152" s="23" t="e">
        <f t="shared" ca="1" si="14"/>
        <v>#NAME?</v>
      </c>
      <c r="N152" s="23" t="e">
        <f t="shared" ca="1" si="15"/>
        <v>#NAME?</v>
      </c>
      <c r="O152" s="27" t="e">
        <f t="shared" ca="1" si="16"/>
        <v>#NAME?</v>
      </c>
      <c r="P152" s="27" t="e">
        <f ca="1">'01_INPUTS'!B9*N152-K152</f>
        <v>#NAME?</v>
      </c>
      <c r="Q152" s="1" t="e">
        <f t="shared" ca="1" si="17"/>
        <v>#NAME?</v>
      </c>
      <c r="R152" s="28">
        <v>3.1478239456191659E-2</v>
      </c>
      <c r="S152" s="28">
        <v>0.49665014236234128</v>
      </c>
      <c r="T152" s="28">
        <v>0.67046258598566055</v>
      </c>
      <c r="U152" s="28">
        <v>0.27293031709268689</v>
      </c>
      <c r="V152" s="28">
        <v>0.21658088290132582</v>
      </c>
      <c r="W152" s="28">
        <v>0.68863454391248524</v>
      </c>
      <c r="X152" s="28">
        <v>0.909276042599231</v>
      </c>
    </row>
    <row r="153" spans="1:24" ht="13.9">
      <c r="A153" s="1">
        <v>152</v>
      </c>
      <c r="B153" s="23" t="e">
        <f ca="1">_xludf.BETA.INV(R153,'04_PSA_INPUTS'!H5,'04_PSA_INPUTS'!I5)</f>
        <v>#NAME?</v>
      </c>
      <c r="C153" s="23" t="e">
        <f ca="1">_xludf.BETA.INV(S153,'04_PSA_INPUTS'!H6,'04_PSA_INPUTS'!I6)</f>
        <v>#NAME?</v>
      </c>
      <c r="D153" s="27" t="e">
        <f ca="1">_xludf.GAMMA.INV(T153,'04_PSA_INPUTS'!H7,'04_PSA_INPUTS'!I7)</f>
        <v>#NAME?</v>
      </c>
      <c r="E153" s="27" t="e">
        <f ca="1">_xludf.GAMMA.INV(U153,'04_PSA_INPUTS'!H8,'04_PSA_INPUTS'!I8)</f>
        <v>#NAME?</v>
      </c>
      <c r="F153" s="27" t="e">
        <f ca="1">_xludf.GAMMA.INV(V153,'04_PSA_INPUTS'!H9,'04_PSA_INPUTS'!I9)</f>
        <v>#NAME?</v>
      </c>
      <c r="G153" s="23" t="e">
        <f ca="1">_xludf.BETA.INV(W153,'04_PSA_INPUTS'!H10,'04_PSA_INPUTS'!I10)</f>
        <v>#NAME?</v>
      </c>
      <c r="H153" s="23" t="e">
        <f ca="1">_xludf.BETA.INV(X153,'04_PSA_INPUTS'!H11,'04_PSA_INPUTS'!I11)</f>
        <v>#NAME?</v>
      </c>
      <c r="I153" s="27" t="e">
        <f ca="1">D153+B153*F153+'01_INPUTS'!B20</f>
        <v>#NAME?</v>
      </c>
      <c r="J153" s="27" t="e">
        <f ca="1">E153+C153*F153+'01_INPUTS'!B21</f>
        <v>#NAME?</v>
      </c>
      <c r="K153" s="27" t="e">
        <f t="shared" ca="1" si="12"/>
        <v>#NAME?</v>
      </c>
      <c r="L153" s="23" t="e">
        <f t="shared" ca="1" si="13"/>
        <v>#NAME?</v>
      </c>
      <c r="M153" s="23" t="e">
        <f t="shared" ca="1" si="14"/>
        <v>#NAME?</v>
      </c>
      <c r="N153" s="23" t="e">
        <f t="shared" ca="1" si="15"/>
        <v>#NAME?</v>
      </c>
      <c r="O153" s="27" t="e">
        <f t="shared" ca="1" si="16"/>
        <v>#NAME?</v>
      </c>
      <c r="P153" s="27" t="e">
        <f ca="1">'01_INPUTS'!B9*N153-K153</f>
        <v>#NAME?</v>
      </c>
      <c r="Q153" s="1" t="e">
        <f t="shared" ca="1" si="17"/>
        <v>#NAME?</v>
      </c>
      <c r="R153" s="28">
        <v>0.2966694172937423</v>
      </c>
      <c r="S153" s="28">
        <v>0.27179381996393204</v>
      </c>
      <c r="T153" s="28">
        <v>0.62718640035018325</v>
      </c>
      <c r="U153" s="28">
        <v>1.0489791166037321E-2</v>
      </c>
      <c r="V153" s="28">
        <v>6.2818704405799508E-2</v>
      </c>
      <c r="W153" s="28">
        <v>0.29214224312454462</v>
      </c>
      <c r="X153" s="28">
        <v>0.82911329832859337</v>
      </c>
    </row>
    <row r="154" spans="1:24" ht="13.9">
      <c r="A154" s="1">
        <v>153</v>
      </c>
      <c r="B154" s="23" t="e">
        <f ca="1">_xludf.BETA.INV(R154,'04_PSA_INPUTS'!H5,'04_PSA_INPUTS'!I5)</f>
        <v>#NAME?</v>
      </c>
      <c r="C154" s="23" t="e">
        <f ca="1">_xludf.BETA.INV(S154,'04_PSA_INPUTS'!H6,'04_PSA_INPUTS'!I6)</f>
        <v>#NAME?</v>
      </c>
      <c r="D154" s="27" t="e">
        <f ca="1">_xludf.GAMMA.INV(T154,'04_PSA_INPUTS'!H7,'04_PSA_INPUTS'!I7)</f>
        <v>#NAME?</v>
      </c>
      <c r="E154" s="27" t="e">
        <f ca="1">_xludf.GAMMA.INV(U154,'04_PSA_INPUTS'!H8,'04_PSA_INPUTS'!I8)</f>
        <v>#NAME?</v>
      </c>
      <c r="F154" s="27" t="e">
        <f ca="1">_xludf.GAMMA.INV(V154,'04_PSA_INPUTS'!H9,'04_PSA_INPUTS'!I9)</f>
        <v>#NAME?</v>
      </c>
      <c r="G154" s="23" t="e">
        <f ca="1">_xludf.BETA.INV(W154,'04_PSA_INPUTS'!H10,'04_PSA_INPUTS'!I10)</f>
        <v>#NAME?</v>
      </c>
      <c r="H154" s="23" t="e">
        <f ca="1">_xludf.BETA.INV(X154,'04_PSA_INPUTS'!H11,'04_PSA_INPUTS'!I11)</f>
        <v>#NAME?</v>
      </c>
      <c r="I154" s="27" t="e">
        <f ca="1">D154+B154*F154+'01_INPUTS'!B20</f>
        <v>#NAME?</v>
      </c>
      <c r="J154" s="27" t="e">
        <f ca="1">E154+C154*F154+'01_INPUTS'!B21</f>
        <v>#NAME?</v>
      </c>
      <c r="K154" s="27" t="e">
        <f t="shared" ca="1" si="12"/>
        <v>#NAME?</v>
      </c>
      <c r="L154" s="23" t="e">
        <f t="shared" ca="1" si="13"/>
        <v>#NAME?</v>
      </c>
      <c r="M154" s="23" t="e">
        <f t="shared" ca="1" si="14"/>
        <v>#NAME?</v>
      </c>
      <c r="N154" s="23" t="e">
        <f t="shared" ca="1" si="15"/>
        <v>#NAME?</v>
      </c>
      <c r="O154" s="27" t="e">
        <f t="shared" ca="1" si="16"/>
        <v>#NAME?</v>
      </c>
      <c r="P154" s="27" t="e">
        <f ca="1">'01_INPUTS'!B9*N154-K154</f>
        <v>#NAME?</v>
      </c>
      <c r="Q154" s="1" t="e">
        <f t="shared" ca="1" si="17"/>
        <v>#NAME?</v>
      </c>
      <c r="R154" s="28">
        <v>0.25525625608861446</v>
      </c>
      <c r="S154" s="28">
        <v>0.25399631797336042</v>
      </c>
      <c r="T154" s="28">
        <v>8.3830767311155796E-2</v>
      </c>
      <c r="U154" s="28">
        <v>0.46255697053857148</v>
      </c>
      <c r="V154" s="28">
        <v>0.5325042293407023</v>
      </c>
      <c r="W154" s="28">
        <v>0.4730969734955579</v>
      </c>
      <c r="X154" s="28">
        <v>0.90549626224674284</v>
      </c>
    </row>
    <row r="155" spans="1:24" ht="13.9">
      <c r="A155" s="1">
        <v>154</v>
      </c>
      <c r="B155" s="23" t="e">
        <f ca="1">_xludf.BETA.INV(R155,'04_PSA_INPUTS'!H5,'04_PSA_INPUTS'!I5)</f>
        <v>#NAME?</v>
      </c>
      <c r="C155" s="23" t="e">
        <f ca="1">_xludf.BETA.INV(S155,'04_PSA_INPUTS'!H6,'04_PSA_INPUTS'!I6)</f>
        <v>#NAME?</v>
      </c>
      <c r="D155" s="27" t="e">
        <f ca="1">_xludf.GAMMA.INV(T155,'04_PSA_INPUTS'!H7,'04_PSA_INPUTS'!I7)</f>
        <v>#NAME?</v>
      </c>
      <c r="E155" s="27" t="e">
        <f ca="1">_xludf.GAMMA.INV(U155,'04_PSA_INPUTS'!H8,'04_PSA_INPUTS'!I8)</f>
        <v>#NAME?</v>
      </c>
      <c r="F155" s="27" t="e">
        <f ca="1">_xludf.GAMMA.INV(V155,'04_PSA_INPUTS'!H9,'04_PSA_INPUTS'!I9)</f>
        <v>#NAME?</v>
      </c>
      <c r="G155" s="23" t="e">
        <f ca="1">_xludf.BETA.INV(W155,'04_PSA_INPUTS'!H10,'04_PSA_INPUTS'!I10)</f>
        <v>#NAME?</v>
      </c>
      <c r="H155" s="23" t="e">
        <f ca="1">_xludf.BETA.INV(X155,'04_PSA_INPUTS'!H11,'04_PSA_INPUTS'!I11)</f>
        <v>#NAME?</v>
      </c>
      <c r="I155" s="27" t="e">
        <f ca="1">D155+B155*F155+'01_INPUTS'!B20</f>
        <v>#NAME?</v>
      </c>
      <c r="J155" s="27" t="e">
        <f ca="1">E155+C155*F155+'01_INPUTS'!B21</f>
        <v>#NAME?</v>
      </c>
      <c r="K155" s="27" t="e">
        <f t="shared" ca="1" si="12"/>
        <v>#NAME?</v>
      </c>
      <c r="L155" s="23" t="e">
        <f t="shared" ca="1" si="13"/>
        <v>#NAME?</v>
      </c>
      <c r="M155" s="23" t="e">
        <f t="shared" ca="1" si="14"/>
        <v>#NAME?</v>
      </c>
      <c r="N155" s="23" t="e">
        <f t="shared" ca="1" si="15"/>
        <v>#NAME?</v>
      </c>
      <c r="O155" s="27" t="e">
        <f t="shared" ca="1" si="16"/>
        <v>#NAME?</v>
      </c>
      <c r="P155" s="27" t="e">
        <f ca="1">'01_INPUTS'!B9*N155-K155</f>
        <v>#NAME?</v>
      </c>
      <c r="Q155" s="1" t="e">
        <f t="shared" ca="1" si="17"/>
        <v>#NAME?</v>
      </c>
      <c r="R155" s="28">
        <v>0.97942560934461653</v>
      </c>
      <c r="S155" s="28">
        <v>0.94528439384885132</v>
      </c>
      <c r="T155" s="28">
        <v>0.21075928444042802</v>
      </c>
      <c r="U155" s="28">
        <v>0.12266574613749981</v>
      </c>
      <c r="V155" s="28">
        <v>0.76101269805803895</v>
      </c>
      <c r="W155" s="28">
        <v>0.83325651357881725</v>
      </c>
      <c r="X155" s="28">
        <v>0.81275703501887619</v>
      </c>
    </row>
    <row r="156" spans="1:24" ht="13.9">
      <c r="A156" s="1">
        <v>155</v>
      </c>
      <c r="B156" s="23" t="e">
        <f ca="1">_xludf.BETA.INV(R156,'04_PSA_INPUTS'!H5,'04_PSA_INPUTS'!I5)</f>
        <v>#NAME?</v>
      </c>
      <c r="C156" s="23" t="e">
        <f ca="1">_xludf.BETA.INV(S156,'04_PSA_INPUTS'!H6,'04_PSA_INPUTS'!I6)</f>
        <v>#NAME?</v>
      </c>
      <c r="D156" s="27" t="e">
        <f ca="1">_xludf.GAMMA.INV(T156,'04_PSA_INPUTS'!H7,'04_PSA_INPUTS'!I7)</f>
        <v>#NAME?</v>
      </c>
      <c r="E156" s="27" t="e">
        <f ca="1">_xludf.GAMMA.INV(U156,'04_PSA_INPUTS'!H8,'04_PSA_INPUTS'!I8)</f>
        <v>#NAME?</v>
      </c>
      <c r="F156" s="27" t="e">
        <f ca="1">_xludf.GAMMA.INV(V156,'04_PSA_INPUTS'!H9,'04_PSA_INPUTS'!I9)</f>
        <v>#NAME?</v>
      </c>
      <c r="G156" s="23" t="e">
        <f ca="1">_xludf.BETA.INV(W156,'04_PSA_INPUTS'!H10,'04_PSA_INPUTS'!I10)</f>
        <v>#NAME?</v>
      </c>
      <c r="H156" s="23" t="e">
        <f ca="1">_xludf.BETA.INV(X156,'04_PSA_INPUTS'!H11,'04_PSA_INPUTS'!I11)</f>
        <v>#NAME?</v>
      </c>
      <c r="I156" s="27" t="e">
        <f ca="1">D156+B156*F156+'01_INPUTS'!B20</f>
        <v>#NAME?</v>
      </c>
      <c r="J156" s="27" t="e">
        <f ca="1">E156+C156*F156+'01_INPUTS'!B21</f>
        <v>#NAME?</v>
      </c>
      <c r="K156" s="27" t="e">
        <f t="shared" ca="1" si="12"/>
        <v>#NAME?</v>
      </c>
      <c r="L156" s="23" t="e">
        <f t="shared" ca="1" si="13"/>
        <v>#NAME?</v>
      </c>
      <c r="M156" s="23" t="e">
        <f t="shared" ca="1" si="14"/>
        <v>#NAME?</v>
      </c>
      <c r="N156" s="23" t="e">
        <f t="shared" ca="1" si="15"/>
        <v>#NAME?</v>
      </c>
      <c r="O156" s="27" t="e">
        <f t="shared" ca="1" si="16"/>
        <v>#NAME?</v>
      </c>
      <c r="P156" s="27" t="e">
        <f ca="1">'01_INPUTS'!B9*N156-K156</f>
        <v>#NAME?</v>
      </c>
      <c r="Q156" s="1" t="e">
        <f t="shared" ca="1" si="17"/>
        <v>#NAME?</v>
      </c>
      <c r="R156" s="28">
        <v>0.63489668723195791</v>
      </c>
      <c r="S156" s="28">
        <v>0.55397945689037442</v>
      </c>
      <c r="T156" s="28">
        <v>8.3530259551480412E-2</v>
      </c>
      <c r="U156" s="28">
        <v>0.72657823050394654</v>
      </c>
      <c r="V156" s="28">
        <v>0.23930173274129629</v>
      </c>
      <c r="W156" s="28">
        <v>0.46761025045998394</v>
      </c>
      <c r="X156" s="28">
        <v>0.32023157645016909</v>
      </c>
    </row>
    <row r="157" spans="1:24" ht="13.9">
      <c r="A157" s="1">
        <v>156</v>
      </c>
      <c r="B157" s="23" t="e">
        <f ca="1">_xludf.BETA.INV(R157,'04_PSA_INPUTS'!H5,'04_PSA_INPUTS'!I5)</f>
        <v>#NAME?</v>
      </c>
      <c r="C157" s="23" t="e">
        <f ca="1">_xludf.BETA.INV(S157,'04_PSA_INPUTS'!H6,'04_PSA_INPUTS'!I6)</f>
        <v>#NAME?</v>
      </c>
      <c r="D157" s="27" t="e">
        <f ca="1">_xludf.GAMMA.INV(T157,'04_PSA_INPUTS'!H7,'04_PSA_INPUTS'!I7)</f>
        <v>#NAME?</v>
      </c>
      <c r="E157" s="27" t="e">
        <f ca="1">_xludf.GAMMA.INV(U157,'04_PSA_INPUTS'!H8,'04_PSA_INPUTS'!I8)</f>
        <v>#NAME?</v>
      </c>
      <c r="F157" s="27" t="e">
        <f ca="1">_xludf.GAMMA.INV(V157,'04_PSA_INPUTS'!H9,'04_PSA_INPUTS'!I9)</f>
        <v>#NAME?</v>
      </c>
      <c r="G157" s="23" t="e">
        <f ca="1">_xludf.BETA.INV(W157,'04_PSA_INPUTS'!H10,'04_PSA_INPUTS'!I10)</f>
        <v>#NAME?</v>
      </c>
      <c r="H157" s="23" t="e">
        <f ca="1">_xludf.BETA.INV(X157,'04_PSA_INPUTS'!H11,'04_PSA_INPUTS'!I11)</f>
        <v>#NAME?</v>
      </c>
      <c r="I157" s="27" t="e">
        <f ca="1">D157+B157*F157+'01_INPUTS'!B20</f>
        <v>#NAME?</v>
      </c>
      <c r="J157" s="27" t="e">
        <f ca="1">E157+C157*F157+'01_INPUTS'!B21</f>
        <v>#NAME?</v>
      </c>
      <c r="K157" s="27" t="e">
        <f t="shared" ca="1" si="12"/>
        <v>#NAME?</v>
      </c>
      <c r="L157" s="23" t="e">
        <f t="shared" ca="1" si="13"/>
        <v>#NAME?</v>
      </c>
      <c r="M157" s="23" t="e">
        <f t="shared" ca="1" si="14"/>
        <v>#NAME?</v>
      </c>
      <c r="N157" s="23" t="e">
        <f t="shared" ca="1" si="15"/>
        <v>#NAME?</v>
      </c>
      <c r="O157" s="27" t="e">
        <f t="shared" ca="1" si="16"/>
        <v>#NAME?</v>
      </c>
      <c r="P157" s="27" t="e">
        <f ca="1">'01_INPUTS'!B9*N157-K157</f>
        <v>#NAME?</v>
      </c>
      <c r="Q157" s="1" t="e">
        <f t="shared" ca="1" si="17"/>
        <v>#NAME?</v>
      </c>
      <c r="R157" s="28">
        <v>0.9167204680852592</v>
      </c>
      <c r="S157" s="28">
        <v>0.85563544067554176</v>
      </c>
      <c r="T157" s="28">
        <v>0.194148029666394</v>
      </c>
      <c r="U157" s="28">
        <v>0.85044378833845258</v>
      </c>
      <c r="V157" s="28">
        <v>0.56263631489127874</v>
      </c>
      <c r="W157" s="28">
        <v>0.86103732627816498</v>
      </c>
      <c r="X157" s="28">
        <v>0.39088086737319827</v>
      </c>
    </row>
    <row r="158" spans="1:24" ht="13.9">
      <c r="A158" s="1">
        <v>157</v>
      </c>
      <c r="B158" s="23" t="e">
        <f ca="1">_xludf.BETA.INV(R158,'04_PSA_INPUTS'!H5,'04_PSA_INPUTS'!I5)</f>
        <v>#NAME?</v>
      </c>
      <c r="C158" s="23" t="e">
        <f ca="1">_xludf.BETA.INV(S158,'04_PSA_INPUTS'!H6,'04_PSA_INPUTS'!I6)</f>
        <v>#NAME?</v>
      </c>
      <c r="D158" s="27" t="e">
        <f ca="1">_xludf.GAMMA.INV(T158,'04_PSA_INPUTS'!H7,'04_PSA_INPUTS'!I7)</f>
        <v>#NAME?</v>
      </c>
      <c r="E158" s="27" t="e">
        <f ca="1">_xludf.GAMMA.INV(U158,'04_PSA_INPUTS'!H8,'04_PSA_INPUTS'!I8)</f>
        <v>#NAME?</v>
      </c>
      <c r="F158" s="27" t="e">
        <f ca="1">_xludf.GAMMA.INV(V158,'04_PSA_INPUTS'!H9,'04_PSA_INPUTS'!I9)</f>
        <v>#NAME?</v>
      </c>
      <c r="G158" s="23" t="e">
        <f ca="1">_xludf.BETA.INV(W158,'04_PSA_INPUTS'!H10,'04_PSA_INPUTS'!I10)</f>
        <v>#NAME?</v>
      </c>
      <c r="H158" s="23" t="e">
        <f ca="1">_xludf.BETA.INV(X158,'04_PSA_INPUTS'!H11,'04_PSA_INPUTS'!I11)</f>
        <v>#NAME?</v>
      </c>
      <c r="I158" s="27" t="e">
        <f ca="1">D158+B158*F158+'01_INPUTS'!B20</f>
        <v>#NAME?</v>
      </c>
      <c r="J158" s="27" t="e">
        <f ca="1">E158+C158*F158+'01_INPUTS'!B21</f>
        <v>#NAME?</v>
      </c>
      <c r="K158" s="27" t="e">
        <f t="shared" ca="1" si="12"/>
        <v>#NAME?</v>
      </c>
      <c r="L158" s="23" t="e">
        <f t="shared" ca="1" si="13"/>
        <v>#NAME?</v>
      </c>
      <c r="M158" s="23" t="e">
        <f t="shared" ca="1" si="14"/>
        <v>#NAME?</v>
      </c>
      <c r="N158" s="23" t="e">
        <f t="shared" ca="1" si="15"/>
        <v>#NAME?</v>
      </c>
      <c r="O158" s="27" t="e">
        <f t="shared" ca="1" si="16"/>
        <v>#NAME?</v>
      </c>
      <c r="P158" s="27" t="e">
        <f ca="1">'01_INPUTS'!B9*N158-K158</f>
        <v>#NAME?</v>
      </c>
      <c r="Q158" s="1" t="e">
        <f t="shared" ca="1" si="17"/>
        <v>#NAME?</v>
      </c>
      <c r="R158" s="28">
        <v>0.84801304736174643</v>
      </c>
      <c r="S158" s="28">
        <v>0.65685335732996464</v>
      </c>
      <c r="T158" s="28">
        <v>4.3723944341763854E-2</v>
      </c>
      <c r="U158" s="28">
        <v>0.54818078433163464</v>
      </c>
      <c r="V158" s="28">
        <v>0.56911646109074354</v>
      </c>
      <c r="W158" s="28">
        <v>0.75967168738134205</v>
      </c>
      <c r="X158" s="28">
        <v>0.65414617070928216</v>
      </c>
    </row>
    <row r="159" spans="1:24" ht="13.9">
      <c r="A159" s="1">
        <v>158</v>
      </c>
      <c r="B159" s="23" t="e">
        <f ca="1">_xludf.BETA.INV(R159,'04_PSA_INPUTS'!H5,'04_PSA_INPUTS'!I5)</f>
        <v>#NAME?</v>
      </c>
      <c r="C159" s="23" t="e">
        <f ca="1">_xludf.BETA.INV(S159,'04_PSA_INPUTS'!H6,'04_PSA_INPUTS'!I6)</f>
        <v>#NAME?</v>
      </c>
      <c r="D159" s="27" t="e">
        <f ca="1">_xludf.GAMMA.INV(T159,'04_PSA_INPUTS'!H7,'04_PSA_INPUTS'!I7)</f>
        <v>#NAME?</v>
      </c>
      <c r="E159" s="27" t="e">
        <f ca="1">_xludf.GAMMA.INV(U159,'04_PSA_INPUTS'!H8,'04_PSA_INPUTS'!I8)</f>
        <v>#NAME?</v>
      </c>
      <c r="F159" s="27" t="e">
        <f ca="1">_xludf.GAMMA.INV(V159,'04_PSA_INPUTS'!H9,'04_PSA_INPUTS'!I9)</f>
        <v>#NAME?</v>
      </c>
      <c r="G159" s="23" t="e">
        <f ca="1">_xludf.BETA.INV(W159,'04_PSA_INPUTS'!H10,'04_PSA_INPUTS'!I10)</f>
        <v>#NAME?</v>
      </c>
      <c r="H159" s="23" t="e">
        <f ca="1">_xludf.BETA.INV(X159,'04_PSA_INPUTS'!H11,'04_PSA_INPUTS'!I11)</f>
        <v>#NAME?</v>
      </c>
      <c r="I159" s="27" t="e">
        <f ca="1">D159+B159*F159+'01_INPUTS'!B20</f>
        <v>#NAME?</v>
      </c>
      <c r="J159" s="27" t="e">
        <f ca="1">E159+C159*F159+'01_INPUTS'!B21</f>
        <v>#NAME?</v>
      </c>
      <c r="K159" s="27" t="e">
        <f t="shared" ca="1" si="12"/>
        <v>#NAME?</v>
      </c>
      <c r="L159" s="23" t="e">
        <f t="shared" ca="1" si="13"/>
        <v>#NAME?</v>
      </c>
      <c r="M159" s="23" t="e">
        <f t="shared" ca="1" si="14"/>
        <v>#NAME?</v>
      </c>
      <c r="N159" s="23" t="e">
        <f t="shared" ca="1" si="15"/>
        <v>#NAME?</v>
      </c>
      <c r="O159" s="27" t="e">
        <f t="shared" ca="1" si="16"/>
        <v>#NAME?</v>
      </c>
      <c r="P159" s="27" t="e">
        <f ca="1">'01_INPUTS'!B9*N159-K159</f>
        <v>#NAME?</v>
      </c>
      <c r="Q159" s="1" t="e">
        <f t="shared" ca="1" si="17"/>
        <v>#NAME?</v>
      </c>
      <c r="R159" s="28">
        <v>0.96031981823034585</v>
      </c>
      <c r="S159" s="28">
        <v>0.85697896708734334</v>
      </c>
      <c r="T159" s="28">
        <v>0.52626675576902926</v>
      </c>
      <c r="U159" s="28">
        <v>0.80846781749278307</v>
      </c>
      <c r="V159" s="28">
        <v>0.91666186926886439</v>
      </c>
      <c r="W159" s="28">
        <v>0.83523717732168734</v>
      </c>
      <c r="X159" s="28">
        <v>0.48191370046697557</v>
      </c>
    </row>
    <row r="160" spans="1:24" ht="13.9">
      <c r="A160" s="1">
        <v>159</v>
      </c>
      <c r="B160" s="23" t="e">
        <f ca="1">_xludf.BETA.INV(R160,'04_PSA_INPUTS'!H5,'04_PSA_INPUTS'!I5)</f>
        <v>#NAME?</v>
      </c>
      <c r="C160" s="23" t="e">
        <f ca="1">_xludf.BETA.INV(S160,'04_PSA_INPUTS'!H6,'04_PSA_INPUTS'!I6)</f>
        <v>#NAME?</v>
      </c>
      <c r="D160" s="27" t="e">
        <f ca="1">_xludf.GAMMA.INV(T160,'04_PSA_INPUTS'!H7,'04_PSA_INPUTS'!I7)</f>
        <v>#NAME?</v>
      </c>
      <c r="E160" s="27" t="e">
        <f ca="1">_xludf.GAMMA.INV(U160,'04_PSA_INPUTS'!H8,'04_PSA_INPUTS'!I8)</f>
        <v>#NAME?</v>
      </c>
      <c r="F160" s="27" t="e">
        <f ca="1">_xludf.GAMMA.INV(V160,'04_PSA_INPUTS'!H9,'04_PSA_INPUTS'!I9)</f>
        <v>#NAME?</v>
      </c>
      <c r="G160" s="23" t="e">
        <f ca="1">_xludf.BETA.INV(W160,'04_PSA_INPUTS'!H10,'04_PSA_INPUTS'!I10)</f>
        <v>#NAME?</v>
      </c>
      <c r="H160" s="23" t="e">
        <f ca="1">_xludf.BETA.INV(X160,'04_PSA_INPUTS'!H11,'04_PSA_INPUTS'!I11)</f>
        <v>#NAME?</v>
      </c>
      <c r="I160" s="27" t="e">
        <f ca="1">D160+B160*F160+'01_INPUTS'!B20</f>
        <v>#NAME?</v>
      </c>
      <c r="J160" s="27" t="e">
        <f ca="1">E160+C160*F160+'01_INPUTS'!B21</f>
        <v>#NAME?</v>
      </c>
      <c r="K160" s="27" t="e">
        <f t="shared" ca="1" si="12"/>
        <v>#NAME?</v>
      </c>
      <c r="L160" s="23" t="e">
        <f t="shared" ca="1" si="13"/>
        <v>#NAME?</v>
      </c>
      <c r="M160" s="23" t="e">
        <f t="shared" ca="1" si="14"/>
        <v>#NAME?</v>
      </c>
      <c r="N160" s="23" t="e">
        <f t="shared" ca="1" si="15"/>
        <v>#NAME?</v>
      </c>
      <c r="O160" s="27" t="e">
        <f t="shared" ca="1" si="16"/>
        <v>#NAME?</v>
      </c>
      <c r="P160" s="27" t="e">
        <f ca="1">'01_INPUTS'!B9*N160-K160</f>
        <v>#NAME?</v>
      </c>
      <c r="Q160" s="1" t="e">
        <f t="shared" ca="1" si="17"/>
        <v>#NAME?</v>
      </c>
      <c r="R160" s="28">
        <v>0.39898735960014164</v>
      </c>
      <c r="S160" s="28">
        <v>0.55578764551319182</v>
      </c>
      <c r="T160" s="28">
        <v>0.61037809425033629</v>
      </c>
      <c r="U160" s="28">
        <v>0.18453447846695781</v>
      </c>
      <c r="V160" s="28">
        <v>0.86425422644242644</v>
      </c>
      <c r="W160" s="28">
        <v>0.27294300775974989</v>
      </c>
      <c r="X160" s="28">
        <v>0.62108067120425403</v>
      </c>
    </row>
    <row r="161" spans="1:24" ht="13.9">
      <c r="A161" s="1">
        <v>160</v>
      </c>
      <c r="B161" s="23" t="e">
        <f ca="1">_xludf.BETA.INV(R161,'04_PSA_INPUTS'!H5,'04_PSA_INPUTS'!I5)</f>
        <v>#NAME?</v>
      </c>
      <c r="C161" s="23" t="e">
        <f ca="1">_xludf.BETA.INV(S161,'04_PSA_INPUTS'!H6,'04_PSA_INPUTS'!I6)</f>
        <v>#NAME?</v>
      </c>
      <c r="D161" s="27" t="e">
        <f ca="1">_xludf.GAMMA.INV(T161,'04_PSA_INPUTS'!H7,'04_PSA_INPUTS'!I7)</f>
        <v>#NAME?</v>
      </c>
      <c r="E161" s="27" t="e">
        <f ca="1">_xludf.GAMMA.INV(U161,'04_PSA_INPUTS'!H8,'04_PSA_INPUTS'!I8)</f>
        <v>#NAME?</v>
      </c>
      <c r="F161" s="27" t="e">
        <f ca="1">_xludf.GAMMA.INV(V161,'04_PSA_INPUTS'!H9,'04_PSA_INPUTS'!I9)</f>
        <v>#NAME?</v>
      </c>
      <c r="G161" s="23" t="e">
        <f ca="1">_xludf.BETA.INV(W161,'04_PSA_INPUTS'!H10,'04_PSA_INPUTS'!I10)</f>
        <v>#NAME?</v>
      </c>
      <c r="H161" s="23" t="e">
        <f ca="1">_xludf.BETA.INV(X161,'04_PSA_INPUTS'!H11,'04_PSA_INPUTS'!I11)</f>
        <v>#NAME?</v>
      </c>
      <c r="I161" s="27" t="e">
        <f ca="1">D161+B161*F161+'01_INPUTS'!B20</f>
        <v>#NAME?</v>
      </c>
      <c r="J161" s="27" t="e">
        <f ca="1">E161+C161*F161+'01_INPUTS'!B21</f>
        <v>#NAME?</v>
      </c>
      <c r="K161" s="27" t="e">
        <f t="shared" ca="1" si="12"/>
        <v>#NAME?</v>
      </c>
      <c r="L161" s="23" t="e">
        <f t="shared" ca="1" si="13"/>
        <v>#NAME?</v>
      </c>
      <c r="M161" s="23" t="e">
        <f t="shared" ca="1" si="14"/>
        <v>#NAME?</v>
      </c>
      <c r="N161" s="23" t="e">
        <f t="shared" ca="1" si="15"/>
        <v>#NAME?</v>
      </c>
      <c r="O161" s="27" t="e">
        <f t="shared" ca="1" si="16"/>
        <v>#NAME?</v>
      </c>
      <c r="P161" s="27" t="e">
        <f ca="1">'01_INPUTS'!B9*N161-K161</f>
        <v>#NAME?</v>
      </c>
      <c r="Q161" s="1" t="e">
        <f t="shared" ca="1" si="17"/>
        <v>#NAME?</v>
      </c>
      <c r="R161" s="28">
        <v>0.63630295521579683</v>
      </c>
      <c r="S161" s="28">
        <v>0.66303859069012105</v>
      </c>
      <c r="T161" s="28">
        <v>0.30892587453126907</v>
      </c>
      <c r="U161" s="28">
        <v>0.15455719572491944</v>
      </c>
      <c r="V161" s="28">
        <v>0.4182086072396487</v>
      </c>
      <c r="W161" s="28">
        <v>0.74383006850257516</v>
      </c>
      <c r="X161" s="28">
        <v>0.8794873277656734</v>
      </c>
    </row>
    <row r="162" spans="1:24" ht="13.9">
      <c r="A162" s="1">
        <v>161</v>
      </c>
      <c r="B162" s="23" t="e">
        <f ca="1">_xludf.BETA.INV(R162,'04_PSA_INPUTS'!H5,'04_PSA_INPUTS'!I5)</f>
        <v>#NAME?</v>
      </c>
      <c r="C162" s="23" t="e">
        <f ca="1">_xludf.BETA.INV(S162,'04_PSA_INPUTS'!H6,'04_PSA_INPUTS'!I6)</f>
        <v>#NAME?</v>
      </c>
      <c r="D162" s="27" t="e">
        <f ca="1">_xludf.GAMMA.INV(T162,'04_PSA_INPUTS'!H7,'04_PSA_INPUTS'!I7)</f>
        <v>#NAME?</v>
      </c>
      <c r="E162" s="27" t="e">
        <f ca="1">_xludf.GAMMA.INV(U162,'04_PSA_INPUTS'!H8,'04_PSA_INPUTS'!I8)</f>
        <v>#NAME?</v>
      </c>
      <c r="F162" s="27" t="e">
        <f ca="1">_xludf.GAMMA.INV(V162,'04_PSA_INPUTS'!H9,'04_PSA_INPUTS'!I9)</f>
        <v>#NAME?</v>
      </c>
      <c r="G162" s="23" t="e">
        <f ca="1">_xludf.BETA.INV(W162,'04_PSA_INPUTS'!H10,'04_PSA_INPUTS'!I10)</f>
        <v>#NAME?</v>
      </c>
      <c r="H162" s="23" t="e">
        <f ca="1">_xludf.BETA.INV(X162,'04_PSA_INPUTS'!H11,'04_PSA_INPUTS'!I11)</f>
        <v>#NAME?</v>
      </c>
      <c r="I162" s="27" t="e">
        <f ca="1">D162+B162*F162+'01_INPUTS'!B20</f>
        <v>#NAME?</v>
      </c>
      <c r="J162" s="27" t="e">
        <f ca="1">E162+C162*F162+'01_INPUTS'!B21</f>
        <v>#NAME?</v>
      </c>
      <c r="K162" s="27" t="e">
        <f t="shared" ca="1" si="12"/>
        <v>#NAME?</v>
      </c>
      <c r="L162" s="23" t="e">
        <f t="shared" ca="1" si="13"/>
        <v>#NAME?</v>
      </c>
      <c r="M162" s="23" t="e">
        <f t="shared" ca="1" si="14"/>
        <v>#NAME?</v>
      </c>
      <c r="N162" s="23" t="e">
        <f t="shared" ca="1" si="15"/>
        <v>#NAME?</v>
      </c>
      <c r="O162" s="27" t="e">
        <f t="shared" ca="1" si="16"/>
        <v>#NAME?</v>
      </c>
      <c r="P162" s="27" t="e">
        <f ca="1">'01_INPUTS'!B9*N162-K162</f>
        <v>#NAME?</v>
      </c>
      <c r="Q162" s="1" t="e">
        <f t="shared" ca="1" si="17"/>
        <v>#NAME?</v>
      </c>
      <c r="R162" s="28">
        <v>0.71278574713505805</v>
      </c>
      <c r="S162" s="28">
        <v>0.17619062610901892</v>
      </c>
      <c r="T162" s="28">
        <v>0.26329239760525525</v>
      </c>
      <c r="U162" s="28">
        <v>0.91766444523818791</v>
      </c>
      <c r="V162" s="28">
        <v>0.67835360392928123</v>
      </c>
      <c r="W162" s="28">
        <v>0.55034421104937792</v>
      </c>
      <c r="X162" s="28">
        <v>0.11950560309924185</v>
      </c>
    </row>
    <row r="163" spans="1:24" ht="13.9">
      <c r="A163" s="1">
        <v>162</v>
      </c>
      <c r="B163" s="23" t="e">
        <f ca="1">_xludf.BETA.INV(R163,'04_PSA_INPUTS'!H5,'04_PSA_INPUTS'!I5)</f>
        <v>#NAME?</v>
      </c>
      <c r="C163" s="23" t="e">
        <f ca="1">_xludf.BETA.INV(S163,'04_PSA_INPUTS'!H6,'04_PSA_INPUTS'!I6)</f>
        <v>#NAME?</v>
      </c>
      <c r="D163" s="27" t="e">
        <f ca="1">_xludf.GAMMA.INV(T163,'04_PSA_INPUTS'!H7,'04_PSA_INPUTS'!I7)</f>
        <v>#NAME?</v>
      </c>
      <c r="E163" s="27" t="e">
        <f ca="1">_xludf.GAMMA.INV(U163,'04_PSA_INPUTS'!H8,'04_PSA_INPUTS'!I8)</f>
        <v>#NAME?</v>
      </c>
      <c r="F163" s="27" t="e">
        <f ca="1">_xludf.GAMMA.INV(V163,'04_PSA_INPUTS'!H9,'04_PSA_INPUTS'!I9)</f>
        <v>#NAME?</v>
      </c>
      <c r="G163" s="23" t="e">
        <f ca="1">_xludf.BETA.INV(W163,'04_PSA_INPUTS'!H10,'04_PSA_INPUTS'!I10)</f>
        <v>#NAME?</v>
      </c>
      <c r="H163" s="23" t="e">
        <f ca="1">_xludf.BETA.INV(X163,'04_PSA_INPUTS'!H11,'04_PSA_INPUTS'!I11)</f>
        <v>#NAME?</v>
      </c>
      <c r="I163" s="27" t="e">
        <f ca="1">D163+B163*F163+'01_INPUTS'!B20</f>
        <v>#NAME?</v>
      </c>
      <c r="J163" s="27" t="e">
        <f ca="1">E163+C163*F163+'01_INPUTS'!B21</f>
        <v>#NAME?</v>
      </c>
      <c r="K163" s="27" t="e">
        <f t="shared" ca="1" si="12"/>
        <v>#NAME?</v>
      </c>
      <c r="L163" s="23" t="e">
        <f t="shared" ca="1" si="13"/>
        <v>#NAME?</v>
      </c>
      <c r="M163" s="23" t="e">
        <f t="shared" ca="1" si="14"/>
        <v>#NAME?</v>
      </c>
      <c r="N163" s="23" t="e">
        <f t="shared" ca="1" si="15"/>
        <v>#NAME?</v>
      </c>
      <c r="O163" s="27" t="e">
        <f t="shared" ca="1" si="16"/>
        <v>#NAME?</v>
      </c>
      <c r="P163" s="27" t="e">
        <f ca="1">'01_INPUTS'!B9*N163-K163</f>
        <v>#NAME?</v>
      </c>
      <c r="Q163" s="1" t="e">
        <f t="shared" ca="1" si="17"/>
        <v>#NAME?</v>
      </c>
      <c r="R163" s="28">
        <v>0.76002361881546676</v>
      </c>
      <c r="S163" s="28">
        <v>0.87508674710988998</v>
      </c>
      <c r="T163" s="28">
        <v>2.4443790782243013E-2</v>
      </c>
      <c r="U163" s="28">
        <v>0.84951543109491467</v>
      </c>
      <c r="V163" s="28">
        <v>0.63398514082655311</v>
      </c>
      <c r="W163" s="28">
        <v>4.2960888938978314E-2</v>
      </c>
      <c r="X163" s="28">
        <v>0.86985935713164508</v>
      </c>
    </row>
    <row r="164" spans="1:24" ht="13.9">
      <c r="A164" s="1">
        <v>163</v>
      </c>
      <c r="B164" s="23" t="e">
        <f ca="1">_xludf.BETA.INV(R164,'04_PSA_INPUTS'!H5,'04_PSA_INPUTS'!I5)</f>
        <v>#NAME?</v>
      </c>
      <c r="C164" s="23" t="e">
        <f ca="1">_xludf.BETA.INV(S164,'04_PSA_INPUTS'!H6,'04_PSA_INPUTS'!I6)</f>
        <v>#NAME?</v>
      </c>
      <c r="D164" s="27" t="e">
        <f ca="1">_xludf.GAMMA.INV(T164,'04_PSA_INPUTS'!H7,'04_PSA_INPUTS'!I7)</f>
        <v>#NAME?</v>
      </c>
      <c r="E164" s="27" t="e">
        <f ca="1">_xludf.GAMMA.INV(U164,'04_PSA_INPUTS'!H8,'04_PSA_INPUTS'!I8)</f>
        <v>#NAME?</v>
      </c>
      <c r="F164" s="27" t="e">
        <f ca="1">_xludf.GAMMA.INV(V164,'04_PSA_INPUTS'!H9,'04_PSA_INPUTS'!I9)</f>
        <v>#NAME?</v>
      </c>
      <c r="G164" s="23" t="e">
        <f ca="1">_xludf.BETA.INV(W164,'04_PSA_INPUTS'!H10,'04_PSA_INPUTS'!I10)</f>
        <v>#NAME?</v>
      </c>
      <c r="H164" s="23" t="e">
        <f ca="1">_xludf.BETA.INV(X164,'04_PSA_INPUTS'!H11,'04_PSA_INPUTS'!I11)</f>
        <v>#NAME?</v>
      </c>
      <c r="I164" s="27" t="e">
        <f ca="1">D164+B164*F164+'01_INPUTS'!B20</f>
        <v>#NAME?</v>
      </c>
      <c r="J164" s="27" t="e">
        <f ca="1">E164+C164*F164+'01_INPUTS'!B21</f>
        <v>#NAME?</v>
      </c>
      <c r="K164" s="27" t="e">
        <f t="shared" ca="1" si="12"/>
        <v>#NAME?</v>
      </c>
      <c r="L164" s="23" t="e">
        <f t="shared" ca="1" si="13"/>
        <v>#NAME?</v>
      </c>
      <c r="M164" s="23" t="e">
        <f t="shared" ca="1" si="14"/>
        <v>#NAME?</v>
      </c>
      <c r="N164" s="23" t="e">
        <f t="shared" ca="1" si="15"/>
        <v>#NAME?</v>
      </c>
      <c r="O164" s="27" t="e">
        <f t="shared" ca="1" si="16"/>
        <v>#NAME?</v>
      </c>
      <c r="P164" s="27" t="e">
        <f ca="1">'01_INPUTS'!B9*N164-K164</f>
        <v>#NAME?</v>
      </c>
      <c r="Q164" s="1" t="e">
        <f t="shared" ca="1" si="17"/>
        <v>#NAME?</v>
      </c>
      <c r="R164" s="28">
        <v>0.14049346768297255</v>
      </c>
      <c r="S164" s="28">
        <v>0.14508419996127486</v>
      </c>
      <c r="T164" s="28">
        <v>0.37151408172212541</v>
      </c>
      <c r="U164" s="28">
        <v>0.40533470269292593</v>
      </c>
      <c r="V164" s="28">
        <v>0.94635924207977951</v>
      </c>
      <c r="W164" s="28">
        <v>0.71744968416169286</v>
      </c>
      <c r="X164" s="28">
        <v>0.83615292981266975</v>
      </c>
    </row>
    <row r="165" spans="1:24" ht="13.9">
      <c r="A165" s="1">
        <v>164</v>
      </c>
      <c r="B165" s="23" t="e">
        <f ca="1">_xludf.BETA.INV(R165,'04_PSA_INPUTS'!H5,'04_PSA_INPUTS'!I5)</f>
        <v>#NAME?</v>
      </c>
      <c r="C165" s="23" t="e">
        <f ca="1">_xludf.BETA.INV(S165,'04_PSA_INPUTS'!H6,'04_PSA_INPUTS'!I6)</f>
        <v>#NAME?</v>
      </c>
      <c r="D165" s="27" t="e">
        <f ca="1">_xludf.GAMMA.INV(T165,'04_PSA_INPUTS'!H7,'04_PSA_INPUTS'!I7)</f>
        <v>#NAME?</v>
      </c>
      <c r="E165" s="27" t="e">
        <f ca="1">_xludf.GAMMA.INV(U165,'04_PSA_INPUTS'!H8,'04_PSA_INPUTS'!I8)</f>
        <v>#NAME?</v>
      </c>
      <c r="F165" s="27" t="e">
        <f ca="1">_xludf.GAMMA.INV(V165,'04_PSA_INPUTS'!H9,'04_PSA_INPUTS'!I9)</f>
        <v>#NAME?</v>
      </c>
      <c r="G165" s="23" t="e">
        <f ca="1">_xludf.BETA.INV(W165,'04_PSA_INPUTS'!H10,'04_PSA_INPUTS'!I10)</f>
        <v>#NAME?</v>
      </c>
      <c r="H165" s="23" t="e">
        <f ca="1">_xludf.BETA.INV(X165,'04_PSA_INPUTS'!H11,'04_PSA_INPUTS'!I11)</f>
        <v>#NAME?</v>
      </c>
      <c r="I165" s="27" t="e">
        <f ca="1">D165+B165*F165+'01_INPUTS'!B20</f>
        <v>#NAME?</v>
      </c>
      <c r="J165" s="27" t="e">
        <f ca="1">E165+C165*F165+'01_INPUTS'!B21</f>
        <v>#NAME?</v>
      </c>
      <c r="K165" s="27" t="e">
        <f t="shared" ca="1" si="12"/>
        <v>#NAME?</v>
      </c>
      <c r="L165" s="23" t="e">
        <f t="shared" ca="1" si="13"/>
        <v>#NAME?</v>
      </c>
      <c r="M165" s="23" t="e">
        <f t="shared" ca="1" si="14"/>
        <v>#NAME?</v>
      </c>
      <c r="N165" s="23" t="e">
        <f t="shared" ca="1" si="15"/>
        <v>#NAME?</v>
      </c>
      <c r="O165" s="27" t="e">
        <f t="shared" ca="1" si="16"/>
        <v>#NAME?</v>
      </c>
      <c r="P165" s="27" t="e">
        <f ca="1">'01_INPUTS'!B9*N165-K165</f>
        <v>#NAME?</v>
      </c>
      <c r="Q165" s="1" t="e">
        <f t="shared" ca="1" si="17"/>
        <v>#NAME?</v>
      </c>
      <c r="R165" s="28">
        <v>0.42798277013935149</v>
      </c>
      <c r="S165" s="28">
        <v>0.5864659717772156</v>
      </c>
      <c r="T165" s="28">
        <v>0.65331797301769257</v>
      </c>
      <c r="U165" s="28">
        <v>0.63101195683702826</v>
      </c>
      <c r="V165" s="28">
        <v>0.84625686262734234</v>
      </c>
      <c r="W165" s="28">
        <v>0.86964132869616151</v>
      </c>
      <c r="X165" s="28">
        <v>0.23999297083355486</v>
      </c>
    </row>
    <row r="166" spans="1:24" ht="13.9">
      <c r="A166" s="1">
        <v>165</v>
      </c>
      <c r="B166" s="23" t="e">
        <f ca="1">_xludf.BETA.INV(R166,'04_PSA_INPUTS'!H5,'04_PSA_INPUTS'!I5)</f>
        <v>#NAME?</v>
      </c>
      <c r="C166" s="23" t="e">
        <f ca="1">_xludf.BETA.INV(S166,'04_PSA_INPUTS'!H6,'04_PSA_INPUTS'!I6)</f>
        <v>#NAME?</v>
      </c>
      <c r="D166" s="27" t="e">
        <f ca="1">_xludf.GAMMA.INV(T166,'04_PSA_INPUTS'!H7,'04_PSA_INPUTS'!I7)</f>
        <v>#NAME?</v>
      </c>
      <c r="E166" s="27" t="e">
        <f ca="1">_xludf.GAMMA.INV(U166,'04_PSA_INPUTS'!H8,'04_PSA_INPUTS'!I8)</f>
        <v>#NAME?</v>
      </c>
      <c r="F166" s="27" t="e">
        <f ca="1">_xludf.GAMMA.INV(V166,'04_PSA_INPUTS'!H9,'04_PSA_INPUTS'!I9)</f>
        <v>#NAME?</v>
      </c>
      <c r="G166" s="23" t="e">
        <f ca="1">_xludf.BETA.INV(W166,'04_PSA_INPUTS'!H10,'04_PSA_INPUTS'!I10)</f>
        <v>#NAME?</v>
      </c>
      <c r="H166" s="23" t="e">
        <f ca="1">_xludf.BETA.INV(X166,'04_PSA_INPUTS'!H11,'04_PSA_INPUTS'!I11)</f>
        <v>#NAME?</v>
      </c>
      <c r="I166" s="27" t="e">
        <f ca="1">D166+B166*F166+'01_INPUTS'!B20</f>
        <v>#NAME?</v>
      </c>
      <c r="J166" s="27" t="e">
        <f ca="1">E166+C166*F166+'01_INPUTS'!B21</f>
        <v>#NAME?</v>
      </c>
      <c r="K166" s="27" t="e">
        <f t="shared" ca="1" si="12"/>
        <v>#NAME?</v>
      </c>
      <c r="L166" s="23" t="e">
        <f t="shared" ca="1" si="13"/>
        <v>#NAME?</v>
      </c>
      <c r="M166" s="23" t="e">
        <f t="shared" ca="1" si="14"/>
        <v>#NAME?</v>
      </c>
      <c r="N166" s="23" t="e">
        <f t="shared" ca="1" si="15"/>
        <v>#NAME?</v>
      </c>
      <c r="O166" s="27" t="e">
        <f t="shared" ca="1" si="16"/>
        <v>#NAME?</v>
      </c>
      <c r="P166" s="27" t="e">
        <f ca="1">'01_INPUTS'!B9*N166-K166</f>
        <v>#NAME?</v>
      </c>
      <c r="Q166" s="1" t="e">
        <f t="shared" ca="1" si="17"/>
        <v>#NAME?</v>
      </c>
      <c r="R166" s="28">
        <v>0.39377417764626443</v>
      </c>
      <c r="S166" s="28">
        <v>7.0264712208881974E-2</v>
      </c>
      <c r="T166" s="28">
        <v>0.24508095439523458</v>
      </c>
      <c r="U166" s="28">
        <v>0.19231388717889786</v>
      </c>
      <c r="V166" s="28">
        <v>7.0825347909703851E-2</v>
      </c>
      <c r="W166" s="28">
        <v>0.73832425358705223</v>
      </c>
      <c r="X166" s="28">
        <v>4.7187030781060457E-2</v>
      </c>
    </row>
    <row r="167" spans="1:24" ht="13.9">
      <c r="A167" s="1">
        <v>166</v>
      </c>
      <c r="B167" s="23" t="e">
        <f ca="1">_xludf.BETA.INV(R167,'04_PSA_INPUTS'!H5,'04_PSA_INPUTS'!I5)</f>
        <v>#NAME?</v>
      </c>
      <c r="C167" s="23" t="e">
        <f ca="1">_xludf.BETA.INV(S167,'04_PSA_INPUTS'!H6,'04_PSA_INPUTS'!I6)</f>
        <v>#NAME?</v>
      </c>
      <c r="D167" s="27" t="e">
        <f ca="1">_xludf.GAMMA.INV(T167,'04_PSA_INPUTS'!H7,'04_PSA_INPUTS'!I7)</f>
        <v>#NAME?</v>
      </c>
      <c r="E167" s="27" t="e">
        <f ca="1">_xludf.GAMMA.INV(U167,'04_PSA_INPUTS'!H8,'04_PSA_INPUTS'!I8)</f>
        <v>#NAME?</v>
      </c>
      <c r="F167" s="27" t="e">
        <f ca="1">_xludf.GAMMA.INV(V167,'04_PSA_INPUTS'!H9,'04_PSA_INPUTS'!I9)</f>
        <v>#NAME?</v>
      </c>
      <c r="G167" s="23" t="e">
        <f ca="1">_xludf.BETA.INV(W167,'04_PSA_INPUTS'!H10,'04_PSA_INPUTS'!I10)</f>
        <v>#NAME?</v>
      </c>
      <c r="H167" s="23" t="e">
        <f ca="1">_xludf.BETA.INV(X167,'04_PSA_INPUTS'!H11,'04_PSA_INPUTS'!I11)</f>
        <v>#NAME?</v>
      </c>
      <c r="I167" s="27" t="e">
        <f ca="1">D167+B167*F167+'01_INPUTS'!B20</f>
        <v>#NAME?</v>
      </c>
      <c r="J167" s="27" t="e">
        <f ca="1">E167+C167*F167+'01_INPUTS'!B21</f>
        <v>#NAME?</v>
      </c>
      <c r="K167" s="27" t="e">
        <f t="shared" ca="1" si="12"/>
        <v>#NAME?</v>
      </c>
      <c r="L167" s="23" t="e">
        <f t="shared" ca="1" si="13"/>
        <v>#NAME?</v>
      </c>
      <c r="M167" s="23" t="e">
        <f t="shared" ca="1" si="14"/>
        <v>#NAME?</v>
      </c>
      <c r="N167" s="23" t="e">
        <f t="shared" ca="1" si="15"/>
        <v>#NAME?</v>
      </c>
      <c r="O167" s="27" t="e">
        <f t="shared" ca="1" si="16"/>
        <v>#NAME?</v>
      </c>
      <c r="P167" s="27" t="e">
        <f ca="1">'01_INPUTS'!B9*N167-K167</f>
        <v>#NAME?</v>
      </c>
      <c r="Q167" s="1" t="e">
        <f t="shared" ca="1" si="17"/>
        <v>#NAME?</v>
      </c>
      <c r="R167" s="28">
        <v>8.7453959742560983E-2</v>
      </c>
      <c r="S167" s="28">
        <v>0.72425145073793828</v>
      </c>
      <c r="T167" s="28">
        <v>0.76399553404189646</v>
      </c>
      <c r="U167" s="28">
        <v>0.56445447658188641</v>
      </c>
      <c r="V167" s="28">
        <v>0.47553855017758906</v>
      </c>
      <c r="W167" s="28">
        <v>0.50144360470585525</v>
      </c>
      <c r="X167" s="28">
        <v>2.6005274849012494E-2</v>
      </c>
    </row>
    <row r="168" spans="1:24" ht="13.9">
      <c r="A168" s="1">
        <v>167</v>
      </c>
      <c r="B168" s="23" t="e">
        <f ca="1">_xludf.BETA.INV(R168,'04_PSA_INPUTS'!H5,'04_PSA_INPUTS'!I5)</f>
        <v>#NAME?</v>
      </c>
      <c r="C168" s="23" t="e">
        <f ca="1">_xludf.BETA.INV(S168,'04_PSA_INPUTS'!H6,'04_PSA_INPUTS'!I6)</f>
        <v>#NAME?</v>
      </c>
      <c r="D168" s="27" t="e">
        <f ca="1">_xludf.GAMMA.INV(T168,'04_PSA_INPUTS'!H7,'04_PSA_INPUTS'!I7)</f>
        <v>#NAME?</v>
      </c>
      <c r="E168" s="27" t="e">
        <f ca="1">_xludf.GAMMA.INV(U168,'04_PSA_INPUTS'!H8,'04_PSA_INPUTS'!I8)</f>
        <v>#NAME?</v>
      </c>
      <c r="F168" s="27" t="e">
        <f ca="1">_xludf.GAMMA.INV(V168,'04_PSA_INPUTS'!H9,'04_PSA_INPUTS'!I9)</f>
        <v>#NAME?</v>
      </c>
      <c r="G168" s="23" t="e">
        <f ca="1">_xludf.BETA.INV(W168,'04_PSA_INPUTS'!H10,'04_PSA_INPUTS'!I10)</f>
        <v>#NAME?</v>
      </c>
      <c r="H168" s="23" t="e">
        <f ca="1">_xludf.BETA.INV(X168,'04_PSA_INPUTS'!H11,'04_PSA_INPUTS'!I11)</f>
        <v>#NAME?</v>
      </c>
      <c r="I168" s="27" t="e">
        <f ca="1">D168+B168*F168+'01_INPUTS'!B20</f>
        <v>#NAME?</v>
      </c>
      <c r="J168" s="27" t="e">
        <f ca="1">E168+C168*F168+'01_INPUTS'!B21</f>
        <v>#NAME?</v>
      </c>
      <c r="K168" s="27" t="e">
        <f t="shared" ca="1" si="12"/>
        <v>#NAME?</v>
      </c>
      <c r="L168" s="23" t="e">
        <f t="shared" ca="1" si="13"/>
        <v>#NAME?</v>
      </c>
      <c r="M168" s="23" t="e">
        <f t="shared" ca="1" si="14"/>
        <v>#NAME?</v>
      </c>
      <c r="N168" s="23" t="e">
        <f t="shared" ca="1" si="15"/>
        <v>#NAME?</v>
      </c>
      <c r="O168" s="27" t="e">
        <f t="shared" ca="1" si="16"/>
        <v>#NAME?</v>
      </c>
      <c r="P168" s="27" t="e">
        <f ca="1">'01_INPUTS'!B9*N168-K168</f>
        <v>#NAME?</v>
      </c>
      <c r="Q168" s="1" t="e">
        <f t="shared" ca="1" si="17"/>
        <v>#NAME?</v>
      </c>
      <c r="R168" s="28">
        <v>0.90066073345951736</v>
      </c>
      <c r="S168" s="28">
        <v>0.76346384105272591</v>
      </c>
      <c r="T168" s="28">
        <v>0.84246122953481972</v>
      </c>
      <c r="U168" s="28">
        <v>0.29746715794317424</v>
      </c>
      <c r="V168" s="28">
        <v>0.69533526920713484</v>
      </c>
      <c r="W168" s="28">
        <v>0.3212940632365644</v>
      </c>
      <c r="X168" s="28">
        <v>8.4841469535604119E-2</v>
      </c>
    </row>
    <row r="169" spans="1:24" ht="13.9">
      <c r="A169" s="1">
        <v>168</v>
      </c>
      <c r="B169" s="23" t="e">
        <f ca="1">_xludf.BETA.INV(R169,'04_PSA_INPUTS'!H5,'04_PSA_INPUTS'!I5)</f>
        <v>#NAME?</v>
      </c>
      <c r="C169" s="23" t="e">
        <f ca="1">_xludf.BETA.INV(S169,'04_PSA_INPUTS'!H6,'04_PSA_INPUTS'!I6)</f>
        <v>#NAME?</v>
      </c>
      <c r="D169" s="27" t="e">
        <f ca="1">_xludf.GAMMA.INV(T169,'04_PSA_INPUTS'!H7,'04_PSA_INPUTS'!I7)</f>
        <v>#NAME?</v>
      </c>
      <c r="E169" s="27" t="e">
        <f ca="1">_xludf.GAMMA.INV(U169,'04_PSA_INPUTS'!H8,'04_PSA_INPUTS'!I8)</f>
        <v>#NAME?</v>
      </c>
      <c r="F169" s="27" t="e">
        <f ca="1">_xludf.GAMMA.INV(V169,'04_PSA_INPUTS'!H9,'04_PSA_INPUTS'!I9)</f>
        <v>#NAME?</v>
      </c>
      <c r="G169" s="23" t="e">
        <f ca="1">_xludf.BETA.INV(W169,'04_PSA_INPUTS'!H10,'04_PSA_INPUTS'!I10)</f>
        <v>#NAME?</v>
      </c>
      <c r="H169" s="23" t="e">
        <f ca="1">_xludf.BETA.INV(X169,'04_PSA_INPUTS'!H11,'04_PSA_INPUTS'!I11)</f>
        <v>#NAME?</v>
      </c>
      <c r="I169" s="27" t="e">
        <f ca="1">D169+B169*F169+'01_INPUTS'!B20</f>
        <v>#NAME?</v>
      </c>
      <c r="J169" s="27" t="e">
        <f ca="1">E169+C169*F169+'01_INPUTS'!B21</f>
        <v>#NAME?</v>
      </c>
      <c r="K169" s="27" t="e">
        <f t="shared" ca="1" si="12"/>
        <v>#NAME?</v>
      </c>
      <c r="L169" s="23" t="e">
        <f t="shared" ca="1" si="13"/>
        <v>#NAME?</v>
      </c>
      <c r="M169" s="23" t="e">
        <f t="shared" ca="1" si="14"/>
        <v>#NAME?</v>
      </c>
      <c r="N169" s="23" t="e">
        <f t="shared" ca="1" si="15"/>
        <v>#NAME?</v>
      </c>
      <c r="O169" s="27" t="e">
        <f t="shared" ca="1" si="16"/>
        <v>#NAME?</v>
      </c>
      <c r="P169" s="27" t="e">
        <f ca="1">'01_INPUTS'!B9*N169-K169</f>
        <v>#NAME?</v>
      </c>
      <c r="Q169" s="1" t="e">
        <f t="shared" ca="1" si="17"/>
        <v>#NAME?</v>
      </c>
      <c r="R169" s="28">
        <v>0.72638047230429947</v>
      </c>
      <c r="S169" s="28">
        <v>0.33766316878609359</v>
      </c>
      <c r="T169" s="28">
        <v>0.59628672525286674</v>
      </c>
      <c r="U169" s="28">
        <v>0.96052512503229082</v>
      </c>
      <c r="V169" s="28">
        <v>0.71343500632792711</v>
      </c>
      <c r="W169" s="28">
        <v>0.37179820984601974</v>
      </c>
      <c r="X169" s="28">
        <v>0.18952277209609747</v>
      </c>
    </row>
    <row r="170" spans="1:24" ht="13.9">
      <c r="A170" s="1">
        <v>169</v>
      </c>
      <c r="B170" s="23" t="e">
        <f ca="1">_xludf.BETA.INV(R170,'04_PSA_INPUTS'!H5,'04_PSA_INPUTS'!I5)</f>
        <v>#NAME?</v>
      </c>
      <c r="C170" s="23" t="e">
        <f ca="1">_xludf.BETA.INV(S170,'04_PSA_INPUTS'!H6,'04_PSA_INPUTS'!I6)</f>
        <v>#NAME?</v>
      </c>
      <c r="D170" s="27" t="e">
        <f ca="1">_xludf.GAMMA.INV(T170,'04_PSA_INPUTS'!H7,'04_PSA_INPUTS'!I7)</f>
        <v>#NAME?</v>
      </c>
      <c r="E170" s="27" t="e">
        <f ca="1">_xludf.GAMMA.INV(U170,'04_PSA_INPUTS'!H8,'04_PSA_INPUTS'!I8)</f>
        <v>#NAME?</v>
      </c>
      <c r="F170" s="27" t="e">
        <f ca="1">_xludf.GAMMA.INV(V170,'04_PSA_INPUTS'!H9,'04_PSA_INPUTS'!I9)</f>
        <v>#NAME?</v>
      </c>
      <c r="G170" s="23" t="e">
        <f ca="1">_xludf.BETA.INV(W170,'04_PSA_INPUTS'!H10,'04_PSA_INPUTS'!I10)</f>
        <v>#NAME?</v>
      </c>
      <c r="H170" s="23" t="e">
        <f ca="1">_xludf.BETA.INV(X170,'04_PSA_INPUTS'!H11,'04_PSA_INPUTS'!I11)</f>
        <v>#NAME?</v>
      </c>
      <c r="I170" s="27" t="e">
        <f ca="1">D170+B170*F170+'01_INPUTS'!B20</f>
        <v>#NAME?</v>
      </c>
      <c r="J170" s="27" t="e">
        <f ca="1">E170+C170*F170+'01_INPUTS'!B21</f>
        <v>#NAME?</v>
      </c>
      <c r="K170" s="27" t="e">
        <f t="shared" ca="1" si="12"/>
        <v>#NAME?</v>
      </c>
      <c r="L170" s="23" t="e">
        <f t="shared" ca="1" si="13"/>
        <v>#NAME?</v>
      </c>
      <c r="M170" s="23" t="e">
        <f t="shared" ca="1" si="14"/>
        <v>#NAME?</v>
      </c>
      <c r="N170" s="23" t="e">
        <f t="shared" ca="1" si="15"/>
        <v>#NAME?</v>
      </c>
      <c r="O170" s="27" t="e">
        <f t="shared" ca="1" si="16"/>
        <v>#NAME?</v>
      </c>
      <c r="P170" s="27" t="e">
        <f ca="1">'01_INPUTS'!B9*N170-K170</f>
        <v>#NAME?</v>
      </c>
      <c r="Q170" s="1" t="e">
        <f t="shared" ca="1" si="17"/>
        <v>#NAME?</v>
      </c>
      <c r="R170" s="28">
        <v>0.80607617576606572</v>
      </c>
      <c r="S170" s="28">
        <v>0.23957326170057058</v>
      </c>
      <c r="T170" s="28">
        <v>0.71635337802581489</v>
      </c>
      <c r="U170" s="28">
        <v>0.99544718838296831</v>
      </c>
      <c r="V170" s="28">
        <v>7.9504119465127587E-2</v>
      </c>
      <c r="W170" s="28">
        <v>0.60977021744474769</v>
      </c>
      <c r="X170" s="28">
        <v>0.30300853215157986</v>
      </c>
    </row>
    <row r="171" spans="1:24" ht="13.9">
      <c r="A171" s="1">
        <v>170</v>
      </c>
      <c r="B171" s="23" t="e">
        <f ca="1">_xludf.BETA.INV(R171,'04_PSA_INPUTS'!H5,'04_PSA_INPUTS'!I5)</f>
        <v>#NAME?</v>
      </c>
      <c r="C171" s="23" t="e">
        <f ca="1">_xludf.BETA.INV(S171,'04_PSA_INPUTS'!H6,'04_PSA_INPUTS'!I6)</f>
        <v>#NAME?</v>
      </c>
      <c r="D171" s="27" t="e">
        <f ca="1">_xludf.GAMMA.INV(T171,'04_PSA_INPUTS'!H7,'04_PSA_INPUTS'!I7)</f>
        <v>#NAME?</v>
      </c>
      <c r="E171" s="27" t="e">
        <f ca="1">_xludf.GAMMA.INV(U171,'04_PSA_INPUTS'!H8,'04_PSA_INPUTS'!I8)</f>
        <v>#NAME?</v>
      </c>
      <c r="F171" s="27" t="e">
        <f ca="1">_xludf.GAMMA.INV(V171,'04_PSA_INPUTS'!H9,'04_PSA_INPUTS'!I9)</f>
        <v>#NAME?</v>
      </c>
      <c r="G171" s="23" t="e">
        <f ca="1">_xludf.BETA.INV(W171,'04_PSA_INPUTS'!H10,'04_PSA_INPUTS'!I10)</f>
        <v>#NAME?</v>
      </c>
      <c r="H171" s="23" t="e">
        <f ca="1">_xludf.BETA.INV(X171,'04_PSA_INPUTS'!H11,'04_PSA_INPUTS'!I11)</f>
        <v>#NAME?</v>
      </c>
      <c r="I171" s="27" t="e">
        <f ca="1">D171+B171*F171+'01_INPUTS'!B20</f>
        <v>#NAME?</v>
      </c>
      <c r="J171" s="27" t="e">
        <f ca="1">E171+C171*F171+'01_INPUTS'!B21</f>
        <v>#NAME?</v>
      </c>
      <c r="K171" s="27" t="e">
        <f t="shared" ca="1" si="12"/>
        <v>#NAME?</v>
      </c>
      <c r="L171" s="23" t="e">
        <f t="shared" ca="1" si="13"/>
        <v>#NAME?</v>
      </c>
      <c r="M171" s="23" t="e">
        <f t="shared" ca="1" si="14"/>
        <v>#NAME?</v>
      </c>
      <c r="N171" s="23" t="e">
        <f t="shared" ca="1" si="15"/>
        <v>#NAME?</v>
      </c>
      <c r="O171" s="27" t="e">
        <f t="shared" ca="1" si="16"/>
        <v>#NAME?</v>
      </c>
      <c r="P171" s="27" t="e">
        <f ca="1">'01_INPUTS'!B9*N171-K171</f>
        <v>#NAME?</v>
      </c>
      <c r="Q171" s="1" t="e">
        <f t="shared" ca="1" si="17"/>
        <v>#NAME?</v>
      </c>
      <c r="R171" s="28">
        <v>0.70790390088222921</v>
      </c>
      <c r="S171" s="28">
        <v>0.89084199629724026</v>
      </c>
      <c r="T171" s="28">
        <v>0.39048178284429014</v>
      </c>
      <c r="U171" s="28">
        <v>0.13562339078634977</v>
      </c>
      <c r="V171" s="28">
        <v>0.32289063488133252</v>
      </c>
      <c r="W171" s="28">
        <v>0.11164987925440073</v>
      </c>
      <c r="X171" s="28">
        <v>0.6345059173181653</v>
      </c>
    </row>
    <row r="172" spans="1:24" ht="13.9">
      <c r="A172" s="1">
        <v>171</v>
      </c>
      <c r="B172" s="23" t="e">
        <f ca="1">_xludf.BETA.INV(R172,'04_PSA_INPUTS'!H5,'04_PSA_INPUTS'!I5)</f>
        <v>#NAME?</v>
      </c>
      <c r="C172" s="23" t="e">
        <f ca="1">_xludf.BETA.INV(S172,'04_PSA_INPUTS'!H6,'04_PSA_INPUTS'!I6)</f>
        <v>#NAME?</v>
      </c>
      <c r="D172" s="27" t="e">
        <f ca="1">_xludf.GAMMA.INV(T172,'04_PSA_INPUTS'!H7,'04_PSA_INPUTS'!I7)</f>
        <v>#NAME?</v>
      </c>
      <c r="E172" s="27" t="e">
        <f ca="1">_xludf.GAMMA.INV(U172,'04_PSA_INPUTS'!H8,'04_PSA_INPUTS'!I8)</f>
        <v>#NAME?</v>
      </c>
      <c r="F172" s="27" t="e">
        <f ca="1">_xludf.GAMMA.INV(V172,'04_PSA_INPUTS'!H9,'04_PSA_INPUTS'!I9)</f>
        <v>#NAME?</v>
      </c>
      <c r="G172" s="23" t="e">
        <f ca="1">_xludf.BETA.INV(W172,'04_PSA_INPUTS'!H10,'04_PSA_INPUTS'!I10)</f>
        <v>#NAME?</v>
      </c>
      <c r="H172" s="23" t="e">
        <f ca="1">_xludf.BETA.INV(X172,'04_PSA_INPUTS'!H11,'04_PSA_INPUTS'!I11)</f>
        <v>#NAME?</v>
      </c>
      <c r="I172" s="27" t="e">
        <f ca="1">D172+B172*F172+'01_INPUTS'!B20</f>
        <v>#NAME?</v>
      </c>
      <c r="J172" s="27" t="e">
        <f ca="1">E172+C172*F172+'01_INPUTS'!B21</f>
        <v>#NAME?</v>
      </c>
      <c r="K172" s="27" t="e">
        <f t="shared" ca="1" si="12"/>
        <v>#NAME?</v>
      </c>
      <c r="L172" s="23" t="e">
        <f t="shared" ca="1" si="13"/>
        <v>#NAME?</v>
      </c>
      <c r="M172" s="23" t="e">
        <f t="shared" ca="1" si="14"/>
        <v>#NAME?</v>
      </c>
      <c r="N172" s="23" t="e">
        <f t="shared" ca="1" si="15"/>
        <v>#NAME?</v>
      </c>
      <c r="O172" s="27" t="e">
        <f t="shared" ca="1" si="16"/>
        <v>#NAME?</v>
      </c>
      <c r="P172" s="27" t="e">
        <f ca="1">'01_INPUTS'!B9*N172-K172</f>
        <v>#NAME?</v>
      </c>
      <c r="Q172" s="1" t="e">
        <f t="shared" ca="1" si="17"/>
        <v>#NAME?</v>
      </c>
      <c r="R172" s="28">
        <v>0.64591654529795051</v>
      </c>
      <c r="S172" s="28">
        <v>0.80588023271411657</v>
      </c>
      <c r="T172" s="28">
        <v>0.78559979237616062</v>
      </c>
      <c r="U172" s="28">
        <v>0.51073830761015415</v>
      </c>
      <c r="V172" s="28">
        <v>0.70440993481315672</v>
      </c>
      <c r="W172" s="28">
        <v>0.97264520288445055</v>
      </c>
      <c r="X172" s="28">
        <v>0.30621767160482705</v>
      </c>
    </row>
    <row r="173" spans="1:24" ht="13.9">
      <c r="A173" s="1">
        <v>172</v>
      </c>
      <c r="B173" s="23" t="e">
        <f ca="1">_xludf.BETA.INV(R173,'04_PSA_INPUTS'!H5,'04_PSA_INPUTS'!I5)</f>
        <v>#NAME?</v>
      </c>
      <c r="C173" s="23" t="e">
        <f ca="1">_xludf.BETA.INV(S173,'04_PSA_INPUTS'!H6,'04_PSA_INPUTS'!I6)</f>
        <v>#NAME?</v>
      </c>
      <c r="D173" s="27" t="e">
        <f ca="1">_xludf.GAMMA.INV(T173,'04_PSA_INPUTS'!H7,'04_PSA_INPUTS'!I7)</f>
        <v>#NAME?</v>
      </c>
      <c r="E173" s="27" t="e">
        <f ca="1">_xludf.GAMMA.INV(U173,'04_PSA_INPUTS'!H8,'04_PSA_INPUTS'!I8)</f>
        <v>#NAME?</v>
      </c>
      <c r="F173" s="27" t="e">
        <f ca="1">_xludf.GAMMA.INV(V173,'04_PSA_INPUTS'!H9,'04_PSA_INPUTS'!I9)</f>
        <v>#NAME?</v>
      </c>
      <c r="G173" s="23" t="e">
        <f ca="1">_xludf.BETA.INV(W173,'04_PSA_INPUTS'!H10,'04_PSA_INPUTS'!I10)</f>
        <v>#NAME?</v>
      </c>
      <c r="H173" s="23" t="e">
        <f ca="1">_xludf.BETA.INV(X173,'04_PSA_INPUTS'!H11,'04_PSA_INPUTS'!I11)</f>
        <v>#NAME?</v>
      </c>
      <c r="I173" s="27" t="e">
        <f ca="1">D173+B173*F173+'01_INPUTS'!B20</f>
        <v>#NAME?</v>
      </c>
      <c r="J173" s="27" t="e">
        <f ca="1">E173+C173*F173+'01_INPUTS'!B21</f>
        <v>#NAME?</v>
      </c>
      <c r="K173" s="27" t="e">
        <f t="shared" ca="1" si="12"/>
        <v>#NAME?</v>
      </c>
      <c r="L173" s="23" t="e">
        <f t="shared" ca="1" si="13"/>
        <v>#NAME?</v>
      </c>
      <c r="M173" s="23" t="e">
        <f t="shared" ca="1" si="14"/>
        <v>#NAME?</v>
      </c>
      <c r="N173" s="23" t="e">
        <f t="shared" ca="1" si="15"/>
        <v>#NAME?</v>
      </c>
      <c r="O173" s="27" t="e">
        <f t="shared" ca="1" si="16"/>
        <v>#NAME?</v>
      </c>
      <c r="P173" s="27" t="e">
        <f ca="1">'01_INPUTS'!B9*N173-K173</f>
        <v>#NAME?</v>
      </c>
      <c r="Q173" s="1" t="e">
        <f t="shared" ca="1" si="17"/>
        <v>#NAME?</v>
      </c>
      <c r="R173" s="28">
        <v>0.99345748801715672</v>
      </c>
      <c r="S173" s="28">
        <v>0.32726215315051377</v>
      </c>
      <c r="T173" s="28">
        <v>0.11924416618421674</v>
      </c>
      <c r="U173" s="28">
        <v>0.43332647019997239</v>
      </c>
      <c r="V173" s="28">
        <v>0.68687228253111243</v>
      </c>
      <c r="W173" s="28">
        <v>0.84769638953730464</v>
      </c>
      <c r="X173" s="28">
        <v>0.72671155980788171</v>
      </c>
    </row>
    <row r="174" spans="1:24" ht="13.9">
      <c r="A174" s="1">
        <v>173</v>
      </c>
      <c r="B174" s="23" t="e">
        <f ca="1">_xludf.BETA.INV(R174,'04_PSA_INPUTS'!H5,'04_PSA_INPUTS'!I5)</f>
        <v>#NAME?</v>
      </c>
      <c r="C174" s="23" t="e">
        <f ca="1">_xludf.BETA.INV(S174,'04_PSA_INPUTS'!H6,'04_PSA_INPUTS'!I6)</f>
        <v>#NAME?</v>
      </c>
      <c r="D174" s="27" t="e">
        <f ca="1">_xludf.GAMMA.INV(T174,'04_PSA_INPUTS'!H7,'04_PSA_INPUTS'!I7)</f>
        <v>#NAME?</v>
      </c>
      <c r="E174" s="27" t="e">
        <f ca="1">_xludf.GAMMA.INV(U174,'04_PSA_INPUTS'!H8,'04_PSA_INPUTS'!I8)</f>
        <v>#NAME?</v>
      </c>
      <c r="F174" s="27" t="e">
        <f ca="1">_xludf.GAMMA.INV(V174,'04_PSA_INPUTS'!H9,'04_PSA_INPUTS'!I9)</f>
        <v>#NAME?</v>
      </c>
      <c r="G174" s="23" t="e">
        <f ca="1">_xludf.BETA.INV(W174,'04_PSA_INPUTS'!H10,'04_PSA_INPUTS'!I10)</f>
        <v>#NAME?</v>
      </c>
      <c r="H174" s="23" t="e">
        <f ca="1">_xludf.BETA.INV(X174,'04_PSA_INPUTS'!H11,'04_PSA_INPUTS'!I11)</f>
        <v>#NAME?</v>
      </c>
      <c r="I174" s="27" t="e">
        <f ca="1">D174+B174*F174+'01_INPUTS'!B20</f>
        <v>#NAME?</v>
      </c>
      <c r="J174" s="27" t="e">
        <f ca="1">E174+C174*F174+'01_INPUTS'!B21</f>
        <v>#NAME?</v>
      </c>
      <c r="K174" s="27" t="e">
        <f t="shared" ca="1" si="12"/>
        <v>#NAME?</v>
      </c>
      <c r="L174" s="23" t="e">
        <f t="shared" ca="1" si="13"/>
        <v>#NAME?</v>
      </c>
      <c r="M174" s="23" t="e">
        <f t="shared" ca="1" si="14"/>
        <v>#NAME?</v>
      </c>
      <c r="N174" s="23" t="e">
        <f t="shared" ca="1" si="15"/>
        <v>#NAME?</v>
      </c>
      <c r="O174" s="27" t="e">
        <f t="shared" ca="1" si="16"/>
        <v>#NAME?</v>
      </c>
      <c r="P174" s="27" t="e">
        <f ca="1">'01_INPUTS'!B9*N174-K174</f>
        <v>#NAME?</v>
      </c>
      <c r="Q174" s="1" t="e">
        <f t="shared" ca="1" si="17"/>
        <v>#NAME?</v>
      </c>
      <c r="R174" s="28">
        <v>0.38575519504956901</v>
      </c>
      <c r="S174" s="28">
        <v>0.32707424950785935</v>
      </c>
      <c r="T174" s="28">
        <v>7.5895888730883598E-2</v>
      </c>
      <c r="U174" s="28">
        <v>0.8222936240490526</v>
      </c>
      <c r="V174" s="28">
        <v>0.56475568772293627</v>
      </c>
      <c r="W174" s="28">
        <v>0.77041241433471441</v>
      </c>
      <c r="X174" s="28">
        <v>0.19830554630607367</v>
      </c>
    </row>
    <row r="175" spans="1:24" ht="13.9">
      <c r="A175" s="1">
        <v>174</v>
      </c>
      <c r="B175" s="23" t="e">
        <f ca="1">_xludf.BETA.INV(R175,'04_PSA_INPUTS'!H5,'04_PSA_INPUTS'!I5)</f>
        <v>#NAME?</v>
      </c>
      <c r="C175" s="23" t="e">
        <f ca="1">_xludf.BETA.INV(S175,'04_PSA_INPUTS'!H6,'04_PSA_INPUTS'!I6)</f>
        <v>#NAME?</v>
      </c>
      <c r="D175" s="27" t="e">
        <f ca="1">_xludf.GAMMA.INV(T175,'04_PSA_INPUTS'!H7,'04_PSA_INPUTS'!I7)</f>
        <v>#NAME?</v>
      </c>
      <c r="E175" s="27" t="e">
        <f ca="1">_xludf.GAMMA.INV(U175,'04_PSA_INPUTS'!H8,'04_PSA_INPUTS'!I8)</f>
        <v>#NAME?</v>
      </c>
      <c r="F175" s="27" t="e">
        <f ca="1">_xludf.GAMMA.INV(V175,'04_PSA_INPUTS'!H9,'04_PSA_INPUTS'!I9)</f>
        <v>#NAME?</v>
      </c>
      <c r="G175" s="23" t="e">
        <f ca="1">_xludf.BETA.INV(W175,'04_PSA_INPUTS'!H10,'04_PSA_INPUTS'!I10)</f>
        <v>#NAME?</v>
      </c>
      <c r="H175" s="23" t="e">
        <f ca="1">_xludf.BETA.INV(X175,'04_PSA_INPUTS'!H11,'04_PSA_INPUTS'!I11)</f>
        <v>#NAME?</v>
      </c>
      <c r="I175" s="27" t="e">
        <f ca="1">D175+B175*F175+'01_INPUTS'!B20</f>
        <v>#NAME?</v>
      </c>
      <c r="J175" s="27" t="e">
        <f ca="1">E175+C175*F175+'01_INPUTS'!B21</f>
        <v>#NAME?</v>
      </c>
      <c r="K175" s="27" t="e">
        <f t="shared" ca="1" si="12"/>
        <v>#NAME?</v>
      </c>
      <c r="L175" s="23" t="e">
        <f t="shared" ca="1" si="13"/>
        <v>#NAME?</v>
      </c>
      <c r="M175" s="23" t="e">
        <f t="shared" ca="1" si="14"/>
        <v>#NAME?</v>
      </c>
      <c r="N175" s="23" t="e">
        <f t="shared" ca="1" si="15"/>
        <v>#NAME?</v>
      </c>
      <c r="O175" s="27" t="e">
        <f t="shared" ca="1" si="16"/>
        <v>#NAME?</v>
      </c>
      <c r="P175" s="27" t="e">
        <f ca="1">'01_INPUTS'!B9*N175-K175</f>
        <v>#NAME?</v>
      </c>
      <c r="Q175" s="1" t="e">
        <f t="shared" ca="1" si="17"/>
        <v>#NAME?</v>
      </c>
      <c r="R175" s="28">
        <v>0.83143972093239427</v>
      </c>
      <c r="S175" s="28">
        <v>8.0908006057143211E-3</v>
      </c>
      <c r="T175" s="28">
        <v>0.37742802384309471</v>
      </c>
      <c r="U175" s="28">
        <v>0.19123363238759339</v>
      </c>
      <c r="V175" s="28">
        <v>0.20779663021676242</v>
      </c>
      <c r="W175" s="28">
        <v>0.41717118537053466</v>
      </c>
      <c r="X175" s="28">
        <v>2.4114274419844151E-3</v>
      </c>
    </row>
    <row r="176" spans="1:24" ht="13.9">
      <c r="A176" s="1">
        <v>175</v>
      </c>
      <c r="B176" s="23" t="e">
        <f ca="1">_xludf.BETA.INV(R176,'04_PSA_INPUTS'!H5,'04_PSA_INPUTS'!I5)</f>
        <v>#NAME?</v>
      </c>
      <c r="C176" s="23" t="e">
        <f ca="1">_xludf.BETA.INV(S176,'04_PSA_INPUTS'!H6,'04_PSA_INPUTS'!I6)</f>
        <v>#NAME?</v>
      </c>
      <c r="D176" s="27" t="e">
        <f ca="1">_xludf.GAMMA.INV(T176,'04_PSA_INPUTS'!H7,'04_PSA_INPUTS'!I7)</f>
        <v>#NAME?</v>
      </c>
      <c r="E176" s="27" t="e">
        <f ca="1">_xludf.GAMMA.INV(U176,'04_PSA_INPUTS'!H8,'04_PSA_INPUTS'!I8)</f>
        <v>#NAME?</v>
      </c>
      <c r="F176" s="27" t="e">
        <f ca="1">_xludf.GAMMA.INV(V176,'04_PSA_INPUTS'!H9,'04_PSA_INPUTS'!I9)</f>
        <v>#NAME?</v>
      </c>
      <c r="G176" s="23" t="e">
        <f ca="1">_xludf.BETA.INV(W176,'04_PSA_INPUTS'!H10,'04_PSA_INPUTS'!I10)</f>
        <v>#NAME?</v>
      </c>
      <c r="H176" s="23" t="e">
        <f ca="1">_xludf.BETA.INV(X176,'04_PSA_INPUTS'!H11,'04_PSA_INPUTS'!I11)</f>
        <v>#NAME?</v>
      </c>
      <c r="I176" s="27" t="e">
        <f ca="1">D176+B176*F176+'01_INPUTS'!B20</f>
        <v>#NAME?</v>
      </c>
      <c r="J176" s="27" t="e">
        <f ca="1">E176+C176*F176+'01_INPUTS'!B21</f>
        <v>#NAME?</v>
      </c>
      <c r="K176" s="27" t="e">
        <f t="shared" ca="1" si="12"/>
        <v>#NAME?</v>
      </c>
      <c r="L176" s="23" t="e">
        <f t="shared" ca="1" si="13"/>
        <v>#NAME?</v>
      </c>
      <c r="M176" s="23" t="e">
        <f t="shared" ca="1" si="14"/>
        <v>#NAME?</v>
      </c>
      <c r="N176" s="23" t="e">
        <f t="shared" ca="1" si="15"/>
        <v>#NAME?</v>
      </c>
      <c r="O176" s="27" t="e">
        <f t="shared" ca="1" si="16"/>
        <v>#NAME?</v>
      </c>
      <c r="P176" s="27" t="e">
        <f ca="1">'01_INPUTS'!B9*N176-K176</f>
        <v>#NAME?</v>
      </c>
      <c r="Q176" s="1" t="e">
        <f t="shared" ca="1" si="17"/>
        <v>#NAME?</v>
      </c>
      <c r="R176" s="28">
        <v>0.68593482440337539</v>
      </c>
      <c r="S176" s="28">
        <v>0.53199311555363238</v>
      </c>
      <c r="T176" s="28">
        <v>0.79691765015013516</v>
      </c>
      <c r="U176" s="28">
        <v>0.84294770192354918</v>
      </c>
      <c r="V176" s="28">
        <v>0.99833411327563226</v>
      </c>
      <c r="W176" s="28">
        <v>7.0905189728364348E-2</v>
      </c>
      <c r="X176" s="28">
        <v>0.53391025657765567</v>
      </c>
    </row>
    <row r="177" spans="1:24" ht="13.9">
      <c r="A177" s="1">
        <v>176</v>
      </c>
      <c r="B177" s="23" t="e">
        <f ca="1">_xludf.BETA.INV(R177,'04_PSA_INPUTS'!H5,'04_PSA_INPUTS'!I5)</f>
        <v>#NAME?</v>
      </c>
      <c r="C177" s="23" t="e">
        <f ca="1">_xludf.BETA.INV(S177,'04_PSA_INPUTS'!H6,'04_PSA_INPUTS'!I6)</f>
        <v>#NAME?</v>
      </c>
      <c r="D177" s="27" t="e">
        <f ca="1">_xludf.GAMMA.INV(T177,'04_PSA_INPUTS'!H7,'04_PSA_INPUTS'!I7)</f>
        <v>#NAME?</v>
      </c>
      <c r="E177" s="27" t="e">
        <f ca="1">_xludf.GAMMA.INV(U177,'04_PSA_INPUTS'!H8,'04_PSA_INPUTS'!I8)</f>
        <v>#NAME?</v>
      </c>
      <c r="F177" s="27" t="e">
        <f ca="1">_xludf.GAMMA.INV(V177,'04_PSA_INPUTS'!H9,'04_PSA_INPUTS'!I9)</f>
        <v>#NAME?</v>
      </c>
      <c r="G177" s="23" t="e">
        <f ca="1">_xludf.BETA.INV(W177,'04_PSA_INPUTS'!H10,'04_PSA_INPUTS'!I10)</f>
        <v>#NAME?</v>
      </c>
      <c r="H177" s="23" t="e">
        <f ca="1">_xludf.BETA.INV(X177,'04_PSA_INPUTS'!H11,'04_PSA_INPUTS'!I11)</f>
        <v>#NAME?</v>
      </c>
      <c r="I177" s="27" t="e">
        <f ca="1">D177+B177*F177+'01_INPUTS'!B20</f>
        <v>#NAME?</v>
      </c>
      <c r="J177" s="27" t="e">
        <f ca="1">E177+C177*F177+'01_INPUTS'!B21</f>
        <v>#NAME?</v>
      </c>
      <c r="K177" s="27" t="e">
        <f t="shared" ca="1" si="12"/>
        <v>#NAME?</v>
      </c>
      <c r="L177" s="23" t="e">
        <f t="shared" ca="1" si="13"/>
        <v>#NAME?</v>
      </c>
      <c r="M177" s="23" t="e">
        <f t="shared" ca="1" si="14"/>
        <v>#NAME?</v>
      </c>
      <c r="N177" s="23" t="e">
        <f t="shared" ca="1" si="15"/>
        <v>#NAME?</v>
      </c>
      <c r="O177" s="27" t="e">
        <f t="shared" ca="1" si="16"/>
        <v>#NAME?</v>
      </c>
      <c r="P177" s="27" t="e">
        <f ca="1">'01_INPUTS'!B9*N177-K177</f>
        <v>#NAME?</v>
      </c>
      <c r="Q177" s="1" t="e">
        <f t="shared" ca="1" si="17"/>
        <v>#NAME?</v>
      </c>
      <c r="R177" s="28">
        <v>0.35288627212867141</v>
      </c>
      <c r="S177" s="28">
        <v>0.4841532704886049</v>
      </c>
      <c r="T177" s="28">
        <v>0.7178983953781426</v>
      </c>
      <c r="U177" s="28">
        <v>0.99824618571437895</v>
      </c>
      <c r="V177" s="28">
        <v>0.64640905638225377</v>
      </c>
      <c r="W177" s="28">
        <v>0.41875422443263233</v>
      </c>
      <c r="X177" s="28">
        <v>0.71869459399022162</v>
      </c>
    </row>
    <row r="178" spans="1:24" ht="13.9">
      <c r="A178" s="1">
        <v>177</v>
      </c>
      <c r="B178" s="23" t="e">
        <f ca="1">_xludf.BETA.INV(R178,'04_PSA_INPUTS'!H5,'04_PSA_INPUTS'!I5)</f>
        <v>#NAME?</v>
      </c>
      <c r="C178" s="23" t="e">
        <f ca="1">_xludf.BETA.INV(S178,'04_PSA_INPUTS'!H6,'04_PSA_INPUTS'!I6)</f>
        <v>#NAME?</v>
      </c>
      <c r="D178" s="27" t="e">
        <f ca="1">_xludf.GAMMA.INV(T178,'04_PSA_INPUTS'!H7,'04_PSA_INPUTS'!I7)</f>
        <v>#NAME?</v>
      </c>
      <c r="E178" s="27" t="e">
        <f ca="1">_xludf.GAMMA.INV(U178,'04_PSA_INPUTS'!H8,'04_PSA_INPUTS'!I8)</f>
        <v>#NAME?</v>
      </c>
      <c r="F178" s="27" t="e">
        <f ca="1">_xludf.GAMMA.INV(V178,'04_PSA_INPUTS'!H9,'04_PSA_INPUTS'!I9)</f>
        <v>#NAME?</v>
      </c>
      <c r="G178" s="23" t="e">
        <f ca="1">_xludf.BETA.INV(W178,'04_PSA_INPUTS'!H10,'04_PSA_INPUTS'!I10)</f>
        <v>#NAME?</v>
      </c>
      <c r="H178" s="23" t="e">
        <f ca="1">_xludf.BETA.INV(X178,'04_PSA_INPUTS'!H11,'04_PSA_INPUTS'!I11)</f>
        <v>#NAME?</v>
      </c>
      <c r="I178" s="27" t="e">
        <f ca="1">D178+B178*F178+'01_INPUTS'!B20</f>
        <v>#NAME?</v>
      </c>
      <c r="J178" s="27" t="e">
        <f ca="1">E178+C178*F178+'01_INPUTS'!B21</f>
        <v>#NAME?</v>
      </c>
      <c r="K178" s="27" t="e">
        <f t="shared" ca="1" si="12"/>
        <v>#NAME?</v>
      </c>
      <c r="L178" s="23" t="e">
        <f t="shared" ca="1" si="13"/>
        <v>#NAME?</v>
      </c>
      <c r="M178" s="23" t="e">
        <f t="shared" ca="1" si="14"/>
        <v>#NAME?</v>
      </c>
      <c r="N178" s="23" t="e">
        <f t="shared" ca="1" si="15"/>
        <v>#NAME?</v>
      </c>
      <c r="O178" s="27" t="e">
        <f t="shared" ca="1" si="16"/>
        <v>#NAME?</v>
      </c>
      <c r="P178" s="27" t="e">
        <f ca="1">'01_INPUTS'!B9*N178-K178</f>
        <v>#NAME?</v>
      </c>
      <c r="Q178" s="1" t="e">
        <f t="shared" ca="1" si="17"/>
        <v>#NAME?</v>
      </c>
      <c r="R178" s="28">
        <v>0.57828572019934654</v>
      </c>
      <c r="S178" s="28">
        <v>0.75946192629635334</v>
      </c>
      <c r="T178" s="28">
        <v>0.32326670503243804</v>
      </c>
      <c r="U178" s="28">
        <v>0.15708805480971932</v>
      </c>
      <c r="V178" s="28">
        <v>0.50365039915777743</v>
      </c>
      <c r="W178" s="28">
        <v>0.14477129094302654</v>
      </c>
      <c r="X178" s="28">
        <v>0.49220557394437492</v>
      </c>
    </row>
    <row r="179" spans="1:24" ht="13.9">
      <c r="A179" s="1">
        <v>178</v>
      </c>
      <c r="B179" s="23" t="e">
        <f ca="1">_xludf.BETA.INV(R179,'04_PSA_INPUTS'!H5,'04_PSA_INPUTS'!I5)</f>
        <v>#NAME?</v>
      </c>
      <c r="C179" s="23" t="e">
        <f ca="1">_xludf.BETA.INV(S179,'04_PSA_INPUTS'!H6,'04_PSA_INPUTS'!I6)</f>
        <v>#NAME?</v>
      </c>
      <c r="D179" s="27" t="e">
        <f ca="1">_xludf.GAMMA.INV(T179,'04_PSA_INPUTS'!H7,'04_PSA_INPUTS'!I7)</f>
        <v>#NAME?</v>
      </c>
      <c r="E179" s="27" t="e">
        <f ca="1">_xludf.GAMMA.INV(U179,'04_PSA_INPUTS'!H8,'04_PSA_INPUTS'!I8)</f>
        <v>#NAME?</v>
      </c>
      <c r="F179" s="27" t="e">
        <f ca="1">_xludf.GAMMA.INV(V179,'04_PSA_INPUTS'!H9,'04_PSA_INPUTS'!I9)</f>
        <v>#NAME?</v>
      </c>
      <c r="G179" s="23" t="e">
        <f ca="1">_xludf.BETA.INV(W179,'04_PSA_INPUTS'!H10,'04_PSA_INPUTS'!I10)</f>
        <v>#NAME?</v>
      </c>
      <c r="H179" s="23" t="e">
        <f ca="1">_xludf.BETA.INV(X179,'04_PSA_INPUTS'!H11,'04_PSA_INPUTS'!I11)</f>
        <v>#NAME?</v>
      </c>
      <c r="I179" s="27" t="e">
        <f ca="1">D179+B179*F179+'01_INPUTS'!B20</f>
        <v>#NAME?</v>
      </c>
      <c r="J179" s="27" t="e">
        <f ca="1">E179+C179*F179+'01_INPUTS'!B21</f>
        <v>#NAME?</v>
      </c>
      <c r="K179" s="27" t="e">
        <f t="shared" ca="1" si="12"/>
        <v>#NAME?</v>
      </c>
      <c r="L179" s="23" t="e">
        <f t="shared" ca="1" si="13"/>
        <v>#NAME?</v>
      </c>
      <c r="M179" s="23" t="e">
        <f t="shared" ca="1" si="14"/>
        <v>#NAME?</v>
      </c>
      <c r="N179" s="23" t="e">
        <f t="shared" ca="1" si="15"/>
        <v>#NAME?</v>
      </c>
      <c r="O179" s="27" t="e">
        <f t="shared" ca="1" si="16"/>
        <v>#NAME?</v>
      </c>
      <c r="P179" s="27" t="e">
        <f ca="1">'01_INPUTS'!B9*N179-K179</f>
        <v>#NAME?</v>
      </c>
      <c r="Q179" s="1" t="e">
        <f t="shared" ca="1" si="17"/>
        <v>#NAME?</v>
      </c>
      <c r="R179" s="28">
        <v>0.10106355976313353</v>
      </c>
      <c r="S179" s="28">
        <v>0.15828155307099223</v>
      </c>
      <c r="T179" s="28">
        <v>0.49449717882089317</v>
      </c>
      <c r="U179" s="28">
        <v>0.11214200383983552</v>
      </c>
      <c r="V179" s="28">
        <v>0.42343392875045538</v>
      </c>
      <c r="W179" s="28">
        <v>0.25979613675735891</v>
      </c>
      <c r="X179" s="28">
        <v>0.72307580336928368</v>
      </c>
    </row>
    <row r="180" spans="1:24" ht="13.9">
      <c r="A180" s="1">
        <v>179</v>
      </c>
      <c r="B180" s="23" t="e">
        <f ca="1">_xludf.BETA.INV(R180,'04_PSA_INPUTS'!H5,'04_PSA_INPUTS'!I5)</f>
        <v>#NAME?</v>
      </c>
      <c r="C180" s="23" t="e">
        <f ca="1">_xludf.BETA.INV(S180,'04_PSA_INPUTS'!H6,'04_PSA_INPUTS'!I6)</f>
        <v>#NAME?</v>
      </c>
      <c r="D180" s="27" t="e">
        <f ca="1">_xludf.GAMMA.INV(T180,'04_PSA_INPUTS'!H7,'04_PSA_INPUTS'!I7)</f>
        <v>#NAME?</v>
      </c>
      <c r="E180" s="27" t="e">
        <f ca="1">_xludf.GAMMA.INV(U180,'04_PSA_INPUTS'!H8,'04_PSA_INPUTS'!I8)</f>
        <v>#NAME?</v>
      </c>
      <c r="F180" s="27" t="e">
        <f ca="1">_xludf.GAMMA.INV(V180,'04_PSA_INPUTS'!H9,'04_PSA_INPUTS'!I9)</f>
        <v>#NAME?</v>
      </c>
      <c r="G180" s="23" t="e">
        <f ca="1">_xludf.BETA.INV(W180,'04_PSA_INPUTS'!H10,'04_PSA_INPUTS'!I10)</f>
        <v>#NAME?</v>
      </c>
      <c r="H180" s="23" t="e">
        <f ca="1">_xludf.BETA.INV(X180,'04_PSA_INPUTS'!H11,'04_PSA_INPUTS'!I11)</f>
        <v>#NAME?</v>
      </c>
      <c r="I180" s="27" t="e">
        <f ca="1">D180+B180*F180+'01_INPUTS'!B20</f>
        <v>#NAME?</v>
      </c>
      <c r="J180" s="27" t="e">
        <f ca="1">E180+C180*F180+'01_INPUTS'!B21</f>
        <v>#NAME?</v>
      </c>
      <c r="K180" s="27" t="e">
        <f t="shared" ca="1" si="12"/>
        <v>#NAME?</v>
      </c>
      <c r="L180" s="23" t="e">
        <f t="shared" ca="1" si="13"/>
        <v>#NAME?</v>
      </c>
      <c r="M180" s="23" t="e">
        <f t="shared" ca="1" si="14"/>
        <v>#NAME?</v>
      </c>
      <c r="N180" s="23" t="e">
        <f t="shared" ca="1" si="15"/>
        <v>#NAME?</v>
      </c>
      <c r="O180" s="27" t="e">
        <f t="shared" ca="1" si="16"/>
        <v>#NAME?</v>
      </c>
      <c r="P180" s="27" t="e">
        <f ca="1">'01_INPUTS'!B9*N180-K180</f>
        <v>#NAME?</v>
      </c>
      <c r="Q180" s="1" t="e">
        <f t="shared" ca="1" si="17"/>
        <v>#NAME?</v>
      </c>
      <c r="R180" s="28">
        <v>0.16175186168402433</v>
      </c>
      <c r="S180" s="28">
        <v>0.90873895213007927</v>
      </c>
      <c r="T180" s="28">
        <v>0.68322227639146149</v>
      </c>
      <c r="U180" s="28">
        <v>0.10660073510371149</v>
      </c>
      <c r="V180" s="28">
        <v>0.95785201620310545</v>
      </c>
      <c r="W180" s="28">
        <v>0.67072006431408226</v>
      </c>
      <c r="X180" s="28">
        <v>0.83115376532077789</v>
      </c>
    </row>
    <row r="181" spans="1:24" ht="13.9">
      <c r="A181" s="1">
        <v>180</v>
      </c>
      <c r="B181" s="23" t="e">
        <f ca="1">_xludf.BETA.INV(R181,'04_PSA_INPUTS'!H5,'04_PSA_INPUTS'!I5)</f>
        <v>#NAME?</v>
      </c>
      <c r="C181" s="23" t="e">
        <f ca="1">_xludf.BETA.INV(S181,'04_PSA_INPUTS'!H6,'04_PSA_INPUTS'!I6)</f>
        <v>#NAME?</v>
      </c>
      <c r="D181" s="27" t="e">
        <f ca="1">_xludf.GAMMA.INV(T181,'04_PSA_INPUTS'!H7,'04_PSA_INPUTS'!I7)</f>
        <v>#NAME?</v>
      </c>
      <c r="E181" s="27" t="e">
        <f ca="1">_xludf.GAMMA.INV(U181,'04_PSA_INPUTS'!H8,'04_PSA_INPUTS'!I8)</f>
        <v>#NAME?</v>
      </c>
      <c r="F181" s="27" t="e">
        <f ca="1">_xludf.GAMMA.INV(V181,'04_PSA_INPUTS'!H9,'04_PSA_INPUTS'!I9)</f>
        <v>#NAME?</v>
      </c>
      <c r="G181" s="23" t="e">
        <f ca="1">_xludf.BETA.INV(W181,'04_PSA_INPUTS'!H10,'04_PSA_INPUTS'!I10)</f>
        <v>#NAME?</v>
      </c>
      <c r="H181" s="23" t="e">
        <f ca="1">_xludf.BETA.INV(X181,'04_PSA_INPUTS'!H11,'04_PSA_INPUTS'!I11)</f>
        <v>#NAME?</v>
      </c>
      <c r="I181" s="27" t="e">
        <f ca="1">D181+B181*F181+'01_INPUTS'!B20</f>
        <v>#NAME?</v>
      </c>
      <c r="J181" s="27" t="e">
        <f ca="1">E181+C181*F181+'01_INPUTS'!B21</f>
        <v>#NAME?</v>
      </c>
      <c r="K181" s="27" t="e">
        <f t="shared" ca="1" si="12"/>
        <v>#NAME?</v>
      </c>
      <c r="L181" s="23" t="e">
        <f t="shared" ca="1" si="13"/>
        <v>#NAME?</v>
      </c>
      <c r="M181" s="23" t="e">
        <f t="shared" ca="1" si="14"/>
        <v>#NAME?</v>
      </c>
      <c r="N181" s="23" t="e">
        <f t="shared" ca="1" si="15"/>
        <v>#NAME?</v>
      </c>
      <c r="O181" s="27" t="e">
        <f t="shared" ca="1" si="16"/>
        <v>#NAME?</v>
      </c>
      <c r="P181" s="27" t="e">
        <f ca="1">'01_INPUTS'!B9*N181-K181</f>
        <v>#NAME?</v>
      </c>
      <c r="Q181" s="1" t="e">
        <f t="shared" ca="1" si="17"/>
        <v>#NAME?</v>
      </c>
      <c r="R181" s="28">
        <v>0.81755951954983175</v>
      </c>
      <c r="S181" s="28">
        <v>0.72652593348175287</v>
      </c>
      <c r="T181" s="28">
        <v>0.60506772017106414</v>
      </c>
      <c r="U181" s="28">
        <v>0.73421894712373614</v>
      </c>
      <c r="V181" s="28">
        <v>0.21104649943299592</v>
      </c>
      <c r="W181" s="28">
        <v>0.56837595603428781</v>
      </c>
      <c r="X181" s="28">
        <v>4.9829545198008418E-2</v>
      </c>
    </row>
    <row r="182" spans="1:24" ht="13.9">
      <c r="A182" s="1">
        <v>181</v>
      </c>
      <c r="B182" s="23" t="e">
        <f ca="1">_xludf.BETA.INV(R182,'04_PSA_INPUTS'!H5,'04_PSA_INPUTS'!I5)</f>
        <v>#NAME?</v>
      </c>
      <c r="C182" s="23" t="e">
        <f ca="1">_xludf.BETA.INV(S182,'04_PSA_INPUTS'!H6,'04_PSA_INPUTS'!I6)</f>
        <v>#NAME?</v>
      </c>
      <c r="D182" s="27" t="e">
        <f ca="1">_xludf.GAMMA.INV(T182,'04_PSA_INPUTS'!H7,'04_PSA_INPUTS'!I7)</f>
        <v>#NAME?</v>
      </c>
      <c r="E182" s="27" t="e">
        <f ca="1">_xludf.GAMMA.INV(U182,'04_PSA_INPUTS'!H8,'04_PSA_INPUTS'!I8)</f>
        <v>#NAME?</v>
      </c>
      <c r="F182" s="27" t="e">
        <f ca="1">_xludf.GAMMA.INV(V182,'04_PSA_INPUTS'!H9,'04_PSA_INPUTS'!I9)</f>
        <v>#NAME?</v>
      </c>
      <c r="G182" s="23" t="e">
        <f ca="1">_xludf.BETA.INV(W182,'04_PSA_INPUTS'!H10,'04_PSA_INPUTS'!I10)</f>
        <v>#NAME?</v>
      </c>
      <c r="H182" s="23" t="e">
        <f ca="1">_xludf.BETA.INV(X182,'04_PSA_INPUTS'!H11,'04_PSA_INPUTS'!I11)</f>
        <v>#NAME?</v>
      </c>
      <c r="I182" s="27" t="e">
        <f ca="1">D182+B182*F182+'01_INPUTS'!B20</f>
        <v>#NAME?</v>
      </c>
      <c r="J182" s="27" t="e">
        <f ca="1">E182+C182*F182+'01_INPUTS'!B21</f>
        <v>#NAME?</v>
      </c>
      <c r="K182" s="27" t="e">
        <f t="shared" ca="1" si="12"/>
        <v>#NAME?</v>
      </c>
      <c r="L182" s="23" t="e">
        <f t="shared" ca="1" si="13"/>
        <v>#NAME?</v>
      </c>
      <c r="M182" s="23" t="e">
        <f t="shared" ca="1" si="14"/>
        <v>#NAME?</v>
      </c>
      <c r="N182" s="23" t="e">
        <f t="shared" ca="1" si="15"/>
        <v>#NAME?</v>
      </c>
      <c r="O182" s="27" t="e">
        <f t="shared" ca="1" si="16"/>
        <v>#NAME?</v>
      </c>
      <c r="P182" s="27" t="e">
        <f ca="1">'01_INPUTS'!B9*N182-K182</f>
        <v>#NAME?</v>
      </c>
      <c r="Q182" s="1" t="e">
        <f t="shared" ca="1" si="17"/>
        <v>#NAME?</v>
      </c>
      <c r="R182" s="28">
        <v>0.7932267882861197</v>
      </c>
      <c r="S182" s="28">
        <v>0.42841424862854183</v>
      </c>
      <c r="T182" s="28">
        <v>0.11227936996147037</v>
      </c>
      <c r="U182" s="28">
        <v>0.29730525659397244</v>
      </c>
      <c r="V182" s="28">
        <v>3.4335566684603691E-2</v>
      </c>
      <c r="W182" s="28">
        <v>0.97711322316899896</v>
      </c>
      <c r="X182" s="28">
        <v>0.96918959124013782</v>
      </c>
    </row>
    <row r="183" spans="1:24" ht="13.9">
      <c r="A183" s="1">
        <v>182</v>
      </c>
      <c r="B183" s="23" t="e">
        <f ca="1">_xludf.BETA.INV(R183,'04_PSA_INPUTS'!H5,'04_PSA_INPUTS'!I5)</f>
        <v>#NAME?</v>
      </c>
      <c r="C183" s="23" t="e">
        <f ca="1">_xludf.BETA.INV(S183,'04_PSA_INPUTS'!H6,'04_PSA_INPUTS'!I6)</f>
        <v>#NAME?</v>
      </c>
      <c r="D183" s="27" t="e">
        <f ca="1">_xludf.GAMMA.INV(T183,'04_PSA_INPUTS'!H7,'04_PSA_INPUTS'!I7)</f>
        <v>#NAME?</v>
      </c>
      <c r="E183" s="27" t="e">
        <f ca="1">_xludf.GAMMA.INV(U183,'04_PSA_INPUTS'!H8,'04_PSA_INPUTS'!I8)</f>
        <v>#NAME?</v>
      </c>
      <c r="F183" s="27" t="e">
        <f ca="1">_xludf.GAMMA.INV(V183,'04_PSA_INPUTS'!H9,'04_PSA_INPUTS'!I9)</f>
        <v>#NAME?</v>
      </c>
      <c r="G183" s="23" t="e">
        <f ca="1">_xludf.BETA.INV(W183,'04_PSA_INPUTS'!H10,'04_PSA_INPUTS'!I10)</f>
        <v>#NAME?</v>
      </c>
      <c r="H183" s="23" t="e">
        <f ca="1">_xludf.BETA.INV(X183,'04_PSA_INPUTS'!H11,'04_PSA_INPUTS'!I11)</f>
        <v>#NAME?</v>
      </c>
      <c r="I183" s="27" t="e">
        <f ca="1">D183+B183*F183+'01_INPUTS'!B20</f>
        <v>#NAME?</v>
      </c>
      <c r="J183" s="27" t="e">
        <f ca="1">E183+C183*F183+'01_INPUTS'!B21</f>
        <v>#NAME?</v>
      </c>
      <c r="K183" s="27" t="e">
        <f t="shared" ca="1" si="12"/>
        <v>#NAME?</v>
      </c>
      <c r="L183" s="23" t="e">
        <f t="shared" ca="1" si="13"/>
        <v>#NAME?</v>
      </c>
      <c r="M183" s="23" t="e">
        <f t="shared" ca="1" si="14"/>
        <v>#NAME?</v>
      </c>
      <c r="N183" s="23" t="e">
        <f t="shared" ca="1" si="15"/>
        <v>#NAME?</v>
      </c>
      <c r="O183" s="27" t="e">
        <f t="shared" ca="1" si="16"/>
        <v>#NAME?</v>
      </c>
      <c r="P183" s="27" t="e">
        <f ca="1">'01_INPUTS'!B9*N183-K183</f>
        <v>#NAME?</v>
      </c>
      <c r="Q183" s="1" t="e">
        <f t="shared" ca="1" si="17"/>
        <v>#NAME?</v>
      </c>
      <c r="R183" s="28">
        <v>0.81730555067770183</v>
      </c>
      <c r="S183" s="28">
        <v>0.38938097865320742</v>
      </c>
      <c r="T183" s="28">
        <v>0.66109834657981992</v>
      </c>
      <c r="U183" s="28">
        <v>0.73197952844202518</v>
      </c>
      <c r="V183" s="28">
        <v>0.3650375884026289</v>
      </c>
      <c r="W183" s="28">
        <v>0.36533190822228789</v>
      </c>
      <c r="X183" s="28">
        <v>0.65706265973858535</v>
      </c>
    </row>
    <row r="184" spans="1:24" ht="13.9">
      <c r="A184" s="1">
        <v>183</v>
      </c>
      <c r="B184" s="23" t="e">
        <f ca="1">_xludf.BETA.INV(R184,'04_PSA_INPUTS'!H5,'04_PSA_INPUTS'!I5)</f>
        <v>#NAME?</v>
      </c>
      <c r="C184" s="23" t="e">
        <f ca="1">_xludf.BETA.INV(S184,'04_PSA_INPUTS'!H6,'04_PSA_INPUTS'!I6)</f>
        <v>#NAME?</v>
      </c>
      <c r="D184" s="27" t="e">
        <f ca="1">_xludf.GAMMA.INV(T184,'04_PSA_INPUTS'!H7,'04_PSA_INPUTS'!I7)</f>
        <v>#NAME?</v>
      </c>
      <c r="E184" s="27" t="e">
        <f ca="1">_xludf.GAMMA.INV(U184,'04_PSA_INPUTS'!H8,'04_PSA_INPUTS'!I8)</f>
        <v>#NAME?</v>
      </c>
      <c r="F184" s="27" t="e">
        <f ca="1">_xludf.GAMMA.INV(V184,'04_PSA_INPUTS'!H9,'04_PSA_INPUTS'!I9)</f>
        <v>#NAME?</v>
      </c>
      <c r="G184" s="23" t="e">
        <f ca="1">_xludf.BETA.INV(W184,'04_PSA_INPUTS'!H10,'04_PSA_INPUTS'!I10)</f>
        <v>#NAME?</v>
      </c>
      <c r="H184" s="23" t="e">
        <f ca="1">_xludf.BETA.INV(X184,'04_PSA_INPUTS'!H11,'04_PSA_INPUTS'!I11)</f>
        <v>#NAME?</v>
      </c>
      <c r="I184" s="27" t="e">
        <f ca="1">D184+B184*F184+'01_INPUTS'!B20</f>
        <v>#NAME?</v>
      </c>
      <c r="J184" s="27" t="e">
        <f ca="1">E184+C184*F184+'01_INPUTS'!B21</f>
        <v>#NAME?</v>
      </c>
      <c r="K184" s="27" t="e">
        <f t="shared" ca="1" si="12"/>
        <v>#NAME?</v>
      </c>
      <c r="L184" s="23" t="e">
        <f t="shared" ca="1" si="13"/>
        <v>#NAME?</v>
      </c>
      <c r="M184" s="23" t="e">
        <f t="shared" ca="1" si="14"/>
        <v>#NAME?</v>
      </c>
      <c r="N184" s="23" t="e">
        <f t="shared" ca="1" si="15"/>
        <v>#NAME?</v>
      </c>
      <c r="O184" s="27" t="e">
        <f t="shared" ca="1" si="16"/>
        <v>#NAME?</v>
      </c>
      <c r="P184" s="27" t="e">
        <f ca="1">'01_INPUTS'!B9*N184-K184</f>
        <v>#NAME?</v>
      </c>
      <c r="Q184" s="1" t="e">
        <f t="shared" ca="1" si="17"/>
        <v>#NAME?</v>
      </c>
      <c r="R184" s="28">
        <v>8.4198815748095512E-3</v>
      </c>
      <c r="S184" s="28">
        <v>0.36345506855286658</v>
      </c>
      <c r="T184" s="28">
        <v>0.95275677321478724</v>
      </c>
      <c r="U184" s="28">
        <v>0.5593872603494674</v>
      </c>
      <c r="V184" s="28">
        <v>0.33571154554374516</v>
      </c>
      <c r="W184" s="28">
        <v>0.14901240775361657</v>
      </c>
      <c r="X184" s="28">
        <v>0.44207921344786882</v>
      </c>
    </row>
    <row r="185" spans="1:24" ht="13.9">
      <c r="A185" s="1">
        <v>184</v>
      </c>
      <c r="B185" s="23" t="e">
        <f ca="1">_xludf.BETA.INV(R185,'04_PSA_INPUTS'!H5,'04_PSA_INPUTS'!I5)</f>
        <v>#NAME?</v>
      </c>
      <c r="C185" s="23" t="e">
        <f ca="1">_xludf.BETA.INV(S185,'04_PSA_INPUTS'!H6,'04_PSA_INPUTS'!I6)</f>
        <v>#NAME?</v>
      </c>
      <c r="D185" s="27" t="e">
        <f ca="1">_xludf.GAMMA.INV(T185,'04_PSA_INPUTS'!H7,'04_PSA_INPUTS'!I7)</f>
        <v>#NAME?</v>
      </c>
      <c r="E185" s="27" t="e">
        <f ca="1">_xludf.GAMMA.INV(U185,'04_PSA_INPUTS'!H8,'04_PSA_INPUTS'!I8)</f>
        <v>#NAME?</v>
      </c>
      <c r="F185" s="27" t="e">
        <f ca="1">_xludf.GAMMA.INV(V185,'04_PSA_INPUTS'!H9,'04_PSA_INPUTS'!I9)</f>
        <v>#NAME?</v>
      </c>
      <c r="G185" s="23" t="e">
        <f ca="1">_xludf.BETA.INV(W185,'04_PSA_INPUTS'!H10,'04_PSA_INPUTS'!I10)</f>
        <v>#NAME?</v>
      </c>
      <c r="H185" s="23" t="e">
        <f ca="1">_xludf.BETA.INV(X185,'04_PSA_INPUTS'!H11,'04_PSA_INPUTS'!I11)</f>
        <v>#NAME?</v>
      </c>
      <c r="I185" s="27" t="e">
        <f ca="1">D185+B185*F185+'01_INPUTS'!B20</f>
        <v>#NAME?</v>
      </c>
      <c r="J185" s="27" t="e">
        <f ca="1">E185+C185*F185+'01_INPUTS'!B21</f>
        <v>#NAME?</v>
      </c>
      <c r="K185" s="27" t="e">
        <f t="shared" ca="1" si="12"/>
        <v>#NAME?</v>
      </c>
      <c r="L185" s="23" t="e">
        <f t="shared" ca="1" si="13"/>
        <v>#NAME?</v>
      </c>
      <c r="M185" s="23" t="e">
        <f t="shared" ca="1" si="14"/>
        <v>#NAME?</v>
      </c>
      <c r="N185" s="23" t="e">
        <f t="shared" ca="1" si="15"/>
        <v>#NAME?</v>
      </c>
      <c r="O185" s="27" t="e">
        <f t="shared" ca="1" si="16"/>
        <v>#NAME?</v>
      </c>
      <c r="P185" s="27" t="e">
        <f ca="1">'01_INPUTS'!B9*N185-K185</f>
        <v>#NAME?</v>
      </c>
      <c r="Q185" s="1" t="e">
        <f t="shared" ca="1" si="17"/>
        <v>#NAME?</v>
      </c>
      <c r="R185" s="28">
        <v>9.4509999500587583E-2</v>
      </c>
      <c r="S185" s="28">
        <v>0.54370537120848894</v>
      </c>
      <c r="T185" s="28">
        <v>0.74736169306561351</v>
      </c>
      <c r="U185" s="28">
        <v>0.96988441003486514</v>
      </c>
      <c r="V185" s="28">
        <v>0.59055382735095918</v>
      </c>
      <c r="W185" s="28">
        <v>0.9052277198061347</v>
      </c>
      <c r="X185" s="28">
        <v>0.90021973382681608</v>
      </c>
    </row>
    <row r="186" spans="1:24" ht="13.9">
      <c r="A186" s="1">
        <v>185</v>
      </c>
      <c r="B186" s="23" t="e">
        <f ca="1">_xludf.BETA.INV(R186,'04_PSA_INPUTS'!H5,'04_PSA_INPUTS'!I5)</f>
        <v>#NAME?</v>
      </c>
      <c r="C186" s="23" t="e">
        <f ca="1">_xludf.BETA.INV(S186,'04_PSA_INPUTS'!H6,'04_PSA_INPUTS'!I6)</f>
        <v>#NAME?</v>
      </c>
      <c r="D186" s="27" t="e">
        <f ca="1">_xludf.GAMMA.INV(T186,'04_PSA_INPUTS'!H7,'04_PSA_INPUTS'!I7)</f>
        <v>#NAME?</v>
      </c>
      <c r="E186" s="27" t="e">
        <f ca="1">_xludf.GAMMA.INV(U186,'04_PSA_INPUTS'!H8,'04_PSA_INPUTS'!I8)</f>
        <v>#NAME?</v>
      </c>
      <c r="F186" s="27" t="e">
        <f ca="1">_xludf.GAMMA.INV(V186,'04_PSA_INPUTS'!H9,'04_PSA_INPUTS'!I9)</f>
        <v>#NAME?</v>
      </c>
      <c r="G186" s="23" t="e">
        <f ca="1">_xludf.BETA.INV(W186,'04_PSA_INPUTS'!H10,'04_PSA_INPUTS'!I10)</f>
        <v>#NAME?</v>
      </c>
      <c r="H186" s="23" t="e">
        <f ca="1">_xludf.BETA.INV(X186,'04_PSA_INPUTS'!H11,'04_PSA_INPUTS'!I11)</f>
        <v>#NAME?</v>
      </c>
      <c r="I186" s="27" t="e">
        <f ca="1">D186+B186*F186+'01_INPUTS'!B20</f>
        <v>#NAME?</v>
      </c>
      <c r="J186" s="27" t="e">
        <f ca="1">E186+C186*F186+'01_INPUTS'!B21</f>
        <v>#NAME?</v>
      </c>
      <c r="K186" s="27" t="e">
        <f t="shared" ca="1" si="12"/>
        <v>#NAME?</v>
      </c>
      <c r="L186" s="23" t="e">
        <f t="shared" ca="1" si="13"/>
        <v>#NAME?</v>
      </c>
      <c r="M186" s="23" t="e">
        <f t="shared" ca="1" si="14"/>
        <v>#NAME?</v>
      </c>
      <c r="N186" s="23" t="e">
        <f t="shared" ca="1" si="15"/>
        <v>#NAME?</v>
      </c>
      <c r="O186" s="27" t="e">
        <f t="shared" ca="1" si="16"/>
        <v>#NAME?</v>
      </c>
      <c r="P186" s="27" t="e">
        <f ca="1">'01_INPUTS'!B9*N186-K186</f>
        <v>#NAME?</v>
      </c>
      <c r="Q186" s="1" t="e">
        <f t="shared" ca="1" si="17"/>
        <v>#NAME?</v>
      </c>
      <c r="R186" s="28">
        <v>0.19644794007763267</v>
      </c>
      <c r="S186" s="28">
        <v>0.95580872218124568</v>
      </c>
      <c r="T186" s="28">
        <v>4.0465831989422441E-2</v>
      </c>
      <c r="U186" s="28">
        <v>0.28668556967750192</v>
      </c>
      <c r="V186" s="28">
        <v>0.23985372553579509</v>
      </c>
      <c r="W186" s="28">
        <v>0.63421822362579405</v>
      </c>
      <c r="X186" s="28">
        <v>0.17498909123241901</v>
      </c>
    </row>
    <row r="187" spans="1:24" ht="13.9">
      <c r="A187" s="1">
        <v>186</v>
      </c>
      <c r="B187" s="23" t="e">
        <f ca="1">_xludf.BETA.INV(R187,'04_PSA_INPUTS'!H5,'04_PSA_INPUTS'!I5)</f>
        <v>#NAME?</v>
      </c>
      <c r="C187" s="23" t="e">
        <f ca="1">_xludf.BETA.INV(S187,'04_PSA_INPUTS'!H6,'04_PSA_INPUTS'!I6)</f>
        <v>#NAME?</v>
      </c>
      <c r="D187" s="27" t="e">
        <f ca="1">_xludf.GAMMA.INV(T187,'04_PSA_INPUTS'!H7,'04_PSA_INPUTS'!I7)</f>
        <v>#NAME?</v>
      </c>
      <c r="E187" s="27" t="e">
        <f ca="1">_xludf.GAMMA.INV(U187,'04_PSA_INPUTS'!H8,'04_PSA_INPUTS'!I8)</f>
        <v>#NAME?</v>
      </c>
      <c r="F187" s="27" t="e">
        <f ca="1">_xludf.GAMMA.INV(V187,'04_PSA_INPUTS'!H9,'04_PSA_INPUTS'!I9)</f>
        <v>#NAME?</v>
      </c>
      <c r="G187" s="23" t="e">
        <f ca="1">_xludf.BETA.INV(W187,'04_PSA_INPUTS'!H10,'04_PSA_INPUTS'!I10)</f>
        <v>#NAME?</v>
      </c>
      <c r="H187" s="23" t="e">
        <f ca="1">_xludf.BETA.INV(X187,'04_PSA_INPUTS'!H11,'04_PSA_INPUTS'!I11)</f>
        <v>#NAME?</v>
      </c>
      <c r="I187" s="27" t="e">
        <f ca="1">D187+B187*F187+'01_INPUTS'!B20</f>
        <v>#NAME?</v>
      </c>
      <c r="J187" s="27" t="e">
        <f ca="1">E187+C187*F187+'01_INPUTS'!B21</f>
        <v>#NAME?</v>
      </c>
      <c r="K187" s="27" t="e">
        <f t="shared" ca="1" si="12"/>
        <v>#NAME?</v>
      </c>
      <c r="L187" s="23" t="e">
        <f t="shared" ca="1" si="13"/>
        <v>#NAME?</v>
      </c>
      <c r="M187" s="23" t="e">
        <f t="shared" ca="1" si="14"/>
        <v>#NAME?</v>
      </c>
      <c r="N187" s="23" t="e">
        <f t="shared" ca="1" si="15"/>
        <v>#NAME?</v>
      </c>
      <c r="O187" s="27" t="e">
        <f t="shared" ca="1" si="16"/>
        <v>#NAME?</v>
      </c>
      <c r="P187" s="27" t="e">
        <f ca="1">'01_INPUTS'!B9*N187-K187</f>
        <v>#NAME?</v>
      </c>
      <c r="Q187" s="1" t="e">
        <f t="shared" ca="1" si="17"/>
        <v>#NAME?</v>
      </c>
      <c r="R187" s="28">
        <v>0.87823945190757513</v>
      </c>
      <c r="S187" s="28">
        <v>0.23021442629396915</v>
      </c>
      <c r="T187" s="28">
        <v>0.64119815826416016</v>
      </c>
      <c r="U187" s="28">
        <v>0.17524165846407413</v>
      </c>
      <c r="V187" s="28">
        <v>0.42054277425631881</v>
      </c>
      <c r="W187" s="28">
        <v>0.3291674021165818</v>
      </c>
      <c r="X187" s="28">
        <v>0.98426429345272481</v>
      </c>
    </row>
    <row r="188" spans="1:24" ht="13.9">
      <c r="A188" s="1">
        <v>187</v>
      </c>
      <c r="B188" s="23" t="e">
        <f ca="1">_xludf.BETA.INV(R188,'04_PSA_INPUTS'!H5,'04_PSA_INPUTS'!I5)</f>
        <v>#NAME?</v>
      </c>
      <c r="C188" s="23" t="e">
        <f ca="1">_xludf.BETA.INV(S188,'04_PSA_INPUTS'!H6,'04_PSA_INPUTS'!I6)</f>
        <v>#NAME?</v>
      </c>
      <c r="D188" s="27" t="e">
        <f ca="1">_xludf.GAMMA.INV(T188,'04_PSA_INPUTS'!H7,'04_PSA_INPUTS'!I7)</f>
        <v>#NAME?</v>
      </c>
      <c r="E188" s="27" t="e">
        <f ca="1">_xludf.GAMMA.INV(U188,'04_PSA_INPUTS'!H8,'04_PSA_INPUTS'!I8)</f>
        <v>#NAME?</v>
      </c>
      <c r="F188" s="27" t="e">
        <f ca="1">_xludf.GAMMA.INV(V188,'04_PSA_INPUTS'!H9,'04_PSA_INPUTS'!I9)</f>
        <v>#NAME?</v>
      </c>
      <c r="G188" s="23" t="e">
        <f ca="1">_xludf.BETA.INV(W188,'04_PSA_INPUTS'!H10,'04_PSA_INPUTS'!I10)</f>
        <v>#NAME?</v>
      </c>
      <c r="H188" s="23" t="e">
        <f ca="1">_xludf.BETA.INV(X188,'04_PSA_INPUTS'!H11,'04_PSA_INPUTS'!I11)</f>
        <v>#NAME?</v>
      </c>
      <c r="I188" s="27" t="e">
        <f ca="1">D188+B188*F188+'01_INPUTS'!B20</f>
        <v>#NAME?</v>
      </c>
      <c r="J188" s="27" t="e">
        <f ca="1">E188+C188*F188+'01_INPUTS'!B21</f>
        <v>#NAME?</v>
      </c>
      <c r="K188" s="27" t="e">
        <f t="shared" ca="1" si="12"/>
        <v>#NAME?</v>
      </c>
      <c r="L188" s="23" t="e">
        <f t="shared" ca="1" si="13"/>
        <v>#NAME?</v>
      </c>
      <c r="M188" s="23" t="e">
        <f t="shared" ca="1" si="14"/>
        <v>#NAME?</v>
      </c>
      <c r="N188" s="23" t="e">
        <f t="shared" ca="1" si="15"/>
        <v>#NAME?</v>
      </c>
      <c r="O188" s="27" t="e">
        <f t="shared" ca="1" si="16"/>
        <v>#NAME?</v>
      </c>
      <c r="P188" s="27" t="e">
        <f ca="1">'01_INPUTS'!B9*N188-K188</f>
        <v>#NAME?</v>
      </c>
      <c r="Q188" s="1" t="e">
        <f t="shared" ca="1" si="17"/>
        <v>#NAME?</v>
      </c>
      <c r="R188" s="28">
        <v>0.48221149644814432</v>
      </c>
      <c r="S188" s="28">
        <v>0.67981524858623743</v>
      </c>
      <c r="T188" s="28">
        <v>0.63899170327931643</v>
      </c>
      <c r="U188" s="28">
        <v>0.82905334257520735</v>
      </c>
      <c r="V188" s="28">
        <v>0.50946092838421464</v>
      </c>
      <c r="W188" s="28">
        <v>0.41523777251131833</v>
      </c>
      <c r="X188" s="28">
        <v>0.38657694263383746</v>
      </c>
    </row>
    <row r="189" spans="1:24" ht="13.9">
      <c r="A189" s="1">
        <v>188</v>
      </c>
      <c r="B189" s="23" t="e">
        <f ca="1">_xludf.BETA.INV(R189,'04_PSA_INPUTS'!H5,'04_PSA_INPUTS'!I5)</f>
        <v>#NAME?</v>
      </c>
      <c r="C189" s="23" t="e">
        <f ca="1">_xludf.BETA.INV(S189,'04_PSA_INPUTS'!H6,'04_PSA_INPUTS'!I6)</f>
        <v>#NAME?</v>
      </c>
      <c r="D189" s="27" t="e">
        <f ca="1">_xludf.GAMMA.INV(T189,'04_PSA_INPUTS'!H7,'04_PSA_INPUTS'!I7)</f>
        <v>#NAME?</v>
      </c>
      <c r="E189" s="27" t="e">
        <f ca="1">_xludf.GAMMA.INV(U189,'04_PSA_INPUTS'!H8,'04_PSA_INPUTS'!I8)</f>
        <v>#NAME?</v>
      </c>
      <c r="F189" s="27" t="e">
        <f ca="1">_xludf.GAMMA.INV(V189,'04_PSA_INPUTS'!H9,'04_PSA_INPUTS'!I9)</f>
        <v>#NAME?</v>
      </c>
      <c r="G189" s="23" t="e">
        <f ca="1">_xludf.BETA.INV(W189,'04_PSA_INPUTS'!H10,'04_PSA_INPUTS'!I10)</f>
        <v>#NAME?</v>
      </c>
      <c r="H189" s="23" t="e">
        <f ca="1">_xludf.BETA.INV(X189,'04_PSA_INPUTS'!H11,'04_PSA_INPUTS'!I11)</f>
        <v>#NAME?</v>
      </c>
      <c r="I189" s="27" t="e">
        <f ca="1">D189+B189*F189+'01_INPUTS'!B20</f>
        <v>#NAME?</v>
      </c>
      <c r="J189" s="27" t="e">
        <f ca="1">E189+C189*F189+'01_INPUTS'!B21</f>
        <v>#NAME?</v>
      </c>
      <c r="K189" s="27" t="e">
        <f t="shared" ca="1" si="12"/>
        <v>#NAME?</v>
      </c>
      <c r="L189" s="23" t="e">
        <f t="shared" ca="1" si="13"/>
        <v>#NAME?</v>
      </c>
      <c r="M189" s="23" t="e">
        <f t="shared" ca="1" si="14"/>
        <v>#NAME?</v>
      </c>
      <c r="N189" s="23" t="e">
        <f t="shared" ca="1" si="15"/>
        <v>#NAME?</v>
      </c>
      <c r="O189" s="27" t="e">
        <f t="shared" ca="1" si="16"/>
        <v>#NAME?</v>
      </c>
      <c r="P189" s="27" t="e">
        <f ca="1">'01_INPUTS'!B9*N189-K189</f>
        <v>#NAME?</v>
      </c>
      <c r="Q189" s="1" t="e">
        <f t="shared" ca="1" si="17"/>
        <v>#NAME?</v>
      </c>
      <c r="R189" s="28">
        <v>0.70376172079704702</v>
      </c>
      <c r="S189" s="28">
        <v>0.98867321852594614</v>
      </c>
      <c r="T189" s="28">
        <v>5.0008023157715797E-2</v>
      </c>
      <c r="U189" s="28">
        <v>0.61228084680624306</v>
      </c>
      <c r="V189" s="28">
        <v>0.77390818204730749</v>
      </c>
      <c r="W189" s="28">
        <v>0.59240804286673665</v>
      </c>
      <c r="X189" s="28">
        <v>0.99631615309044719</v>
      </c>
    </row>
    <row r="190" spans="1:24" ht="13.9">
      <c r="A190" s="1">
        <v>189</v>
      </c>
      <c r="B190" s="23" t="e">
        <f ca="1">_xludf.BETA.INV(R190,'04_PSA_INPUTS'!H5,'04_PSA_INPUTS'!I5)</f>
        <v>#NAME?</v>
      </c>
      <c r="C190" s="23" t="e">
        <f ca="1">_xludf.BETA.INV(S190,'04_PSA_INPUTS'!H6,'04_PSA_INPUTS'!I6)</f>
        <v>#NAME?</v>
      </c>
      <c r="D190" s="27" t="e">
        <f ca="1">_xludf.GAMMA.INV(T190,'04_PSA_INPUTS'!H7,'04_PSA_INPUTS'!I7)</f>
        <v>#NAME?</v>
      </c>
      <c r="E190" s="27" t="e">
        <f ca="1">_xludf.GAMMA.INV(U190,'04_PSA_INPUTS'!H8,'04_PSA_INPUTS'!I8)</f>
        <v>#NAME?</v>
      </c>
      <c r="F190" s="27" t="e">
        <f ca="1">_xludf.GAMMA.INV(V190,'04_PSA_INPUTS'!H9,'04_PSA_INPUTS'!I9)</f>
        <v>#NAME?</v>
      </c>
      <c r="G190" s="23" t="e">
        <f ca="1">_xludf.BETA.INV(W190,'04_PSA_INPUTS'!H10,'04_PSA_INPUTS'!I10)</f>
        <v>#NAME?</v>
      </c>
      <c r="H190" s="23" t="e">
        <f ca="1">_xludf.BETA.INV(X190,'04_PSA_INPUTS'!H11,'04_PSA_INPUTS'!I11)</f>
        <v>#NAME?</v>
      </c>
      <c r="I190" s="27" t="e">
        <f ca="1">D190+B190*F190+'01_INPUTS'!B20</f>
        <v>#NAME?</v>
      </c>
      <c r="J190" s="27" t="e">
        <f ca="1">E190+C190*F190+'01_INPUTS'!B21</f>
        <v>#NAME?</v>
      </c>
      <c r="K190" s="27" t="e">
        <f t="shared" ca="1" si="12"/>
        <v>#NAME?</v>
      </c>
      <c r="L190" s="23" t="e">
        <f t="shared" ca="1" si="13"/>
        <v>#NAME?</v>
      </c>
      <c r="M190" s="23" t="e">
        <f t="shared" ca="1" si="14"/>
        <v>#NAME?</v>
      </c>
      <c r="N190" s="23" t="e">
        <f t="shared" ca="1" si="15"/>
        <v>#NAME?</v>
      </c>
      <c r="O190" s="27" t="e">
        <f t="shared" ca="1" si="16"/>
        <v>#NAME?</v>
      </c>
      <c r="P190" s="27" t="e">
        <f ca="1">'01_INPUTS'!B9*N190-K190</f>
        <v>#NAME?</v>
      </c>
      <c r="Q190" s="1" t="e">
        <f t="shared" ca="1" si="17"/>
        <v>#NAME?</v>
      </c>
      <c r="R190" s="28">
        <v>0.89286866527982056</v>
      </c>
      <c r="S190" s="28">
        <v>0.35743094887584448</v>
      </c>
      <c r="T190" s="28">
        <v>0.71109847142361104</v>
      </c>
      <c r="U190" s="28">
        <v>0.93695640261285007</v>
      </c>
      <c r="V190" s="28">
        <v>0.22537669888697565</v>
      </c>
      <c r="W190" s="28">
        <v>0.36471864115446806</v>
      </c>
      <c r="X190" s="28">
        <v>0.59986093849875033</v>
      </c>
    </row>
    <row r="191" spans="1:24" ht="13.9">
      <c r="A191" s="1">
        <v>190</v>
      </c>
      <c r="B191" s="23" t="e">
        <f ca="1">_xludf.BETA.INV(R191,'04_PSA_INPUTS'!H5,'04_PSA_INPUTS'!I5)</f>
        <v>#NAME?</v>
      </c>
      <c r="C191" s="23" t="e">
        <f ca="1">_xludf.BETA.INV(S191,'04_PSA_INPUTS'!H6,'04_PSA_INPUTS'!I6)</f>
        <v>#NAME?</v>
      </c>
      <c r="D191" s="27" t="e">
        <f ca="1">_xludf.GAMMA.INV(T191,'04_PSA_INPUTS'!H7,'04_PSA_INPUTS'!I7)</f>
        <v>#NAME?</v>
      </c>
      <c r="E191" s="27" t="e">
        <f ca="1">_xludf.GAMMA.INV(U191,'04_PSA_INPUTS'!H8,'04_PSA_INPUTS'!I8)</f>
        <v>#NAME?</v>
      </c>
      <c r="F191" s="27" t="e">
        <f ca="1">_xludf.GAMMA.INV(V191,'04_PSA_INPUTS'!H9,'04_PSA_INPUTS'!I9)</f>
        <v>#NAME?</v>
      </c>
      <c r="G191" s="23" t="e">
        <f ca="1">_xludf.BETA.INV(W191,'04_PSA_INPUTS'!H10,'04_PSA_INPUTS'!I10)</f>
        <v>#NAME?</v>
      </c>
      <c r="H191" s="23" t="e">
        <f ca="1">_xludf.BETA.INV(X191,'04_PSA_INPUTS'!H11,'04_PSA_INPUTS'!I11)</f>
        <v>#NAME?</v>
      </c>
      <c r="I191" s="27" t="e">
        <f ca="1">D191+B191*F191+'01_INPUTS'!B20</f>
        <v>#NAME?</v>
      </c>
      <c r="J191" s="27" t="e">
        <f ca="1">E191+C191*F191+'01_INPUTS'!B21</f>
        <v>#NAME?</v>
      </c>
      <c r="K191" s="27" t="e">
        <f t="shared" ca="1" si="12"/>
        <v>#NAME?</v>
      </c>
      <c r="L191" s="23" t="e">
        <f t="shared" ca="1" si="13"/>
        <v>#NAME?</v>
      </c>
      <c r="M191" s="23" t="e">
        <f t="shared" ca="1" si="14"/>
        <v>#NAME?</v>
      </c>
      <c r="N191" s="23" t="e">
        <f t="shared" ca="1" si="15"/>
        <v>#NAME?</v>
      </c>
      <c r="O191" s="27" t="e">
        <f t="shared" ca="1" si="16"/>
        <v>#NAME?</v>
      </c>
      <c r="P191" s="27" t="e">
        <f ca="1">'01_INPUTS'!B9*N191-K191</f>
        <v>#NAME?</v>
      </c>
      <c r="Q191" s="1" t="e">
        <f t="shared" ca="1" si="17"/>
        <v>#NAME?</v>
      </c>
      <c r="R191" s="28">
        <v>5.8066786034032702E-2</v>
      </c>
      <c r="S191" s="28">
        <v>0.37622078531421721</v>
      </c>
      <c r="T191" s="28">
        <v>0.93770563788712025</v>
      </c>
      <c r="U191" s="28">
        <v>0.70373953972011805</v>
      </c>
      <c r="V191" s="28">
        <v>0.52588037238456309</v>
      </c>
      <c r="W191" s="28">
        <v>0.19307147385552526</v>
      </c>
      <c r="X191" s="28">
        <v>7.200231053866446E-2</v>
      </c>
    </row>
    <row r="192" spans="1:24" ht="13.9">
      <c r="A192" s="1">
        <v>191</v>
      </c>
      <c r="B192" s="23" t="e">
        <f ca="1">_xludf.BETA.INV(R192,'04_PSA_INPUTS'!H5,'04_PSA_INPUTS'!I5)</f>
        <v>#NAME?</v>
      </c>
      <c r="C192" s="23" t="e">
        <f ca="1">_xludf.BETA.INV(S192,'04_PSA_INPUTS'!H6,'04_PSA_INPUTS'!I6)</f>
        <v>#NAME?</v>
      </c>
      <c r="D192" s="27" t="e">
        <f ca="1">_xludf.GAMMA.INV(T192,'04_PSA_INPUTS'!H7,'04_PSA_INPUTS'!I7)</f>
        <v>#NAME?</v>
      </c>
      <c r="E192" s="27" t="e">
        <f ca="1">_xludf.GAMMA.INV(U192,'04_PSA_INPUTS'!H8,'04_PSA_INPUTS'!I8)</f>
        <v>#NAME?</v>
      </c>
      <c r="F192" s="27" t="e">
        <f ca="1">_xludf.GAMMA.INV(V192,'04_PSA_INPUTS'!H9,'04_PSA_INPUTS'!I9)</f>
        <v>#NAME?</v>
      </c>
      <c r="G192" s="23" t="e">
        <f ca="1">_xludf.BETA.INV(W192,'04_PSA_INPUTS'!H10,'04_PSA_INPUTS'!I10)</f>
        <v>#NAME?</v>
      </c>
      <c r="H192" s="23" t="e">
        <f ca="1">_xludf.BETA.INV(X192,'04_PSA_INPUTS'!H11,'04_PSA_INPUTS'!I11)</f>
        <v>#NAME?</v>
      </c>
      <c r="I192" s="27" t="e">
        <f ca="1">D192+B192*F192+'01_INPUTS'!B20</f>
        <v>#NAME?</v>
      </c>
      <c r="J192" s="27" t="e">
        <f ca="1">E192+C192*F192+'01_INPUTS'!B21</f>
        <v>#NAME?</v>
      </c>
      <c r="K192" s="27" t="e">
        <f t="shared" ca="1" si="12"/>
        <v>#NAME?</v>
      </c>
      <c r="L192" s="23" t="e">
        <f t="shared" ca="1" si="13"/>
        <v>#NAME?</v>
      </c>
      <c r="M192" s="23" t="e">
        <f t="shared" ca="1" si="14"/>
        <v>#NAME?</v>
      </c>
      <c r="N192" s="23" t="e">
        <f t="shared" ca="1" si="15"/>
        <v>#NAME?</v>
      </c>
      <c r="O192" s="27" t="e">
        <f t="shared" ca="1" si="16"/>
        <v>#NAME?</v>
      </c>
      <c r="P192" s="27" t="e">
        <f ca="1">'01_INPUTS'!B9*N192-K192</f>
        <v>#NAME?</v>
      </c>
      <c r="Q192" s="1" t="e">
        <f t="shared" ca="1" si="17"/>
        <v>#NAME?</v>
      </c>
      <c r="R192" s="28">
        <v>0.97416200675070286</v>
      </c>
      <c r="S192" s="28">
        <v>0.16403648676350713</v>
      </c>
      <c r="T192" s="28">
        <v>0.71870636264793575</v>
      </c>
      <c r="U192" s="28">
        <v>5.31123171094805E-2</v>
      </c>
      <c r="V192" s="28">
        <v>0.34798224386759102</v>
      </c>
      <c r="W192" s="28">
        <v>2.7641304535791278E-2</v>
      </c>
      <c r="X192" s="28">
        <v>0.93006862583570182</v>
      </c>
    </row>
    <row r="193" spans="1:24" ht="13.9">
      <c r="A193" s="1">
        <v>192</v>
      </c>
      <c r="B193" s="23" t="e">
        <f ca="1">_xludf.BETA.INV(R193,'04_PSA_INPUTS'!H5,'04_PSA_INPUTS'!I5)</f>
        <v>#NAME?</v>
      </c>
      <c r="C193" s="23" t="e">
        <f ca="1">_xludf.BETA.INV(S193,'04_PSA_INPUTS'!H6,'04_PSA_INPUTS'!I6)</f>
        <v>#NAME?</v>
      </c>
      <c r="D193" s="27" t="e">
        <f ca="1">_xludf.GAMMA.INV(T193,'04_PSA_INPUTS'!H7,'04_PSA_INPUTS'!I7)</f>
        <v>#NAME?</v>
      </c>
      <c r="E193" s="27" t="e">
        <f ca="1">_xludf.GAMMA.INV(U193,'04_PSA_INPUTS'!H8,'04_PSA_INPUTS'!I8)</f>
        <v>#NAME?</v>
      </c>
      <c r="F193" s="27" t="e">
        <f ca="1">_xludf.GAMMA.INV(V193,'04_PSA_INPUTS'!H9,'04_PSA_INPUTS'!I9)</f>
        <v>#NAME?</v>
      </c>
      <c r="G193" s="23" t="e">
        <f ca="1">_xludf.BETA.INV(W193,'04_PSA_INPUTS'!H10,'04_PSA_INPUTS'!I10)</f>
        <v>#NAME?</v>
      </c>
      <c r="H193" s="23" t="e">
        <f ca="1">_xludf.BETA.INV(X193,'04_PSA_INPUTS'!H11,'04_PSA_INPUTS'!I11)</f>
        <v>#NAME?</v>
      </c>
      <c r="I193" s="27" t="e">
        <f ca="1">D193+B193*F193+'01_INPUTS'!B20</f>
        <v>#NAME?</v>
      </c>
      <c r="J193" s="27" t="e">
        <f ca="1">E193+C193*F193+'01_INPUTS'!B21</f>
        <v>#NAME?</v>
      </c>
      <c r="K193" s="27" t="e">
        <f t="shared" ca="1" si="12"/>
        <v>#NAME?</v>
      </c>
      <c r="L193" s="23" t="e">
        <f t="shared" ca="1" si="13"/>
        <v>#NAME?</v>
      </c>
      <c r="M193" s="23" t="e">
        <f t="shared" ca="1" si="14"/>
        <v>#NAME?</v>
      </c>
      <c r="N193" s="23" t="e">
        <f t="shared" ca="1" si="15"/>
        <v>#NAME?</v>
      </c>
      <c r="O193" s="27" t="e">
        <f t="shared" ca="1" si="16"/>
        <v>#NAME?</v>
      </c>
      <c r="P193" s="27" t="e">
        <f ca="1">'01_INPUTS'!B9*N193-K193</f>
        <v>#NAME?</v>
      </c>
      <c r="Q193" s="1" t="e">
        <f t="shared" ca="1" si="17"/>
        <v>#NAME?</v>
      </c>
      <c r="R193" s="28">
        <v>0.82922871108166873</v>
      </c>
      <c r="S193" s="28">
        <v>0.75849248887971044</v>
      </c>
      <c r="T193" s="28">
        <v>0.32067486387677491</v>
      </c>
      <c r="U193" s="28">
        <v>0.31162535143084824</v>
      </c>
      <c r="V193" s="28">
        <v>0.98437436809763312</v>
      </c>
      <c r="W193" s="28">
        <v>7.0338717661798E-2</v>
      </c>
      <c r="X193" s="28">
        <v>6.5157143631950021E-2</v>
      </c>
    </row>
    <row r="194" spans="1:24" ht="13.9">
      <c r="A194" s="1">
        <v>193</v>
      </c>
      <c r="B194" s="23" t="e">
        <f ca="1">_xludf.BETA.INV(R194,'04_PSA_INPUTS'!H5,'04_PSA_INPUTS'!I5)</f>
        <v>#NAME?</v>
      </c>
      <c r="C194" s="23" t="e">
        <f ca="1">_xludf.BETA.INV(S194,'04_PSA_INPUTS'!H6,'04_PSA_INPUTS'!I6)</f>
        <v>#NAME?</v>
      </c>
      <c r="D194" s="27" t="e">
        <f ca="1">_xludf.GAMMA.INV(T194,'04_PSA_INPUTS'!H7,'04_PSA_INPUTS'!I7)</f>
        <v>#NAME?</v>
      </c>
      <c r="E194" s="27" t="e">
        <f ca="1">_xludf.GAMMA.INV(U194,'04_PSA_INPUTS'!H8,'04_PSA_INPUTS'!I8)</f>
        <v>#NAME?</v>
      </c>
      <c r="F194" s="27" t="e">
        <f ca="1">_xludf.GAMMA.INV(V194,'04_PSA_INPUTS'!H9,'04_PSA_INPUTS'!I9)</f>
        <v>#NAME?</v>
      </c>
      <c r="G194" s="23" t="e">
        <f ca="1">_xludf.BETA.INV(W194,'04_PSA_INPUTS'!H10,'04_PSA_INPUTS'!I10)</f>
        <v>#NAME?</v>
      </c>
      <c r="H194" s="23" t="e">
        <f ca="1">_xludf.BETA.INV(X194,'04_PSA_INPUTS'!H11,'04_PSA_INPUTS'!I11)</f>
        <v>#NAME?</v>
      </c>
      <c r="I194" s="27" t="e">
        <f ca="1">D194+B194*F194+'01_INPUTS'!B20</f>
        <v>#NAME?</v>
      </c>
      <c r="J194" s="27" t="e">
        <f ca="1">E194+C194*F194+'01_INPUTS'!B21</f>
        <v>#NAME?</v>
      </c>
      <c r="K194" s="27" t="e">
        <f t="shared" ref="K194:K257" ca="1" si="18">I194-J194</f>
        <v>#NAME?</v>
      </c>
      <c r="L194" s="23" t="e">
        <f t="shared" ref="L194:L257" ca="1" si="19">G194-B194*H194</f>
        <v>#NAME?</v>
      </c>
      <c r="M194" s="23" t="e">
        <f t="shared" ref="M194:M257" ca="1" si="20">G194-C194*H194</f>
        <v>#NAME?</v>
      </c>
      <c r="N194" s="23" t="e">
        <f t="shared" ref="N194:N257" ca="1" si="21">L194-M194</f>
        <v>#NAME?</v>
      </c>
      <c r="O194" s="27" t="e">
        <f t="shared" ref="O194:O257" ca="1" si="22">IF(N194=0,"",K194/N194)</f>
        <v>#NAME?</v>
      </c>
      <c r="P194" s="27" t="e">
        <f ca="1">'01_INPUTS'!B9*N194-K194</f>
        <v>#NAME?</v>
      </c>
      <c r="Q194" s="1" t="e">
        <f t="shared" ref="Q194:Q257" ca="1" si="23">IF(P194&gt;0,1,0)</f>
        <v>#NAME?</v>
      </c>
      <c r="R194" s="28">
        <v>0.84484142926521599</v>
      </c>
      <c r="S194" s="28">
        <v>0.47172091761603951</v>
      </c>
      <c r="T194" s="28">
        <v>0.80154597060754895</v>
      </c>
      <c r="U194" s="28">
        <v>0.18033822905272245</v>
      </c>
      <c r="V194" s="28">
        <v>0.23431647359393537</v>
      </c>
      <c r="W194" s="28">
        <v>0.13310778304003179</v>
      </c>
      <c r="X194" s="28">
        <v>0.74655859568156302</v>
      </c>
    </row>
    <row r="195" spans="1:24" ht="13.9">
      <c r="A195" s="1">
        <v>194</v>
      </c>
      <c r="B195" s="23" t="e">
        <f ca="1">_xludf.BETA.INV(R195,'04_PSA_INPUTS'!H5,'04_PSA_INPUTS'!I5)</f>
        <v>#NAME?</v>
      </c>
      <c r="C195" s="23" t="e">
        <f ca="1">_xludf.BETA.INV(S195,'04_PSA_INPUTS'!H6,'04_PSA_INPUTS'!I6)</f>
        <v>#NAME?</v>
      </c>
      <c r="D195" s="27" t="e">
        <f ca="1">_xludf.GAMMA.INV(T195,'04_PSA_INPUTS'!H7,'04_PSA_INPUTS'!I7)</f>
        <v>#NAME?</v>
      </c>
      <c r="E195" s="27" t="e">
        <f ca="1">_xludf.GAMMA.INV(U195,'04_PSA_INPUTS'!H8,'04_PSA_INPUTS'!I8)</f>
        <v>#NAME?</v>
      </c>
      <c r="F195" s="27" t="e">
        <f ca="1">_xludf.GAMMA.INV(V195,'04_PSA_INPUTS'!H9,'04_PSA_INPUTS'!I9)</f>
        <v>#NAME?</v>
      </c>
      <c r="G195" s="23" t="e">
        <f ca="1">_xludf.BETA.INV(W195,'04_PSA_INPUTS'!H10,'04_PSA_INPUTS'!I10)</f>
        <v>#NAME?</v>
      </c>
      <c r="H195" s="23" t="e">
        <f ca="1">_xludf.BETA.INV(X195,'04_PSA_INPUTS'!H11,'04_PSA_INPUTS'!I11)</f>
        <v>#NAME?</v>
      </c>
      <c r="I195" s="27" t="e">
        <f ca="1">D195+B195*F195+'01_INPUTS'!B20</f>
        <v>#NAME?</v>
      </c>
      <c r="J195" s="27" t="e">
        <f ca="1">E195+C195*F195+'01_INPUTS'!B21</f>
        <v>#NAME?</v>
      </c>
      <c r="K195" s="27" t="e">
        <f t="shared" ca="1" si="18"/>
        <v>#NAME?</v>
      </c>
      <c r="L195" s="23" t="e">
        <f t="shared" ca="1" si="19"/>
        <v>#NAME?</v>
      </c>
      <c r="M195" s="23" t="e">
        <f t="shared" ca="1" si="20"/>
        <v>#NAME?</v>
      </c>
      <c r="N195" s="23" t="e">
        <f t="shared" ca="1" si="21"/>
        <v>#NAME?</v>
      </c>
      <c r="O195" s="27" t="e">
        <f t="shared" ca="1" si="22"/>
        <v>#NAME?</v>
      </c>
      <c r="P195" s="27" t="e">
        <f ca="1">'01_INPUTS'!B9*N195-K195</f>
        <v>#NAME?</v>
      </c>
      <c r="Q195" s="1" t="e">
        <f t="shared" ca="1" si="23"/>
        <v>#NAME?</v>
      </c>
      <c r="R195" s="28">
        <v>0.23285032459534705</v>
      </c>
      <c r="S195" s="28">
        <v>0.73853781493380666</v>
      </c>
      <c r="T195" s="28">
        <v>0.46207914222031832</v>
      </c>
      <c r="U195" s="28">
        <v>8.0910724122077227E-2</v>
      </c>
      <c r="V195" s="28">
        <v>8.0677967984229326E-2</v>
      </c>
      <c r="W195" s="28">
        <v>0.83655534684658051</v>
      </c>
      <c r="X195" s="28">
        <v>0.56029860721901059</v>
      </c>
    </row>
    <row r="196" spans="1:24" ht="13.9">
      <c r="A196" s="1">
        <v>195</v>
      </c>
      <c r="B196" s="23" t="e">
        <f ca="1">_xludf.BETA.INV(R196,'04_PSA_INPUTS'!H5,'04_PSA_INPUTS'!I5)</f>
        <v>#NAME?</v>
      </c>
      <c r="C196" s="23" t="e">
        <f ca="1">_xludf.BETA.INV(S196,'04_PSA_INPUTS'!H6,'04_PSA_INPUTS'!I6)</f>
        <v>#NAME?</v>
      </c>
      <c r="D196" s="27" t="e">
        <f ca="1">_xludf.GAMMA.INV(T196,'04_PSA_INPUTS'!H7,'04_PSA_INPUTS'!I7)</f>
        <v>#NAME?</v>
      </c>
      <c r="E196" s="27" t="e">
        <f ca="1">_xludf.GAMMA.INV(U196,'04_PSA_INPUTS'!H8,'04_PSA_INPUTS'!I8)</f>
        <v>#NAME?</v>
      </c>
      <c r="F196" s="27" t="e">
        <f ca="1">_xludf.GAMMA.INV(V196,'04_PSA_INPUTS'!H9,'04_PSA_INPUTS'!I9)</f>
        <v>#NAME?</v>
      </c>
      <c r="G196" s="23" t="e">
        <f ca="1">_xludf.BETA.INV(W196,'04_PSA_INPUTS'!H10,'04_PSA_INPUTS'!I10)</f>
        <v>#NAME?</v>
      </c>
      <c r="H196" s="23" t="e">
        <f ca="1">_xludf.BETA.INV(X196,'04_PSA_INPUTS'!H11,'04_PSA_INPUTS'!I11)</f>
        <v>#NAME?</v>
      </c>
      <c r="I196" s="27" t="e">
        <f ca="1">D196+B196*F196+'01_INPUTS'!B20</f>
        <v>#NAME?</v>
      </c>
      <c r="J196" s="27" t="e">
        <f ca="1">E196+C196*F196+'01_INPUTS'!B21</f>
        <v>#NAME?</v>
      </c>
      <c r="K196" s="27" t="e">
        <f t="shared" ca="1" si="18"/>
        <v>#NAME?</v>
      </c>
      <c r="L196" s="23" t="e">
        <f t="shared" ca="1" si="19"/>
        <v>#NAME?</v>
      </c>
      <c r="M196" s="23" t="e">
        <f t="shared" ca="1" si="20"/>
        <v>#NAME?</v>
      </c>
      <c r="N196" s="23" t="e">
        <f t="shared" ca="1" si="21"/>
        <v>#NAME?</v>
      </c>
      <c r="O196" s="27" t="e">
        <f t="shared" ca="1" si="22"/>
        <v>#NAME?</v>
      </c>
      <c r="P196" s="27" t="e">
        <f ca="1">'01_INPUTS'!B9*N196-K196</f>
        <v>#NAME?</v>
      </c>
      <c r="Q196" s="1" t="e">
        <f t="shared" ca="1" si="23"/>
        <v>#NAME?</v>
      </c>
      <c r="R196" s="28">
        <v>0.97687779972329736</v>
      </c>
      <c r="S196" s="28">
        <v>0.80895535158924758</v>
      </c>
      <c r="T196" s="28">
        <v>0.95035341614857316</v>
      </c>
      <c r="U196" s="28">
        <v>0.79744590120390058</v>
      </c>
      <c r="V196" s="28">
        <v>0.42487107613123953</v>
      </c>
      <c r="W196" s="28">
        <v>0.49659575358964503</v>
      </c>
      <c r="X196" s="28">
        <v>0.60118809249252081</v>
      </c>
    </row>
    <row r="197" spans="1:24" ht="13.9">
      <c r="A197" s="1">
        <v>196</v>
      </c>
      <c r="B197" s="23" t="e">
        <f ca="1">_xludf.BETA.INV(R197,'04_PSA_INPUTS'!H5,'04_PSA_INPUTS'!I5)</f>
        <v>#NAME?</v>
      </c>
      <c r="C197" s="23" t="e">
        <f ca="1">_xludf.BETA.INV(S197,'04_PSA_INPUTS'!H6,'04_PSA_INPUTS'!I6)</f>
        <v>#NAME?</v>
      </c>
      <c r="D197" s="27" t="e">
        <f ca="1">_xludf.GAMMA.INV(T197,'04_PSA_INPUTS'!H7,'04_PSA_INPUTS'!I7)</f>
        <v>#NAME?</v>
      </c>
      <c r="E197" s="27" t="e">
        <f ca="1">_xludf.GAMMA.INV(U197,'04_PSA_INPUTS'!H8,'04_PSA_INPUTS'!I8)</f>
        <v>#NAME?</v>
      </c>
      <c r="F197" s="27" t="e">
        <f ca="1">_xludf.GAMMA.INV(V197,'04_PSA_INPUTS'!H9,'04_PSA_INPUTS'!I9)</f>
        <v>#NAME?</v>
      </c>
      <c r="G197" s="23" t="e">
        <f ca="1">_xludf.BETA.INV(W197,'04_PSA_INPUTS'!H10,'04_PSA_INPUTS'!I10)</f>
        <v>#NAME?</v>
      </c>
      <c r="H197" s="23" t="e">
        <f ca="1">_xludf.BETA.INV(X197,'04_PSA_INPUTS'!H11,'04_PSA_INPUTS'!I11)</f>
        <v>#NAME?</v>
      </c>
      <c r="I197" s="27" t="e">
        <f ca="1">D197+B197*F197+'01_INPUTS'!B20</f>
        <v>#NAME?</v>
      </c>
      <c r="J197" s="27" t="e">
        <f ca="1">E197+C197*F197+'01_INPUTS'!B21</f>
        <v>#NAME?</v>
      </c>
      <c r="K197" s="27" t="e">
        <f t="shared" ca="1" si="18"/>
        <v>#NAME?</v>
      </c>
      <c r="L197" s="23" t="e">
        <f t="shared" ca="1" si="19"/>
        <v>#NAME?</v>
      </c>
      <c r="M197" s="23" t="e">
        <f t="shared" ca="1" si="20"/>
        <v>#NAME?</v>
      </c>
      <c r="N197" s="23" t="e">
        <f t="shared" ca="1" si="21"/>
        <v>#NAME?</v>
      </c>
      <c r="O197" s="27" t="e">
        <f t="shared" ca="1" si="22"/>
        <v>#NAME?</v>
      </c>
      <c r="P197" s="27" t="e">
        <f ca="1">'01_INPUTS'!B9*N197-K197</f>
        <v>#NAME?</v>
      </c>
      <c r="Q197" s="1" t="e">
        <f t="shared" ca="1" si="23"/>
        <v>#NAME?</v>
      </c>
      <c r="R197" s="28">
        <v>7.0801659254357219E-2</v>
      </c>
      <c r="S197" s="28">
        <v>0.2769916276447475</v>
      </c>
      <c r="T197" s="28">
        <v>0.24593137251213193</v>
      </c>
      <c r="U197" s="28">
        <v>0.66140218847431242</v>
      </c>
      <c r="V197" s="28">
        <v>0.58322730218060315</v>
      </c>
      <c r="W197" s="28">
        <v>0.63060025661252439</v>
      </c>
      <c r="X197" s="28">
        <v>0.13689630036242306</v>
      </c>
    </row>
    <row r="198" spans="1:24" ht="13.9">
      <c r="A198" s="1">
        <v>197</v>
      </c>
      <c r="B198" s="23" t="e">
        <f ca="1">_xludf.BETA.INV(R198,'04_PSA_INPUTS'!H5,'04_PSA_INPUTS'!I5)</f>
        <v>#NAME?</v>
      </c>
      <c r="C198" s="23" t="e">
        <f ca="1">_xludf.BETA.INV(S198,'04_PSA_INPUTS'!H6,'04_PSA_INPUTS'!I6)</f>
        <v>#NAME?</v>
      </c>
      <c r="D198" s="27" t="e">
        <f ca="1">_xludf.GAMMA.INV(T198,'04_PSA_INPUTS'!H7,'04_PSA_INPUTS'!I7)</f>
        <v>#NAME?</v>
      </c>
      <c r="E198" s="27" t="e">
        <f ca="1">_xludf.GAMMA.INV(U198,'04_PSA_INPUTS'!H8,'04_PSA_INPUTS'!I8)</f>
        <v>#NAME?</v>
      </c>
      <c r="F198" s="27" t="e">
        <f ca="1">_xludf.GAMMA.INV(V198,'04_PSA_INPUTS'!H9,'04_PSA_INPUTS'!I9)</f>
        <v>#NAME?</v>
      </c>
      <c r="G198" s="23" t="e">
        <f ca="1">_xludf.BETA.INV(W198,'04_PSA_INPUTS'!H10,'04_PSA_INPUTS'!I10)</f>
        <v>#NAME?</v>
      </c>
      <c r="H198" s="23" t="e">
        <f ca="1">_xludf.BETA.INV(X198,'04_PSA_INPUTS'!H11,'04_PSA_INPUTS'!I11)</f>
        <v>#NAME?</v>
      </c>
      <c r="I198" s="27" t="e">
        <f ca="1">D198+B198*F198+'01_INPUTS'!B20</f>
        <v>#NAME?</v>
      </c>
      <c r="J198" s="27" t="e">
        <f ca="1">E198+C198*F198+'01_INPUTS'!B21</f>
        <v>#NAME?</v>
      </c>
      <c r="K198" s="27" t="e">
        <f t="shared" ca="1" si="18"/>
        <v>#NAME?</v>
      </c>
      <c r="L198" s="23" t="e">
        <f t="shared" ca="1" si="19"/>
        <v>#NAME?</v>
      </c>
      <c r="M198" s="23" t="e">
        <f t="shared" ca="1" si="20"/>
        <v>#NAME?</v>
      </c>
      <c r="N198" s="23" t="e">
        <f t="shared" ca="1" si="21"/>
        <v>#NAME?</v>
      </c>
      <c r="O198" s="27" t="e">
        <f t="shared" ca="1" si="22"/>
        <v>#NAME?</v>
      </c>
      <c r="P198" s="27" t="e">
        <f ca="1">'01_INPUTS'!B9*N198-K198</f>
        <v>#NAME?</v>
      </c>
      <c r="Q198" s="1" t="e">
        <f t="shared" ca="1" si="23"/>
        <v>#NAME?</v>
      </c>
      <c r="R198" s="28">
        <v>0.51024784101173282</v>
      </c>
      <c r="S198" s="28">
        <v>0.5252168804872781</v>
      </c>
      <c r="T198" s="28">
        <v>0.84166470170021057</v>
      </c>
      <c r="U198" s="28">
        <v>0.70180339342914522</v>
      </c>
      <c r="V198" s="28">
        <v>0.14422435848973691</v>
      </c>
      <c r="W198" s="28">
        <v>0.83119706064462662</v>
      </c>
      <c r="X198" s="28">
        <v>0.34801113302819431</v>
      </c>
    </row>
    <row r="199" spans="1:24" ht="13.9">
      <c r="A199" s="1">
        <v>198</v>
      </c>
      <c r="B199" s="23" t="e">
        <f ca="1">_xludf.BETA.INV(R199,'04_PSA_INPUTS'!H5,'04_PSA_INPUTS'!I5)</f>
        <v>#NAME?</v>
      </c>
      <c r="C199" s="23" t="e">
        <f ca="1">_xludf.BETA.INV(S199,'04_PSA_INPUTS'!H6,'04_PSA_INPUTS'!I6)</f>
        <v>#NAME?</v>
      </c>
      <c r="D199" s="27" t="e">
        <f ca="1">_xludf.GAMMA.INV(T199,'04_PSA_INPUTS'!H7,'04_PSA_INPUTS'!I7)</f>
        <v>#NAME?</v>
      </c>
      <c r="E199" s="27" t="e">
        <f ca="1">_xludf.GAMMA.INV(U199,'04_PSA_INPUTS'!H8,'04_PSA_INPUTS'!I8)</f>
        <v>#NAME?</v>
      </c>
      <c r="F199" s="27" t="e">
        <f ca="1">_xludf.GAMMA.INV(V199,'04_PSA_INPUTS'!H9,'04_PSA_INPUTS'!I9)</f>
        <v>#NAME?</v>
      </c>
      <c r="G199" s="23" t="e">
        <f ca="1">_xludf.BETA.INV(W199,'04_PSA_INPUTS'!H10,'04_PSA_INPUTS'!I10)</f>
        <v>#NAME?</v>
      </c>
      <c r="H199" s="23" t="e">
        <f ca="1">_xludf.BETA.INV(X199,'04_PSA_INPUTS'!H11,'04_PSA_INPUTS'!I11)</f>
        <v>#NAME?</v>
      </c>
      <c r="I199" s="27" t="e">
        <f ca="1">D199+B199*F199+'01_INPUTS'!B20</f>
        <v>#NAME?</v>
      </c>
      <c r="J199" s="27" t="e">
        <f ca="1">E199+C199*F199+'01_INPUTS'!B21</f>
        <v>#NAME?</v>
      </c>
      <c r="K199" s="27" t="e">
        <f t="shared" ca="1" si="18"/>
        <v>#NAME?</v>
      </c>
      <c r="L199" s="23" t="e">
        <f t="shared" ca="1" si="19"/>
        <v>#NAME?</v>
      </c>
      <c r="M199" s="23" t="e">
        <f t="shared" ca="1" si="20"/>
        <v>#NAME?</v>
      </c>
      <c r="N199" s="23" t="e">
        <f t="shared" ca="1" si="21"/>
        <v>#NAME?</v>
      </c>
      <c r="O199" s="27" t="e">
        <f t="shared" ca="1" si="22"/>
        <v>#NAME?</v>
      </c>
      <c r="P199" s="27" t="e">
        <f ca="1">'01_INPUTS'!B9*N199-K199</f>
        <v>#NAME?</v>
      </c>
      <c r="Q199" s="1" t="e">
        <f t="shared" ca="1" si="23"/>
        <v>#NAME?</v>
      </c>
      <c r="R199" s="28">
        <v>0.93318483582697809</v>
      </c>
      <c r="S199" s="28">
        <v>8.4243869176134467E-2</v>
      </c>
      <c r="T199" s="28">
        <v>0.50466761225834489</v>
      </c>
      <c r="U199" s="28">
        <v>0.51007577497512102</v>
      </c>
      <c r="V199" s="28">
        <v>0.12119953357614577</v>
      </c>
      <c r="W199" s="28">
        <v>0.33132528746500611</v>
      </c>
      <c r="X199" s="28">
        <v>0.46038679126650095</v>
      </c>
    </row>
    <row r="200" spans="1:24" ht="13.9">
      <c r="A200" s="1">
        <v>199</v>
      </c>
      <c r="B200" s="23" t="e">
        <f ca="1">_xludf.BETA.INV(R200,'04_PSA_INPUTS'!H5,'04_PSA_INPUTS'!I5)</f>
        <v>#NAME?</v>
      </c>
      <c r="C200" s="23" t="e">
        <f ca="1">_xludf.BETA.INV(S200,'04_PSA_INPUTS'!H6,'04_PSA_INPUTS'!I6)</f>
        <v>#NAME?</v>
      </c>
      <c r="D200" s="27" t="e">
        <f ca="1">_xludf.GAMMA.INV(T200,'04_PSA_INPUTS'!H7,'04_PSA_INPUTS'!I7)</f>
        <v>#NAME?</v>
      </c>
      <c r="E200" s="27" t="e">
        <f ca="1">_xludf.GAMMA.INV(U200,'04_PSA_INPUTS'!H8,'04_PSA_INPUTS'!I8)</f>
        <v>#NAME?</v>
      </c>
      <c r="F200" s="27" t="e">
        <f ca="1">_xludf.GAMMA.INV(V200,'04_PSA_INPUTS'!H9,'04_PSA_INPUTS'!I9)</f>
        <v>#NAME?</v>
      </c>
      <c r="G200" s="23" t="e">
        <f ca="1">_xludf.BETA.INV(W200,'04_PSA_INPUTS'!H10,'04_PSA_INPUTS'!I10)</f>
        <v>#NAME?</v>
      </c>
      <c r="H200" s="23" t="e">
        <f ca="1">_xludf.BETA.INV(X200,'04_PSA_INPUTS'!H11,'04_PSA_INPUTS'!I11)</f>
        <v>#NAME?</v>
      </c>
      <c r="I200" s="27" t="e">
        <f ca="1">D200+B200*F200+'01_INPUTS'!B20</f>
        <v>#NAME?</v>
      </c>
      <c r="J200" s="27" t="e">
        <f ca="1">E200+C200*F200+'01_INPUTS'!B21</f>
        <v>#NAME?</v>
      </c>
      <c r="K200" s="27" t="e">
        <f t="shared" ca="1" si="18"/>
        <v>#NAME?</v>
      </c>
      <c r="L200" s="23" t="e">
        <f t="shared" ca="1" si="19"/>
        <v>#NAME?</v>
      </c>
      <c r="M200" s="23" t="e">
        <f t="shared" ca="1" si="20"/>
        <v>#NAME?</v>
      </c>
      <c r="N200" s="23" t="e">
        <f t="shared" ca="1" si="21"/>
        <v>#NAME?</v>
      </c>
      <c r="O200" s="27" t="e">
        <f t="shared" ca="1" si="22"/>
        <v>#NAME?</v>
      </c>
      <c r="P200" s="27" t="e">
        <f ca="1">'01_INPUTS'!B9*N200-K200</f>
        <v>#NAME?</v>
      </c>
      <c r="Q200" s="1" t="e">
        <f t="shared" ca="1" si="23"/>
        <v>#NAME?</v>
      </c>
      <c r="R200" s="28">
        <v>0.54370268108323216</v>
      </c>
      <c r="S200" s="28">
        <v>0.56679597869515419</v>
      </c>
      <c r="T200" s="28">
        <v>0.98157903598621488</v>
      </c>
      <c r="U200" s="28">
        <v>0.9972971472889185</v>
      </c>
      <c r="V200" s="28">
        <v>0.19216544413939118</v>
      </c>
      <c r="W200" s="28">
        <v>0.42072806786745787</v>
      </c>
      <c r="X200" s="28">
        <v>0.97616695030592382</v>
      </c>
    </row>
    <row r="201" spans="1:24" ht="13.9">
      <c r="A201" s="1">
        <v>200</v>
      </c>
      <c r="B201" s="23" t="e">
        <f ca="1">_xludf.BETA.INV(R201,'04_PSA_INPUTS'!H5,'04_PSA_INPUTS'!I5)</f>
        <v>#NAME?</v>
      </c>
      <c r="C201" s="23" t="e">
        <f ca="1">_xludf.BETA.INV(S201,'04_PSA_INPUTS'!H6,'04_PSA_INPUTS'!I6)</f>
        <v>#NAME?</v>
      </c>
      <c r="D201" s="27" t="e">
        <f ca="1">_xludf.GAMMA.INV(T201,'04_PSA_INPUTS'!H7,'04_PSA_INPUTS'!I7)</f>
        <v>#NAME?</v>
      </c>
      <c r="E201" s="27" t="e">
        <f ca="1">_xludf.GAMMA.INV(U201,'04_PSA_INPUTS'!H8,'04_PSA_INPUTS'!I8)</f>
        <v>#NAME?</v>
      </c>
      <c r="F201" s="27" t="e">
        <f ca="1">_xludf.GAMMA.INV(V201,'04_PSA_INPUTS'!H9,'04_PSA_INPUTS'!I9)</f>
        <v>#NAME?</v>
      </c>
      <c r="G201" s="23" t="e">
        <f ca="1">_xludf.BETA.INV(W201,'04_PSA_INPUTS'!H10,'04_PSA_INPUTS'!I10)</f>
        <v>#NAME?</v>
      </c>
      <c r="H201" s="23" t="e">
        <f ca="1">_xludf.BETA.INV(X201,'04_PSA_INPUTS'!H11,'04_PSA_INPUTS'!I11)</f>
        <v>#NAME?</v>
      </c>
      <c r="I201" s="27" t="e">
        <f ca="1">D201+B201*F201+'01_INPUTS'!B20</f>
        <v>#NAME?</v>
      </c>
      <c r="J201" s="27" t="e">
        <f ca="1">E201+C201*F201+'01_INPUTS'!B21</f>
        <v>#NAME?</v>
      </c>
      <c r="K201" s="27" t="e">
        <f t="shared" ca="1" si="18"/>
        <v>#NAME?</v>
      </c>
      <c r="L201" s="23" t="e">
        <f t="shared" ca="1" si="19"/>
        <v>#NAME?</v>
      </c>
      <c r="M201" s="23" t="e">
        <f t="shared" ca="1" si="20"/>
        <v>#NAME?</v>
      </c>
      <c r="N201" s="23" t="e">
        <f t="shared" ca="1" si="21"/>
        <v>#NAME?</v>
      </c>
      <c r="O201" s="27" t="e">
        <f t="shared" ca="1" si="22"/>
        <v>#NAME?</v>
      </c>
      <c r="P201" s="27" t="e">
        <f ca="1">'01_INPUTS'!B9*N201-K201</f>
        <v>#NAME?</v>
      </c>
      <c r="Q201" s="1" t="e">
        <f t="shared" ca="1" si="23"/>
        <v>#NAME?</v>
      </c>
      <c r="R201" s="28">
        <v>0.46125498600304127</v>
      </c>
      <c r="S201" s="28">
        <v>3.1252960208803415E-2</v>
      </c>
      <c r="T201" s="28">
        <v>0.87760972953401506</v>
      </c>
      <c r="U201" s="28">
        <v>0.43865766981616616</v>
      </c>
      <c r="V201" s="28">
        <v>6.7623705137521029E-2</v>
      </c>
      <c r="W201" s="28">
        <v>0.74609914887696505</v>
      </c>
      <c r="X201" s="28">
        <v>0.30238943826407194</v>
      </c>
    </row>
    <row r="202" spans="1:24" ht="13.9">
      <c r="A202" s="1">
        <v>201</v>
      </c>
      <c r="B202" s="23" t="e">
        <f ca="1">_xludf.BETA.INV(R202,'04_PSA_INPUTS'!H5,'04_PSA_INPUTS'!I5)</f>
        <v>#NAME?</v>
      </c>
      <c r="C202" s="23" t="e">
        <f ca="1">_xludf.BETA.INV(S202,'04_PSA_INPUTS'!H6,'04_PSA_INPUTS'!I6)</f>
        <v>#NAME?</v>
      </c>
      <c r="D202" s="27" t="e">
        <f ca="1">_xludf.GAMMA.INV(T202,'04_PSA_INPUTS'!H7,'04_PSA_INPUTS'!I7)</f>
        <v>#NAME?</v>
      </c>
      <c r="E202" s="27" t="e">
        <f ca="1">_xludf.GAMMA.INV(U202,'04_PSA_INPUTS'!H8,'04_PSA_INPUTS'!I8)</f>
        <v>#NAME?</v>
      </c>
      <c r="F202" s="27" t="e">
        <f ca="1">_xludf.GAMMA.INV(V202,'04_PSA_INPUTS'!H9,'04_PSA_INPUTS'!I9)</f>
        <v>#NAME?</v>
      </c>
      <c r="G202" s="23" t="e">
        <f ca="1">_xludf.BETA.INV(W202,'04_PSA_INPUTS'!H10,'04_PSA_INPUTS'!I10)</f>
        <v>#NAME?</v>
      </c>
      <c r="H202" s="23" t="e">
        <f ca="1">_xludf.BETA.INV(X202,'04_PSA_INPUTS'!H11,'04_PSA_INPUTS'!I11)</f>
        <v>#NAME?</v>
      </c>
      <c r="I202" s="27" t="e">
        <f ca="1">D202+B202*F202+'01_INPUTS'!B20</f>
        <v>#NAME?</v>
      </c>
      <c r="J202" s="27" t="e">
        <f ca="1">E202+C202*F202+'01_INPUTS'!B21</f>
        <v>#NAME?</v>
      </c>
      <c r="K202" s="27" t="e">
        <f t="shared" ca="1" si="18"/>
        <v>#NAME?</v>
      </c>
      <c r="L202" s="23" t="e">
        <f t="shared" ca="1" si="19"/>
        <v>#NAME?</v>
      </c>
      <c r="M202" s="23" t="e">
        <f t="shared" ca="1" si="20"/>
        <v>#NAME?</v>
      </c>
      <c r="N202" s="23" t="e">
        <f t="shared" ca="1" si="21"/>
        <v>#NAME?</v>
      </c>
      <c r="O202" s="27" t="e">
        <f t="shared" ca="1" si="22"/>
        <v>#NAME?</v>
      </c>
      <c r="P202" s="27" t="e">
        <f ca="1">'01_INPUTS'!B9*N202-K202</f>
        <v>#NAME?</v>
      </c>
      <c r="Q202" s="1" t="e">
        <f t="shared" ca="1" si="23"/>
        <v>#NAME?</v>
      </c>
      <c r="R202" s="28">
        <v>0.67780651734210551</v>
      </c>
      <c r="S202" s="28">
        <v>0.81990455603227019</v>
      </c>
      <c r="T202" s="28">
        <v>0.20259628817439079</v>
      </c>
      <c r="U202" s="28">
        <v>0.24508539936505258</v>
      </c>
      <c r="V202" s="28">
        <v>0.6478885889519006</v>
      </c>
      <c r="W202" s="28">
        <v>0.47481473884545267</v>
      </c>
      <c r="X202" s="28">
        <v>0.81477627297863364</v>
      </c>
    </row>
    <row r="203" spans="1:24" ht="13.9">
      <c r="A203" s="1">
        <v>202</v>
      </c>
      <c r="B203" s="23" t="e">
        <f ca="1">_xludf.BETA.INV(R203,'04_PSA_INPUTS'!H5,'04_PSA_INPUTS'!I5)</f>
        <v>#NAME?</v>
      </c>
      <c r="C203" s="23" t="e">
        <f ca="1">_xludf.BETA.INV(S203,'04_PSA_INPUTS'!H6,'04_PSA_INPUTS'!I6)</f>
        <v>#NAME?</v>
      </c>
      <c r="D203" s="27" t="e">
        <f ca="1">_xludf.GAMMA.INV(T203,'04_PSA_INPUTS'!H7,'04_PSA_INPUTS'!I7)</f>
        <v>#NAME?</v>
      </c>
      <c r="E203" s="27" t="e">
        <f ca="1">_xludf.GAMMA.INV(U203,'04_PSA_INPUTS'!H8,'04_PSA_INPUTS'!I8)</f>
        <v>#NAME?</v>
      </c>
      <c r="F203" s="27" t="e">
        <f ca="1">_xludf.GAMMA.INV(V203,'04_PSA_INPUTS'!H9,'04_PSA_INPUTS'!I9)</f>
        <v>#NAME?</v>
      </c>
      <c r="G203" s="23" t="e">
        <f ca="1">_xludf.BETA.INV(W203,'04_PSA_INPUTS'!H10,'04_PSA_INPUTS'!I10)</f>
        <v>#NAME?</v>
      </c>
      <c r="H203" s="23" t="e">
        <f ca="1">_xludf.BETA.INV(X203,'04_PSA_INPUTS'!H11,'04_PSA_INPUTS'!I11)</f>
        <v>#NAME?</v>
      </c>
      <c r="I203" s="27" t="e">
        <f ca="1">D203+B203*F203+'01_INPUTS'!B20</f>
        <v>#NAME?</v>
      </c>
      <c r="J203" s="27" t="e">
        <f ca="1">E203+C203*F203+'01_INPUTS'!B21</f>
        <v>#NAME?</v>
      </c>
      <c r="K203" s="27" t="e">
        <f t="shared" ca="1" si="18"/>
        <v>#NAME?</v>
      </c>
      <c r="L203" s="23" t="e">
        <f t="shared" ca="1" si="19"/>
        <v>#NAME?</v>
      </c>
      <c r="M203" s="23" t="e">
        <f t="shared" ca="1" si="20"/>
        <v>#NAME?</v>
      </c>
      <c r="N203" s="23" t="e">
        <f t="shared" ca="1" si="21"/>
        <v>#NAME?</v>
      </c>
      <c r="O203" s="27" t="e">
        <f t="shared" ca="1" si="22"/>
        <v>#NAME?</v>
      </c>
      <c r="P203" s="27" t="e">
        <f ca="1">'01_INPUTS'!B9*N203-K203</f>
        <v>#NAME?</v>
      </c>
      <c r="Q203" s="1" t="e">
        <f t="shared" ca="1" si="23"/>
        <v>#NAME?</v>
      </c>
      <c r="R203" s="28">
        <v>0.59839638927951455</v>
      </c>
      <c r="S203" s="28">
        <v>0.60608293721452355</v>
      </c>
      <c r="T203" s="28">
        <v>0.37100581033155322</v>
      </c>
      <c r="U203" s="28">
        <v>0.61969189695082605</v>
      </c>
      <c r="V203" s="28">
        <v>0.19767679297365248</v>
      </c>
      <c r="W203" s="28">
        <v>2.4298008298501372E-2</v>
      </c>
      <c r="X203" s="28">
        <v>0.98297424241900444</v>
      </c>
    </row>
    <row r="204" spans="1:24" ht="13.9">
      <c r="A204" s="1">
        <v>203</v>
      </c>
      <c r="B204" s="23" t="e">
        <f ca="1">_xludf.BETA.INV(R204,'04_PSA_INPUTS'!H5,'04_PSA_INPUTS'!I5)</f>
        <v>#NAME?</v>
      </c>
      <c r="C204" s="23" t="e">
        <f ca="1">_xludf.BETA.INV(S204,'04_PSA_INPUTS'!H6,'04_PSA_INPUTS'!I6)</f>
        <v>#NAME?</v>
      </c>
      <c r="D204" s="27" t="e">
        <f ca="1">_xludf.GAMMA.INV(T204,'04_PSA_INPUTS'!H7,'04_PSA_INPUTS'!I7)</f>
        <v>#NAME?</v>
      </c>
      <c r="E204" s="27" t="e">
        <f ca="1">_xludf.GAMMA.INV(U204,'04_PSA_INPUTS'!H8,'04_PSA_INPUTS'!I8)</f>
        <v>#NAME?</v>
      </c>
      <c r="F204" s="27" t="e">
        <f ca="1">_xludf.GAMMA.INV(V204,'04_PSA_INPUTS'!H9,'04_PSA_INPUTS'!I9)</f>
        <v>#NAME?</v>
      </c>
      <c r="G204" s="23" t="e">
        <f ca="1">_xludf.BETA.INV(W204,'04_PSA_INPUTS'!H10,'04_PSA_INPUTS'!I10)</f>
        <v>#NAME?</v>
      </c>
      <c r="H204" s="23" t="e">
        <f ca="1">_xludf.BETA.INV(X204,'04_PSA_INPUTS'!H11,'04_PSA_INPUTS'!I11)</f>
        <v>#NAME?</v>
      </c>
      <c r="I204" s="27" t="e">
        <f ca="1">D204+B204*F204+'01_INPUTS'!B20</f>
        <v>#NAME?</v>
      </c>
      <c r="J204" s="27" t="e">
        <f ca="1">E204+C204*F204+'01_INPUTS'!B21</f>
        <v>#NAME?</v>
      </c>
      <c r="K204" s="27" t="e">
        <f t="shared" ca="1" si="18"/>
        <v>#NAME?</v>
      </c>
      <c r="L204" s="23" t="e">
        <f t="shared" ca="1" si="19"/>
        <v>#NAME?</v>
      </c>
      <c r="M204" s="23" t="e">
        <f t="shared" ca="1" si="20"/>
        <v>#NAME?</v>
      </c>
      <c r="N204" s="23" t="e">
        <f t="shared" ca="1" si="21"/>
        <v>#NAME?</v>
      </c>
      <c r="O204" s="27" t="e">
        <f t="shared" ca="1" si="22"/>
        <v>#NAME?</v>
      </c>
      <c r="P204" s="27" t="e">
        <f ca="1">'01_INPUTS'!B9*N204-K204</f>
        <v>#NAME?</v>
      </c>
      <c r="Q204" s="1" t="e">
        <f t="shared" ca="1" si="23"/>
        <v>#NAME?</v>
      </c>
      <c r="R204" s="28">
        <v>0.12527477997355163</v>
      </c>
      <c r="S204" s="28">
        <v>0.54898052965290844</v>
      </c>
      <c r="T204" s="28">
        <v>0.89720144588500261</v>
      </c>
      <c r="U204" s="28">
        <v>0.78577765333466232</v>
      </c>
      <c r="V204" s="28">
        <v>0.68334247544407845</v>
      </c>
      <c r="W204" s="28">
        <v>0.42321957042440772</v>
      </c>
      <c r="X204" s="28">
        <v>0.10618094238452613</v>
      </c>
    </row>
    <row r="205" spans="1:24" ht="13.9">
      <c r="A205" s="1">
        <v>204</v>
      </c>
      <c r="B205" s="23" t="e">
        <f ca="1">_xludf.BETA.INV(R205,'04_PSA_INPUTS'!H5,'04_PSA_INPUTS'!I5)</f>
        <v>#NAME?</v>
      </c>
      <c r="C205" s="23" t="e">
        <f ca="1">_xludf.BETA.INV(S205,'04_PSA_INPUTS'!H6,'04_PSA_INPUTS'!I6)</f>
        <v>#NAME?</v>
      </c>
      <c r="D205" s="27" t="e">
        <f ca="1">_xludf.GAMMA.INV(T205,'04_PSA_INPUTS'!H7,'04_PSA_INPUTS'!I7)</f>
        <v>#NAME?</v>
      </c>
      <c r="E205" s="27" t="e">
        <f ca="1">_xludf.GAMMA.INV(U205,'04_PSA_INPUTS'!H8,'04_PSA_INPUTS'!I8)</f>
        <v>#NAME?</v>
      </c>
      <c r="F205" s="27" t="e">
        <f ca="1">_xludf.GAMMA.INV(V205,'04_PSA_INPUTS'!H9,'04_PSA_INPUTS'!I9)</f>
        <v>#NAME?</v>
      </c>
      <c r="G205" s="23" t="e">
        <f ca="1">_xludf.BETA.INV(W205,'04_PSA_INPUTS'!H10,'04_PSA_INPUTS'!I10)</f>
        <v>#NAME?</v>
      </c>
      <c r="H205" s="23" t="e">
        <f ca="1">_xludf.BETA.INV(X205,'04_PSA_INPUTS'!H11,'04_PSA_INPUTS'!I11)</f>
        <v>#NAME?</v>
      </c>
      <c r="I205" s="27" t="e">
        <f ca="1">D205+B205*F205+'01_INPUTS'!B20</f>
        <v>#NAME?</v>
      </c>
      <c r="J205" s="27" t="e">
        <f ca="1">E205+C205*F205+'01_INPUTS'!B21</f>
        <v>#NAME?</v>
      </c>
      <c r="K205" s="27" t="e">
        <f t="shared" ca="1" si="18"/>
        <v>#NAME?</v>
      </c>
      <c r="L205" s="23" t="e">
        <f t="shared" ca="1" si="19"/>
        <v>#NAME?</v>
      </c>
      <c r="M205" s="23" t="e">
        <f t="shared" ca="1" si="20"/>
        <v>#NAME?</v>
      </c>
      <c r="N205" s="23" t="e">
        <f t="shared" ca="1" si="21"/>
        <v>#NAME?</v>
      </c>
      <c r="O205" s="27" t="e">
        <f t="shared" ca="1" si="22"/>
        <v>#NAME?</v>
      </c>
      <c r="P205" s="27" t="e">
        <f ca="1">'01_INPUTS'!B9*N205-K205</f>
        <v>#NAME?</v>
      </c>
      <c r="Q205" s="1" t="e">
        <f t="shared" ca="1" si="23"/>
        <v>#NAME?</v>
      </c>
      <c r="R205" s="28">
        <v>0.12921323883347213</v>
      </c>
      <c r="S205" s="28">
        <v>0.65369612374342978</v>
      </c>
      <c r="T205" s="28">
        <v>0.31910097412765026</v>
      </c>
      <c r="U205" s="28">
        <v>0.78055100073106587</v>
      </c>
      <c r="V205" s="28">
        <v>0.84005668363533914</v>
      </c>
      <c r="W205" s="28">
        <v>0.16298966226167977</v>
      </c>
      <c r="X205" s="28">
        <v>0.95725021930411458</v>
      </c>
    </row>
    <row r="206" spans="1:24" ht="13.9">
      <c r="A206" s="1">
        <v>205</v>
      </c>
      <c r="B206" s="23" t="e">
        <f ca="1">_xludf.BETA.INV(R206,'04_PSA_INPUTS'!H5,'04_PSA_INPUTS'!I5)</f>
        <v>#NAME?</v>
      </c>
      <c r="C206" s="23" t="e">
        <f ca="1">_xludf.BETA.INV(S206,'04_PSA_INPUTS'!H6,'04_PSA_INPUTS'!I6)</f>
        <v>#NAME?</v>
      </c>
      <c r="D206" s="27" t="e">
        <f ca="1">_xludf.GAMMA.INV(T206,'04_PSA_INPUTS'!H7,'04_PSA_INPUTS'!I7)</f>
        <v>#NAME?</v>
      </c>
      <c r="E206" s="27" t="e">
        <f ca="1">_xludf.GAMMA.INV(U206,'04_PSA_INPUTS'!H8,'04_PSA_INPUTS'!I8)</f>
        <v>#NAME?</v>
      </c>
      <c r="F206" s="27" t="e">
        <f ca="1">_xludf.GAMMA.INV(V206,'04_PSA_INPUTS'!H9,'04_PSA_INPUTS'!I9)</f>
        <v>#NAME?</v>
      </c>
      <c r="G206" s="23" t="e">
        <f ca="1">_xludf.BETA.INV(W206,'04_PSA_INPUTS'!H10,'04_PSA_INPUTS'!I10)</f>
        <v>#NAME?</v>
      </c>
      <c r="H206" s="23" t="e">
        <f ca="1">_xludf.BETA.INV(X206,'04_PSA_INPUTS'!H11,'04_PSA_INPUTS'!I11)</f>
        <v>#NAME?</v>
      </c>
      <c r="I206" s="27" t="e">
        <f ca="1">D206+B206*F206+'01_INPUTS'!B20</f>
        <v>#NAME?</v>
      </c>
      <c r="J206" s="27" t="e">
        <f ca="1">E206+C206*F206+'01_INPUTS'!B21</f>
        <v>#NAME?</v>
      </c>
      <c r="K206" s="27" t="e">
        <f t="shared" ca="1" si="18"/>
        <v>#NAME?</v>
      </c>
      <c r="L206" s="23" t="e">
        <f t="shared" ca="1" si="19"/>
        <v>#NAME?</v>
      </c>
      <c r="M206" s="23" t="e">
        <f t="shared" ca="1" si="20"/>
        <v>#NAME?</v>
      </c>
      <c r="N206" s="23" t="e">
        <f t="shared" ca="1" si="21"/>
        <v>#NAME?</v>
      </c>
      <c r="O206" s="27" t="e">
        <f t="shared" ca="1" si="22"/>
        <v>#NAME?</v>
      </c>
      <c r="P206" s="27" t="e">
        <f ca="1">'01_INPUTS'!B9*N206-K206</f>
        <v>#NAME?</v>
      </c>
      <c r="Q206" s="1" t="e">
        <f t="shared" ca="1" si="23"/>
        <v>#NAME?</v>
      </c>
      <c r="R206" s="28">
        <v>0.98543389863334596</v>
      </c>
      <c r="S206" s="28">
        <v>0.60209639370441437</v>
      </c>
      <c r="T206" s="28">
        <v>0.5777215245179832</v>
      </c>
      <c r="U206" s="28">
        <v>2.0696460967883468E-2</v>
      </c>
      <c r="V206" s="28">
        <v>0.18473097775131464</v>
      </c>
      <c r="W206" s="28">
        <v>0.27970821922644973</v>
      </c>
      <c r="X206" s="28">
        <v>0.66099864616990089</v>
      </c>
    </row>
    <row r="207" spans="1:24" ht="13.9">
      <c r="A207" s="1">
        <v>206</v>
      </c>
      <c r="B207" s="23" t="e">
        <f ca="1">_xludf.BETA.INV(R207,'04_PSA_INPUTS'!H5,'04_PSA_INPUTS'!I5)</f>
        <v>#NAME?</v>
      </c>
      <c r="C207" s="23" t="e">
        <f ca="1">_xludf.BETA.INV(S207,'04_PSA_INPUTS'!H6,'04_PSA_INPUTS'!I6)</f>
        <v>#NAME?</v>
      </c>
      <c r="D207" s="27" t="e">
        <f ca="1">_xludf.GAMMA.INV(T207,'04_PSA_INPUTS'!H7,'04_PSA_INPUTS'!I7)</f>
        <v>#NAME?</v>
      </c>
      <c r="E207" s="27" t="e">
        <f ca="1">_xludf.GAMMA.INV(U207,'04_PSA_INPUTS'!H8,'04_PSA_INPUTS'!I8)</f>
        <v>#NAME?</v>
      </c>
      <c r="F207" s="27" t="e">
        <f ca="1">_xludf.GAMMA.INV(V207,'04_PSA_INPUTS'!H9,'04_PSA_INPUTS'!I9)</f>
        <v>#NAME?</v>
      </c>
      <c r="G207" s="23" t="e">
        <f ca="1">_xludf.BETA.INV(W207,'04_PSA_INPUTS'!H10,'04_PSA_INPUTS'!I10)</f>
        <v>#NAME?</v>
      </c>
      <c r="H207" s="23" t="e">
        <f ca="1">_xludf.BETA.INV(X207,'04_PSA_INPUTS'!H11,'04_PSA_INPUTS'!I11)</f>
        <v>#NAME?</v>
      </c>
      <c r="I207" s="27" t="e">
        <f ca="1">D207+B207*F207+'01_INPUTS'!B20</f>
        <v>#NAME?</v>
      </c>
      <c r="J207" s="27" t="e">
        <f ca="1">E207+C207*F207+'01_INPUTS'!B21</f>
        <v>#NAME?</v>
      </c>
      <c r="K207" s="27" t="e">
        <f t="shared" ca="1" si="18"/>
        <v>#NAME?</v>
      </c>
      <c r="L207" s="23" t="e">
        <f t="shared" ca="1" si="19"/>
        <v>#NAME?</v>
      </c>
      <c r="M207" s="23" t="e">
        <f t="shared" ca="1" si="20"/>
        <v>#NAME?</v>
      </c>
      <c r="N207" s="23" t="e">
        <f t="shared" ca="1" si="21"/>
        <v>#NAME?</v>
      </c>
      <c r="O207" s="27" t="e">
        <f t="shared" ca="1" si="22"/>
        <v>#NAME?</v>
      </c>
      <c r="P207" s="27" t="e">
        <f ca="1">'01_INPUTS'!B9*N207-K207</f>
        <v>#NAME?</v>
      </c>
      <c r="Q207" s="1" t="e">
        <f t="shared" ca="1" si="23"/>
        <v>#NAME?</v>
      </c>
      <c r="R207" s="28">
        <v>0.131463254801929</v>
      </c>
      <c r="S207" s="28">
        <v>0.91709572309628129</v>
      </c>
      <c r="T207" s="28">
        <v>0.38444031495600939</v>
      </c>
      <c r="U207" s="28">
        <v>0.14335208339616656</v>
      </c>
      <c r="V207" s="28">
        <v>0.73561489954590797</v>
      </c>
      <c r="W207" s="28">
        <v>0.74149301252327859</v>
      </c>
      <c r="X207" s="28">
        <v>0.56045416183769703</v>
      </c>
    </row>
    <row r="208" spans="1:24" ht="13.9">
      <c r="A208" s="1">
        <v>207</v>
      </c>
      <c r="B208" s="23" t="e">
        <f ca="1">_xludf.BETA.INV(R208,'04_PSA_INPUTS'!H5,'04_PSA_INPUTS'!I5)</f>
        <v>#NAME?</v>
      </c>
      <c r="C208" s="23" t="e">
        <f ca="1">_xludf.BETA.INV(S208,'04_PSA_INPUTS'!H6,'04_PSA_INPUTS'!I6)</f>
        <v>#NAME?</v>
      </c>
      <c r="D208" s="27" t="e">
        <f ca="1">_xludf.GAMMA.INV(T208,'04_PSA_INPUTS'!H7,'04_PSA_INPUTS'!I7)</f>
        <v>#NAME?</v>
      </c>
      <c r="E208" s="27" t="e">
        <f ca="1">_xludf.GAMMA.INV(U208,'04_PSA_INPUTS'!H8,'04_PSA_INPUTS'!I8)</f>
        <v>#NAME?</v>
      </c>
      <c r="F208" s="27" t="e">
        <f ca="1">_xludf.GAMMA.INV(V208,'04_PSA_INPUTS'!H9,'04_PSA_INPUTS'!I9)</f>
        <v>#NAME?</v>
      </c>
      <c r="G208" s="23" t="e">
        <f ca="1">_xludf.BETA.INV(W208,'04_PSA_INPUTS'!H10,'04_PSA_INPUTS'!I10)</f>
        <v>#NAME?</v>
      </c>
      <c r="H208" s="23" t="e">
        <f ca="1">_xludf.BETA.INV(X208,'04_PSA_INPUTS'!H11,'04_PSA_INPUTS'!I11)</f>
        <v>#NAME?</v>
      </c>
      <c r="I208" s="27" t="e">
        <f ca="1">D208+B208*F208+'01_INPUTS'!B20</f>
        <v>#NAME?</v>
      </c>
      <c r="J208" s="27" t="e">
        <f ca="1">E208+C208*F208+'01_INPUTS'!B21</f>
        <v>#NAME?</v>
      </c>
      <c r="K208" s="27" t="e">
        <f t="shared" ca="1" si="18"/>
        <v>#NAME?</v>
      </c>
      <c r="L208" s="23" t="e">
        <f t="shared" ca="1" si="19"/>
        <v>#NAME?</v>
      </c>
      <c r="M208" s="23" t="e">
        <f t="shared" ca="1" si="20"/>
        <v>#NAME?</v>
      </c>
      <c r="N208" s="23" t="e">
        <f t="shared" ca="1" si="21"/>
        <v>#NAME?</v>
      </c>
      <c r="O208" s="27" t="e">
        <f t="shared" ca="1" si="22"/>
        <v>#NAME?</v>
      </c>
      <c r="P208" s="27" t="e">
        <f ca="1">'01_INPUTS'!B9*N208-K208</f>
        <v>#NAME?</v>
      </c>
      <c r="Q208" s="1" t="e">
        <f t="shared" ca="1" si="23"/>
        <v>#NAME?</v>
      </c>
      <c r="R208" s="28">
        <v>0.11986861261539161</v>
      </c>
      <c r="S208" s="28">
        <v>6.169203738681972E-2</v>
      </c>
      <c r="T208" s="28">
        <v>0.52750335377641022</v>
      </c>
      <c r="U208" s="28">
        <v>0.15076462202705443</v>
      </c>
      <c r="V208" s="28">
        <v>0.95957218785770237</v>
      </c>
      <c r="W208" s="28">
        <v>0.23751163994893432</v>
      </c>
      <c r="X208" s="28">
        <v>0.62706335633993149</v>
      </c>
    </row>
    <row r="209" spans="1:24" ht="13.9">
      <c r="A209" s="1">
        <v>208</v>
      </c>
      <c r="B209" s="23" t="e">
        <f ca="1">_xludf.BETA.INV(R209,'04_PSA_INPUTS'!H5,'04_PSA_INPUTS'!I5)</f>
        <v>#NAME?</v>
      </c>
      <c r="C209" s="23" t="e">
        <f ca="1">_xludf.BETA.INV(S209,'04_PSA_INPUTS'!H6,'04_PSA_INPUTS'!I6)</f>
        <v>#NAME?</v>
      </c>
      <c r="D209" s="27" t="e">
        <f ca="1">_xludf.GAMMA.INV(T209,'04_PSA_INPUTS'!H7,'04_PSA_INPUTS'!I7)</f>
        <v>#NAME?</v>
      </c>
      <c r="E209" s="27" t="e">
        <f ca="1">_xludf.GAMMA.INV(U209,'04_PSA_INPUTS'!H8,'04_PSA_INPUTS'!I8)</f>
        <v>#NAME?</v>
      </c>
      <c r="F209" s="27" t="e">
        <f ca="1">_xludf.GAMMA.INV(V209,'04_PSA_INPUTS'!H9,'04_PSA_INPUTS'!I9)</f>
        <v>#NAME?</v>
      </c>
      <c r="G209" s="23" t="e">
        <f ca="1">_xludf.BETA.INV(W209,'04_PSA_INPUTS'!H10,'04_PSA_INPUTS'!I10)</f>
        <v>#NAME?</v>
      </c>
      <c r="H209" s="23" t="e">
        <f ca="1">_xludf.BETA.INV(X209,'04_PSA_INPUTS'!H11,'04_PSA_INPUTS'!I11)</f>
        <v>#NAME?</v>
      </c>
      <c r="I209" s="27" t="e">
        <f ca="1">D209+B209*F209+'01_INPUTS'!B20</f>
        <v>#NAME?</v>
      </c>
      <c r="J209" s="27" t="e">
        <f ca="1">E209+C209*F209+'01_INPUTS'!B21</f>
        <v>#NAME?</v>
      </c>
      <c r="K209" s="27" t="e">
        <f t="shared" ca="1" si="18"/>
        <v>#NAME?</v>
      </c>
      <c r="L209" s="23" t="e">
        <f t="shared" ca="1" si="19"/>
        <v>#NAME?</v>
      </c>
      <c r="M209" s="23" t="e">
        <f t="shared" ca="1" si="20"/>
        <v>#NAME?</v>
      </c>
      <c r="N209" s="23" t="e">
        <f t="shared" ca="1" si="21"/>
        <v>#NAME?</v>
      </c>
      <c r="O209" s="27" t="e">
        <f t="shared" ca="1" si="22"/>
        <v>#NAME?</v>
      </c>
      <c r="P209" s="27" t="e">
        <f ca="1">'01_INPUTS'!B9*N209-K209</f>
        <v>#NAME?</v>
      </c>
      <c r="Q209" s="1" t="e">
        <f t="shared" ca="1" si="23"/>
        <v>#NAME?</v>
      </c>
      <c r="R209" s="28">
        <v>0.67614780808798969</v>
      </c>
      <c r="S209" s="28">
        <v>0.48445224855095148</v>
      </c>
      <c r="T209" s="28">
        <v>0.61924769403412938</v>
      </c>
      <c r="U209" s="28">
        <v>0.55161237227730453</v>
      </c>
      <c r="V209" s="28">
        <v>0.28311516554094851</v>
      </c>
      <c r="W209" s="28">
        <v>0.27362417918629944</v>
      </c>
      <c r="X209" s="28">
        <v>0.70976239466108382</v>
      </c>
    </row>
    <row r="210" spans="1:24" ht="13.9">
      <c r="A210" s="1">
        <v>209</v>
      </c>
      <c r="B210" s="23" t="e">
        <f ca="1">_xludf.BETA.INV(R210,'04_PSA_INPUTS'!H5,'04_PSA_INPUTS'!I5)</f>
        <v>#NAME?</v>
      </c>
      <c r="C210" s="23" t="e">
        <f ca="1">_xludf.BETA.INV(S210,'04_PSA_INPUTS'!H6,'04_PSA_INPUTS'!I6)</f>
        <v>#NAME?</v>
      </c>
      <c r="D210" s="27" t="e">
        <f ca="1">_xludf.GAMMA.INV(T210,'04_PSA_INPUTS'!H7,'04_PSA_INPUTS'!I7)</f>
        <v>#NAME?</v>
      </c>
      <c r="E210" s="27" t="e">
        <f ca="1">_xludf.GAMMA.INV(U210,'04_PSA_INPUTS'!H8,'04_PSA_INPUTS'!I8)</f>
        <v>#NAME?</v>
      </c>
      <c r="F210" s="27" t="e">
        <f ca="1">_xludf.GAMMA.INV(V210,'04_PSA_INPUTS'!H9,'04_PSA_INPUTS'!I9)</f>
        <v>#NAME?</v>
      </c>
      <c r="G210" s="23" t="e">
        <f ca="1">_xludf.BETA.INV(W210,'04_PSA_INPUTS'!H10,'04_PSA_INPUTS'!I10)</f>
        <v>#NAME?</v>
      </c>
      <c r="H210" s="23" t="e">
        <f ca="1">_xludf.BETA.INV(X210,'04_PSA_INPUTS'!H11,'04_PSA_INPUTS'!I11)</f>
        <v>#NAME?</v>
      </c>
      <c r="I210" s="27" t="e">
        <f ca="1">D210+B210*F210+'01_INPUTS'!B20</f>
        <v>#NAME?</v>
      </c>
      <c r="J210" s="27" t="e">
        <f ca="1">E210+C210*F210+'01_INPUTS'!B21</f>
        <v>#NAME?</v>
      </c>
      <c r="K210" s="27" t="e">
        <f t="shared" ca="1" si="18"/>
        <v>#NAME?</v>
      </c>
      <c r="L210" s="23" t="e">
        <f t="shared" ca="1" si="19"/>
        <v>#NAME?</v>
      </c>
      <c r="M210" s="23" t="e">
        <f t="shared" ca="1" si="20"/>
        <v>#NAME?</v>
      </c>
      <c r="N210" s="23" t="e">
        <f t="shared" ca="1" si="21"/>
        <v>#NAME?</v>
      </c>
      <c r="O210" s="27" t="e">
        <f t="shared" ca="1" si="22"/>
        <v>#NAME?</v>
      </c>
      <c r="P210" s="27" t="e">
        <f ca="1">'01_INPUTS'!B9*N210-K210</f>
        <v>#NAME?</v>
      </c>
      <c r="Q210" s="1" t="e">
        <f t="shared" ca="1" si="23"/>
        <v>#NAME?</v>
      </c>
      <c r="R210" s="28">
        <v>0.29214886203408241</v>
      </c>
      <c r="S210" s="28">
        <v>0.82890286552719772</v>
      </c>
      <c r="T210" s="28">
        <v>4.2417450807988644E-2</v>
      </c>
      <c r="U210" s="28">
        <v>0.66019472177140415</v>
      </c>
      <c r="V210" s="28">
        <v>0.57635050127282739</v>
      </c>
      <c r="W210" s="28">
        <v>0.75754750031046569</v>
      </c>
      <c r="X210" s="28">
        <v>0.15988771175034344</v>
      </c>
    </row>
    <row r="211" spans="1:24" ht="13.9">
      <c r="A211" s="1">
        <v>210</v>
      </c>
      <c r="B211" s="23" t="e">
        <f ca="1">_xludf.BETA.INV(R211,'04_PSA_INPUTS'!H5,'04_PSA_INPUTS'!I5)</f>
        <v>#NAME?</v>
      </c>
      <c r="C211" s="23" t="e">
        <f ca="1">_xludf.BETA.INV(S211,'04_PSA_INPUTS'!H6,'04_PSA_INPUTS'!I6)</f>
        <v>#NAME?</v>
      </c>
      <c r="D211" s="27" t="e">
        <f ca="1">_xludf.GAMMA.INV(T211,'04_PSA_INPUTS'!H7,'04_PSA_INPUTS'!I7)</f>
        <v>#NAME?</v>
      </c>
      <c r="E211" s="27" t="e">
        <f ca="1">_xludf.GAMMA.INV(U211,'04_PSA_INPUTS'!H8,'04_PSA_INPUTS'!I8)</f>
        <v>#NAME?</v>
      </c>
      <c r="F211" s="27" t="e">
        <f ca="1">_xludf.GAMMA.INV(V211,'04_PSA_INPUTS'!H9,'04_PSA_INPUTS'!I9)</f>
        <v>#NAME?</v>
      </c>
      <c r="G211" s="23" t="e">
        <f ca="1">_xludf.BETA.INV(W211,'04_PSA_INPUTS'!H10,'04_PSA_INPUTS'!I10)</f>
        <v>#NAME?</v>
      </c>
      <c r="H211" s="23" t="e">
        <f ca="1">_xludf.BETA.INV(X211,'04_PSA_INPUTS'!H11,'04_PSA_INPUTS'!I11)</f>
        <v>#NAME?</v>
      </c>
      <c r="I211" s="27" t="e">
        <f ca="1">D211+B211*F211+'01_INPUTS'!B20</f>
        <v>#NAME?</v>
      </c>
      <c r="J211" s="27" t="e">
        <f ca="1">E211+C211*F211+'01_INPUTS'!B21</f>
        <v>#NAME?</v>
      </c>
      <c r="K211" s="27" t="e">
        <f t="shared" ca="1" si="18"/>
        <v>#NAME?</v>
      </c>
      <c r="L211" s="23" t="e">
        <f t="shared" ca="1" si="19"/>
        <v>#NAME?</v>
      </c>
      <c r="M211" s="23" t="e">
        <f t="shared" ca="1" si="20"/>
        <v>#NAME?</v>
      </c>
      <c r="N211" s="23" t="e">
        <f t="shared" ca="1" si="21"/>
        <v>#NAME?</v>
      </c>
      <c r="O211" s="27" t="e">
        <f t="shared" ca="1" si="22"/>
        <v>#NAME?</v>
      </c>
      <c r="P211" s="27" t="e">
        <f ca="1">'01_INPUTS'!B9*N211-K211</f>
        <v>#NAME?</v>
      </c>
      <c r="Q211" s="1" t="e">
        <f t="shared" ca="1" si="23"/>
        <v>#NAME?</v>
      </c>
      <c r="R211" s="28">
        <v>0.37740565394051373</v>
      </c>
      <c r="S211" s="28">
        <v>0.61169719230383635</v>
      </c>
      <c r="T211" s="28">
        <v>0.67458024551160634</v>
      </c>
      <c r="U211" s="28">
        <v>0.3731926588807255</v>
      </c>
      <c r="V211" s="28">
        <v>0.93112657009623945</v>
      </c>
      <c r="W211" s="28">
        <v>0.50483468011952937</v>
      </c>
      <c r="X211" s="28">
        <v>9.3391247326508164E-2</v>
      </c>
    </row>
    <row r="212" spans="1:24" ht="13.9">
      <c r="A212" s="1">
        <v>211</v>
      </c>
      <c r="B212" s="23" t="e">
        <f ca="1">_xludf.BETA.INV(R212,'04_PSA_INPUTS'!H5,'04_PSA_INPUTS'!I5)</f>
        <v>#NAME?</v>
      </c>
      <c r="C212" s="23" t="e">
        <f ca="1">_xludf.BETA.INV(S212,'04_PSA_INPUTS'!H6,'04_PSA_INPUTS'!I6)</f>
        <v>#NAME?</v>
      </c>
      <c r="D212" s="27" t="e">
        <f ca="1">_xludf.GAMMA.INV(T212,'04_PSA_INPUTS'!H7,'04_PSA_INPUTS'!I7)</f>
        <v>#NAME?</v>
      </c>
      <c r="E212" s="27" t="e">
        <f ca="1">_xludf.GAMMA.INV(U212,'04_PSA_INPUTS'!H8,'04_PSA_INPUTS'!I8)</f>
        <v>#NAME?</v>
      </c>
      <c r="F212" s="27" t="e">
        <f ca="1">_xludf.GAMMA.INV(V212,'04_PSA_INPUTS'!H9,'04_PSA_INPUTS'!I9)</f>
        <v>#NAME?</v>
      </c>
      <c r="G212" s="23" t="e">
        <f ca="1">_xludf.BETA.INV(W212,'04_PSA_INPUTS'!H10,'04_PSA_INPUTS'!I10)</f>
        <v>#NAME?</v>
      </c>
      <c r="H212" s="23" t="e">
        <f ca="1">_xludf.BETA.INV(X212,'04_PSA_INPUTS'!H11,'04_PSA_INPUTS'!I11)</f>
        <v>#NAME?</v>
      </c>
      <c r="I212" s="27" t="e">
        <f ca="1">D212+B212*F212+'01_INPUTS'!B20</f>
        <v>#NAME?</v>
      </c>
      <c r="J212" s="27" t="e">
        <f ca="1">E212+C212*F212+'01_INPUTS'!B21</f>
        <v>#NAME?</v>
      </c>
      <c r="K212" s="27" t="e">
        <f t="shared" ca="1" si="18"/>
        <v>#NAME?</v>
      </c>
      <c r="L212" s="23" t="e">
        <f t="shared" ca="1" si="19"/>
        <v>#NAME?</v>
      </c>
      <c r="M212" s="23" t="e">
        <f t="shared" ca="1" si="20"/>
        <v>#NAME?</v>
      </c>
      <c r="N212" s="23" t="e">
        <f t="shared" ca="1" si="21"/>
        <v>#NAME?</v>
      </c>
      <c r="O212" s="27" t="e">
        <f t="shared" ca="1" si="22"/>
        <v>#NAME?</v>
      </c>
      <c r="P212" s="27" t="e">
        <f ca="1">'01_INPUTS'!B9*N212-K212</f>
        <v>#NAME?</v>
      </c>
      <c r="Q212" s="1" t="e">
        <f t="shared" ca="1" si="23"/>
        <v>#NAME?</v>
      </c>
      <c r="R212" s="28">
        <v>0.97450353414751589</v>
      </c>
      <c r="S212" s="28">
        <v>0.64074638392776251</v>
      </c>
      <c r="T212" s="28">
        <v>0.8460157485678792</v>
      </c>
      <c r="U212" s="28">
        <v>0.2870685423258692</v>
      </c>
      <c r="V212" s="28">
        <v>0.1945502778980881</v>
      </c>
      <c r="W212" s="28">
        <v>0.78590041655115783</v>
      </c>
      <c r="X212" s="28">
        <v>0.78897582530044019</v>
      </c>
    </row>
    <row r="213" spans="1:24" ht="13.9">
      <c r="A213" s="1">
        <v>212</v>
      </c>
      <c r="B213" s="23" t="e">
        <f ca="1">_xludf.BETA.INV(R213,'04_PSA_INPUTS'!H5,'04_PSA_INPUTS'!I5)</f>
        <v>#NAME?</v>
      </c>
      <c r="C213" s="23" t="e">
        <f ca="1">_xludf.BETA.INV(S213,'04_PSA_INPUTS'!H6,'04_PSA_INPUTS'!I6)</f>
        <v>#NAME?</v>
      </c>
      <c r="D213" s="27" t="e">
        <f ca="1">_xludf.GAMMA.INV(T213,'04_PSA_INPUTS'!H7,'04_PSA_INPUTS'!I7)</f>
        <v>#NAME?</v>
      </c>
      <c r="E213" s="27" t="e">
        <f ca="1">_xludf.GAMMA.INV(U213,'04_PSA_INPUTS'!H8,'04_PSA_INPUTS'!I8)</f>
        <v>#NAME?</v>
      </c>
      <c r="F213" s="27" t="e">
        <f ca="1">_xludf.GAMMA.INV(V213,'04_PSA_INPUTS'!H9,'04_PSA_INPUTS'!I9)</f>
        <v>#NAME?</v>
      </c>
      <c r="G213" s="23" t="e">
        <f ca="1">_xludf.BETA.INV(W213,'04_PSA_INPUTS'!H10,'04_PSA_INPUTS'!I10)</f>
        <v>#NAME?</v>
      </c>
      <c r="H213" s="23" t="e">
        <f ca="1">_xludf.BETA.INV(X213,'04_PSA_INPUTS'!H11,'04_PSA_INPUTS'!I11)</f>
        <v>#NAME?</v>
      </c>
      <c r="I213" s="27" t="e">
        <f ca="1">D213+B213*F213+'01_INPUTS'!B20</f>
        <v>#NAME?</v>
      </c>
      <c r="J213" s="27" t="e">
        <f ca="1">E213+C213*F213+'01_INPUTS'!B21</f>
        <v>#NAME?</v>
      </c>
      <c r="K213" s="27" t="e">
        <f t="shared" ca="1" si="18"/>
        <v>#NAME?</v>
      </c>
      <c r="L213" s="23" t="e">
        <f t="shared" ca="1" si="19"/>
        <v>#NAME?</v>
      </c>
      <c r="M213" s="23" t="e">
        <f t="shared" ca="1" si="20"/>
        <v>#NAME?</v>
      </c>
      <c r="N213" s="23" t="e">
        <f t="shared" ca="1" si="21"/>
        <v>#NAME?</v>
      </c>
      <c r="O213" s="27" t="e">
        <f t="shared" ca="1" si="22"/>
        <v>#NAME?</v>
      </c>
      <c r="P213" s="27" t="e">
        <f ca="1">'01_INPUTS'!B9*N213-K213</f>
        <v>#NAME?</v>
      </c>
      <c r="Q213" s="1" t="e">
        <f t="shared" ca="1" si="23"/>
        <v>#NAME?</v>
      </c>
      <c r="R213" s="28">
        <v>0.30227007623761892</v>
      </c>
      <c r="S213" s="28">
        <v>0.26022219751030207</v>
      </c>
      <c r="T213" s="28">
        <v>0.25252072024159133</v>
      </c>
      <c r="U213" s="28">
        <v>0.18954803259111941</v>
      </c>
      <c r="V213" s="28">
        <v>0.29434333695098758</v>
      </c>
      <c r="W213" s="28">
        <v>0.62204787484370172</v>
      </c>
      <c r="X213" s="28">
        <v>0.83922007656656206</v>
      </c>
    </row>
    <row r="214" spans="1:24" ht="13.9">
      <c r="A214" s="1">
        <v>213</v>
      </c>
      <c r="B214" s="23" t="e">
        <f ca="1">_xludf.BETA.INV(R214,'04_PSA_INPUTS'!H5,'04_PSA_INPUTS'!I5)</f>
        <v>#NAME?</v>
      </c>
      <c r="C214" s="23" t="e">
        <f ca="1">_xludf.BETA.INV(S214,'04_PSA_INPUTS'!H6,'04_PSA_INPUTS'!I6)</f>
        <v>#NAME?</v>
      </c>
      <c r="D214" s="27" t="e">
        <f ca="1">_xludf.GAMMA.INV(T214,'04_PSA_INPUTS'!H7,'04_PSA_INPUTS'!I7)</f>
        <v>#NAME?</v>
      </c>
      <c r="E214" s="27" t="e">
        <f ca="1">_xludf.GAMMA.INV(U214,'04_PSA_INPUTS'!H8,'04_PSA_INPUTS'!I8)</f>
        <v>#NAME?</v>
      </c>
      <c r="F214" s="27" t="e">
        <f ca="1">_xludf.GAMMA.INV(V214,'04_PSA_INPUTS'!H9,'04_PSA_INPUTS'!I9)</f>
        <v>#NAME?</v>
      </c>
      <c r="G214" s="23" t="e">
        <f ca="1">_xludf.BETA.INV(W214,'04_PSA_INPUTS'!H10,'04_PSA_INPUTS'!I10)</f>
        <v>#NAME?</v>
      </c>
      <c r="H214" s="23" t="e">
        <f ca="1">_xludf.BETA.INV(X214,'04_PSA_INPUTS'!H11,'04_PSA_INPUTS'!I11)</f>
        <v>#NAME?</v>
      </c>
      <c r="I214" s="27" t="e">
        <f ca="1">D214+B214*F214+'01_INPUTS'!B20</f>
        <v>#NAME?</v>
      </c>
      <c r="J214" s="27" t="e">
        <f ca="1">E214+C214*F214+'01_INPUTS'!B21</f>
        <v>#NAME?</v>
      </c>
      <c r="K214" s="27" t="e">
        <f t="shared" ca="1" si="18"/>
        <v>#NAME?</v>
      </c>
      <c r="L214" s="23" t="e">
        <f t="shared" ca="1" si="19"/>
        <v>#NAME?</v>
      </c>
      <c r="M214" s="23" t="e">
        <f t="shared" ca="1" si="20"/>
        <v>#NAME?</v>
      </c>
      <c r="N214" s="23" t="e">
        <f t="shared" ca="1" si="21"/>
        <v>#NAME?</v>
      </c>
      <c r="O214" s="27" t="e">
        <f t="shared" ca="1" si="22"/>
        <v>#NAME?</v>
      </c>
      <c r="P214" s="27" t="e">
        <f ca="1">'01_INPUTS'!B9*N214-K214</f>
        <v>#NAME?</v>
      </c>
      <c r="Q214" s="1" t="e">
        <f t="shared" ca="1" si="23"/>
        <v>#NAME?</v>
      </c>
      <c r="R214" s="28">
        <v>0.44642581045627594</v>
      </c>
      <c r="S214" s="28">
        <v>0.907601518323645</v>
      </c>
      <c r="T214" s="28">
        <v>0.21067292173393071</v>
      </c>
      <c r="U214" s="28">
        <v>0.30073451064527035</v>
      </c>
      <c r="V214" s="28">
        <v>0.42538936622440815</v>
      </c>
      <c r="W214" s="28">
        <v>3.3477672841399908E-3</v>
      </c>
      <c r="X214" s="28">
        <v>0.54622261854819953</v>
      </c>
    </row>
    <row r="215" spans="1:24" ht="13.9">
      <c r="A215" s="1">
        <v>214</v>
      </c>
      <c r="B215" s="23" t="e">
        <f ca="1">_xludf.BETA.INV(R215,'04_PSA_INPUTS'!H5,'04_PSA_INPUTS'!I5)</f>
        <v>#NAME?</v>
      </c>
      <c r="C215" s="23" t="e">
        <f ca="1">_xludf.BETA.INV(S215,'04_PSA_INPUTS'!H6,'04_PSA_INPUTS'!I6)</f>
        <v>#NAME?</v>
      </c>
      <c r="D215" s="27" t="e">
        <f ca="1">_xludf.GAMMA.INV(T215,'04_PSA_INPUTS'!H7,'04_PSA_INPUTS'!I7)</f>
        <v>#NAME?</v>
      </c>
      <c r="E215" s="27" t="e">
        <f ca="1">_xludf.GAMMA.INV(U215,'04_PSA_INPUTS'!H8,'04_PSA_INPUTS'!I8)</f>
        <v>#NAME?</v>
      </c>
      <c r="F215" s="27" t="e">
        <f ca="1">_xludf.GAMMA.INV(V215,'04_PSA_INPUTS'!H9,'04_PSA_INPUTS'!I9)</f>
        <v>#NAME?</v>
      </c>
      <c r="G215" s="23" t="e">
        <f ca="1">_xludf.BETA.INV(W215,'04_PSA_INPUTS'!H10,'04_PSA_INPUTS'!I10)</f>
        <v>#NAME?</v>
      </c>
      <c r="H215" s="23" t="e">
        <f ca="1">_xludf.BETA.INV(X215,'04_PSA_INPUTS'!H11,'04_PSA_INPUTS'!I11)</f>
        <v>#NAME?</v>
      </c>
      <c r="I215" s="27" t="e">
        <f ca="1">D215+B215*F215+'01_INPUTS'!B20</f>
        <v>#NAME?</v>
      </c>
      <c r="J215" s="27" t="e">
        <f ca="1">E215+C215*F215+'01_INPUTS'!B21</f>
        <v>#NAME?</v>
      </c>
      <c r="K215" s="27" t="e">
        <f t="shared" ca="1" si="18"/>
        <v>#NAME?</v>
      </c>
      <c r="L215" s="23" t="e">
        <f t="shared" ca="1" si="19"/>
        <v>#NAME?</v>
      </c>
      <c r="M215" s="23" t="e">
        <f t="shared" ca="1" si="20"/>
        <v>#NAME?</v>
      </c>
      <c r="N215" s="23" t="e">
        <f t="shared" ca="1" si="21"/>
        <v>#NAME?</v>
      </c>
      <c r="O215" s="27" t="e">
        <f t="shared" ca="1" si="22"/>
        <v>#NAME?</v>
      </c>
      <c r="P215" s="27" t="e">
        <f ca="1">'01_INPUTS'!B9*N215-K215</f>
        <v>#NAME?</v>
      </c>
      <c r="Q215" s="1" t="e">
        <f t="shared" ca="1" si="23"/>
        <v>#NAME?</v>
      </c>
      <c r="R215" s="28">
        <v>0.13802686030976474</v>
      </c>
      <c r="S215" s="28">
        <v>0.33935309411026537</v>
      </c>
      <c r="T215" s="28">
        <v>0.10895012621767819</v>
      </c>
      <c r="U215" s="28">
        <v>0.22711474332027137</v>
      </c>
      <c r="V215" s="28">
        <v>0.13500620983541012</v>
      </c>
      <c r="W215" s="28">
        <v>0.79483109642751515</v>
      </c>
      <c r="X215" s="28">
        <v>6.0543495696038008E-2</v>
      </c>
    </row>
    <row r="216" spans="1:24" ht="13.9">
      <c r="A216" s="1">
        <v>215</v>
      </c>
      <c r="B216" s="23" t="e">
        <f ca="1">_xludf.BETA.INV(R216,'04_PSA_INPUTS'!H5,'04_PSA_INPUTS'!I5)</f>
        <v>#NAME?</v>
      </c>
      <c r="C216" s="23" t="e">
        <f ca="1">_xludf.BETA.INV(S216,'04_PSA_INPUTS'!H6,'04_PSA_INPUTS'!I6)</f>
        <v>#NAME?</v>
      </c>
      <c r="D216" s="27" t="e">
        <f ca="1">_xludf.GAMMA.INV(T216,'04_PSA_INPUTS'!H7,'04_PSA_INPUTS'!I7)</f>
        <v>#NAME?</v>
      </c>
      <c r="E216" s="27" t="e">
        <f ca="1">_xludf.GAMMA.INV(U216,'04_PSA_INPUTS'!H8,'04_PSA_INPUTS'!I8)</f>
        <v>#NAME?</v>
      </c>
      <c r="F216" s="27" t="e">
        <f ca="1">_xludf.GAMMA.INV(V216,'04_PSA_INPUTS'!H9,'04_PSA_INPUTS'!I9)</f>
        <v>#NAME?</v>
      </c>
      <c r="G216" s="23" t="e">
        <f ca="1">_xludf.BETA.INV(W216,'04_PSA_INPUTS'!H10,'04_PSA_INPUTS'!I10)</f>
        <v>#NAME?</v>
      </c>
      <c r="H216" s="23" t="e">
        <f ca="1">_xludf.BETA.INV(X216,'04_PSA_INPUTS'!H11,'04_PSA_INPUTS'!I11)</f>
        <v>#NAME?</v>
      </c>
      <c r="I216" s="27" t="e">
        <f ca="1">D216+B216*F216+'01_INPUTS'!B20</f>
        <v>#NAME?</v>
      </c>
      <c r="J216" s="27" t="e">
        <f ca="1">E216+C216*F216+'01_INPUTS'!B21</f>
        <v>#NAME?</v>
      </c>
      <c r="K216" s="27" t="e">
        <f t="shared" ca="1" si="18"/>
        <v>#NAME?</v>
      </c>
      <c r="L216" s="23" t="e">
        <f t="shared" ca="1" si="19"/>
        <v>#NAME?</v>
      </c>
      <c r="M216" s="23" t="e">
        <f t="shared" ca="1" si="20"/>
        <v>#NAME?</v>
      </c>
      <c r="N216" s="23" t="e">
        <f t="shared" ca="1" si="21"/>
        <v>#NAME?</v>
      </c>
      <c r="O216" s="27" t="e">
        <f t="shared" ca="1" si="22"/>
        <v>#NAME?</v>
      </c>
      <c r="P216" s="27" t="e">
        <f ca="1">'01_INPUTS'!B9*N216-K216</f>
        <v>#NAME?</v>
      </c>
      <c r="Q216" s="1" t="e">
        <f t="shared" ca="1" si="23"/>
        <v>#NAME?</v>
      </c>
      <c r="R216" s="28">
        <v>0.57160062016919255</v>
      </c>
      <c r="S216" s="28">
        <v>0.34071812126785517</v>
      </c>
      <c r="T216" s="28">
        <v>0.58574325102381408</v>
      </c>
      <c r="U216" s="28">
        <v>0.88306235778145492</v>
      </c>
      <c r="V216" s="28">
        <v>0.16477435058914125</v>
      </c>
      <c r="W216" s="28">
        <v>0.40506010502576828</v>
      </c>
      <c r="X216" s="28">
        <v>0.86684892536140978</v>
      </c>
    </row>
    <row r="217" spans="1:24" ht="13.9">
      <c r="A217" s="1">
        <v>216</v>
      </c>
      <c r="B217" s="23" t="e">
        <f ca="1">_xludf.BETA.INV(R217,'04_PSA_INPUTS'!H5,'04_PSA_INPUTS'!I5)</f>
        <v>#NAME?</v>
      </c>
      <c r="C217" s="23" t="e">
        <f ca="1">_xludf.BETA.INV(S217,'04_PSA_INPUTS'!H6,'04_PSA_INPUTS'!I6)</f>
        <v>#NAME?</v>
      </c>
      <c r="D217" s="27" t="e">
        <f ca="1">_xludf.GAMMA.INV(T217,'04_PSA_INPUTS'!H7,'04_PSA_INPUTS'!I7)</f>
        <v>#NAME?</v>
      </c>
      <c r="E217" s="27" t="e">
        <f ca="1">_xludf.GAMMA.INV(U217,'04_PSA_INPUTS'!H8,'04_PSA_INPUTS'!I8)</f>
        <v>#NAME?</v>
      </c>
      <c r="F217" s="27" t="e">
        <f ca="1">_xludf.GAMMA.INV(V217,'04_PSA_INPUTS'!H9,'04_PSA_INPUTS'!I9)</f>
        <v>#NAME?</v>
      </c>
      <c r="G217" s="23" t="e">
        <f ca="1">_xludf.BETA.INV(W217,'04_PSA_INPUTS'!H10,'04_PSA_INPUTS'!I10)</f>
        <v>#NAME?</v>
      </c>
      <c r="H217" s="23" t="e">
        <f ca="1">_xludf.BETA.INV(X217,'04_PSA_INPUTS'!H11,'04_PSA_INPUTS'!I11)</f>
        <v>#NAME?</v>
      </c>
      <c r="I217" s="27" t="e">
        <f ca="1">D217+B217*F217+'01_INPUTS'!B20</f>
        <v>#NAME?</v>
      </c>
      <c r="J217" s="27" t="e">
        <f ca="1">E217+C217*F217+'01_INPUTS'!B21</f>
        <v>#NAME?</v>
      </c>
      <c r="K217" s="27" t="e">
        <f t="shared" ca="1" si="18"/>
        <v>#NAME?</v>
      </c>
      <c r="L217" s="23" t="e">
        <f t="shared" ca="1" si="19"/>
        <v>#NAME?</v>
      </c>
      <c r="M217" s="23" t="e">
        <f t="shared" ca="1" si="20"/>
        <v>#NAME?</v>
      </c>
      <c r="N217" s="23" t="e">
        <f t="shared" ca="1" si="21"/>
        <v>#NAME?</v>
      </c>
      <c r="O217" s="27" t="e">
        <f t="shared" ca="1" si="22"/>
        <v>#NAME?</v>
      </c>
      <c r="P217" s="27" t="e">
        <f ca="1">'01_INPUTS'!B9*N217-K217</f>
        <v>#NAME?</v>
      </c>
      <c r="Q217" s="1" t="e">
        <f t="shared" ca="1" si="23"/>
        <v>#NAME?</v>
      </c>
      <c r="R217" s="28">
        <v>0.59609627071768045</v>
      </c>
      <c r="S217" s="28">
        <v>0.42009573359973729</v>
      </c>
      <c r="T217" s="28">
        <v>0.86799839930608869</v>
      </c>
      <c r="U217" s="28">
        <v>0.27334501384757459</v>
      </c>
      <c r="V217" s="28">
        <v>0.56976959411986172</v>
      </c>
      <c r="W217" s="28">
        <v>0.25421184278093278</v>
      </c>
      <c r="X217" s="28">
        <v>0.13924392056651413</v>
      </c>
    </row>
    <row r="218" spans="1:24" ht="13.9">
      <c r="A218" s="1">
        <v>217</v>
      </c>
      <c r="B218" s="23" t="e">
        <f ca="1">_xludf.BETA.INV(R218,'04_PSA_INPUTS'!H5,'04_PSA_INPUTS'!I5)</f>
        <v>#NAME?</v>
      </c>
      <c r="C218" s="23" t="e">
        <f ca="1">_xludf.BETA.INV(S218,'04_PSA_INPUTS'!H6,'04_PSA_INPUTS'!I6)</f>
        <v>#NAME?</v>
      </c>
      <c r="D218" s="27" t="e">
        <f ca="1">_xludf.GAMMA.INV(T218,'04_PSA_INPUTS'!H7,'04_PSA_INPUTS'!I7)</f>
        <v>#NAME?</v>
      </c>
      <c r="E218" s="27" t="e">
        <f ca="1">_xludf.GAMMA.INV(U218,'04_PSA_INPUTS'!H8,'04_PSA_INPUTS'!I8)</f>
        <v>#NAME?</v>
      </c>
      <c r="F218" s="27" t="e">
        <f ca="1">_xludf.GAMMA.INV(V218,'04_PSA_INPUTS'!H9,'04_PSA_INPUTS'!I9)</f>
        <v>#NAME?</v>
      </c>
      <c r="G218" s="23" t="e">
        <f ca="1">_xludf.BETA.INV(W218,'04_PSA_INPUTS'!H10,'04_PSA_INPUTS'!I10)</f>
        <v>#NAME?</v>
      </c>
      <c r="H218" s="23" t="e">
        <f ca="1">_xludf.BETA.INV(X218,'04_PSA_INPUTS'!H11,'04_PSA_INPUTS'!I11)</f>
        <v>#NAME?</v>
      </c>
      <c r="I218" s="27" t="e">
        <f ca="1">D218+B218*F218+'01_INPUTS'!B20</f>
        <v>#NAME?</v>
      </c>
      <c r="J218" s="27" t="e">
        <f ca="1">E218+C218*F218+'01_INPUTS'!B21</f>
        <v>#NAME?</v>
      </c>
      <c r="K218" s="27" t="e">
        <f t="shared" ca="1" si="18"/>
        <v>#NAME?</v>
      </c>
      <c r="L218" s="23" t="e">
        <f t="shared" ca="1" si="19"/>
        <v>#NAME?</v>
      </c>
      <c r="M218" s="23" t="e">
        <f t="shared" ca="1" si="20"/>
        <v>#NAME?</v>
      </c>
      <c r="N218" s="23" t="e">
        <f t="shared" ca="1" si="21"/>
        <v>#NAME?</v>
      </c>
      <c r="O218" s="27" t="e">
        <f t="shared" ca="1" si="22"/>
        <v>#NAME?</v>
      </c>
      <c r="P218" s="27" t="e">
        <f ca="1">'01_INPUTS'!B9*N218-K218</f>
        <v>#NAME?</v>
      </c>
      <c r="Q218" s="1" t="e">
        <f t="shared" ca="1" si="23"/>
        <v>#NAME?</v>
      </c>
      <c r="R218" s="28">
        <v>5.3367405431345105E-2</v>
      </c>
      <c r="S218" s="28">
        <v>0.42281338339671493</v>
      </c>
      <c r="T218" s="28">
        <v>0.34651133650913835</v>
      </c>
      <c r="U218" s="28">
        <v>0.94195044226944447</v>
      </c>
      <c r="V218" s="28">
        <v>3.3173175295814872E-2</v>
      </c>
      <c r="W218" s="28">
        <v>0.71663263277150691</v>
      </c>
      <c r="X218" s="28">
        <v>0.97469089459627867</v>
      </c>
    </row>
    <row r="219" spans="1:24" ht="13.9">
      <c r="A219" s="1">
        <v>218</v>
      </c>
      <c r="B219" s="23" t="e">
        <f ca="1">_xludf.BETA.INV(R219,'04_PSA_INPUTS'!H5,'04_PSA_INPUTS'!I5)</f>
        <v>#NAME?</v>
      </c>
      <c r="C219" s="23" t="e">
        <f ca="1">_xludf.BETA.INV(S219,'04_PSA_INPUTS'!H6,'04_PSA_INPUTS'!I6)</f>
        <v>#NAME?</v>
      </c>
      <c r="D219" s="27" t="e">
        <f ca="1">_xludf.GAMMA.INV(T219,'04_PSA_INPUTS'!H7,'04_PSA_INPUTS'!I7)</f>
        <v>#NAME?</v>
      </c>
      <c r="E219" s="27" t="e">
        <f ca="1">_xludf.GAMMA.INV(U219,'04_PSA_INPUTS'!H8,'04_PSA_INPUTS'!I8)</f>
        <v>#NAME?</v>
      </c>
      <c r="F219" s="27" t="e">
        <f ca="1">_xludf.GAMMA.INV(V219,'04_PSA_INPUTS'!H9,'04_PSA_INPUTS'!I9)</f>
        <v>#NAME?</v>
      </c>
      <c r="G219" s="23" t="e">
        <f ca="1">_xludf.BETA.INV(W219,'04_PSA_INPUTS'!H10,'04_PSA_INPUTS'!I10)</f>
        <v>#NAME?</v>
      </c>
      <c r="H219" s="23" t="e">
        <f ca="1">_xludf.BETA.INV(X219,'04_PSA_INPUTS'!H11,'04_PSA_INPUTS'!I11)</f>
        <v>#NAME?</v>
      </c>
      <c r="I219" s="27" t="e">
        <f ca="1">D219+B219*F219+'01_INPUTS'!B20</f>
        <v>#NAME?</v>
      </c>
      <c r="J219" s="27" t="e">
        <f ca="1">E219+C219*F219+'01_INPUTS'!B21</f>
        <v>#NAME?</v>
      </c>
      <c r="K219" s="27" t="e">
        <f t="shared" ca="1" si="18"/>
        <v>#NAME?</v>
      </c>
      <c r="L219" s="23" t="e">
        <f t="shared" ca="1" si="19"/>
        <v>#NAME?</v>
      </c>
      <c r="M219" s="23" t="e">
        <f t="shared" ca="1" si="20"/>
        <v>#NAME?</v>
      </c>
      <c r="N219" s="23" t="e">
        <f t="shared" ca="1" si="21"/>
        <v>#NAME?</v>
      </c>
      <c r="O219" s="27" t="e">
        <f t="shared" ca="1" si="22"/>
        <v>#NAME?</v>
      </c>
      <c r="P219" s="27" t="e">
        <f ca="1">'01_INPUTS'!B9*N219-K219</f>
        <v>#NAME?</v>
      </c>
      <c r="Q219" s="1" t="e">
        <f t="shared" ca="1" si="23"/>
        <v>#NAME?</v>
      </c>
      <c r="R219" s="28">
        <v>0.42811133596114814</v>
      </c>
      <c r="S219" s="28">
        <v>0.27649705647490919</v>
      </c>
      <c r="T219" s="28">
        <v>0.57502254354767501</v>
      </c>
      <c r="U219" s="28">
        <v>0.26798868388868868</v>
      </c>
      <c r="V219" s="28">
        <v>0.7334174991119653</v>
      </c>
      <c r="W219" s="28">
        <v>0.66896973852999508</v>
      </c>
      <c r="X219" s="28">
        <v>0.5789672767277807</v>
      </c>
    </row>
    <row r="220" spans="1:24" ht="13.9">
      <c r="A220" s="1">
        <v>219</v>
      </c>
      <c r="B220" s="23" t="e">
        <f ca="1">_xludf.BETA.INV(R220,'04_PSA_INPUTS'!H5,'04_PSA_INPUTS'!I5)</f>
        <v>#NAME?</v>
      </c>
      <c r="C220" s="23" t="e">
        <f ca="1">_xludf.BETA.INV(S220,'04_PSA_INPUTS'!H6,'04_PSA_INPUTS'!I6)</f>
        <v>#NAME?</v>
      </c>
      <c r="D220" s="27" t="e">
        <f ca="1">_xludf.GAMMA.INV(T220,'04_PSA_INPUTS'!H7,'04_PSA_INPUTS'!I7)</f>
        <v>#NAME?</v>
      </c>
      <c r="E220" s="27" t="e">
        <f ca="1">_xludf.GAMMA.INV(U220,'04_PSA_INPUTS'!H8,'04_PSA_INPUTS'!I8)</f>
        <v>#NAME?</v>
      </c>
      <c r="F220" s="27" t="e">
        <f ca="1">_xludf.GAMMA.INV(V220,'04_PSA_INPUTS'!H9,'04_PSA_INPUTS'!I9)</f>
        <v>#NAME?</v>
      </c>
      <c r="G220" s="23" t="e">
        <f ca="1">_xludf.BETA.INV(W220,'04_PSA_INPUTS'!H10,'04_PSA_INPUTS'!I10)</f>
        <v>#NAME?</v>
      </c>
      <c r="H220" s="23" t="e">
        <f ca="1">_xludf.BETA.INV(X220,'04_PSA_INPUTS'!H11,'04_PSA_INPUTS'!I11)</f>
        <v>#NAME?</v>
      </c>
      <c r="I220" s="27" t="e">
        <f ca="1">D220+B220*F220+'01_INPUTS'!B20</f>
        <v>#NAME?</v>
      </c>
      <c r="J220" s="27" t="e">
        <f ca="1">E220+C220*F220+'01_INPUTS'!B21</f>
        <v>#NAME?</v>
      </c>
      <c r="K220" s="27" t="e">
        <f t="shared" ca="1" si="18"/>
        <v>#NAME?</v>
      </c>
      <c r="L220" s="23" t="e">
        <f t="shared" ca="1" si="19"/>
        <v>#NAME?</v>
      </c>
      <c r="M220" s="23" t="e">
        <f t="shared" ca="1" si="20"/>
        <v>#NAME?</v>
      </c>
      <c r="N220" s="23" t="e">
        <f t="shared" ca="1" si="21"/>
        <v>#NAME?</v>
      </c>
      <c r="O220" s="27" t="e">
        <f t="shared" ca="1" si="22"/>
        <v>#NAME?</v>
      </c>
      <c r="P220" s="27" t="e">
        <f ca="1">'01_INPUTS'!B9*N220-K220</f>
        <v>#NAME?</v>
      </c>
      <c r="Q220" s="1" t="e">
        <f t="shared" ca="1" si="23"/>
        <v>#NAME?</v>
      </c>
      <c r="R220" s="28">
        <v>0.59158335998654366</v>
      </c>
      <c r="S220" s="28">
        <v>0.18302238662727177</v>
      </c>
      <c r="T220" s="28">
        <v>0.94499826291576028</v>
      </c>
      <c r="U220" s="28">
        <v>0.20405202265828848</v>
      </c>
      <c r="V220" s="28">
        <v>1.9629029091447592E-2</v>
      </c>
      <c r="W220" s="28">
        <v>0.86573479976505041</v>
      </c>
      <c r="X220" s="28">
        <v>0.8450495928991586</v>
      </c>
    </row>
    <row r="221" spans="1:24" ht="13.9">
      <c r="A221" s="1">
        <v>220</v>
      </c>
      <c r="B221" s="23" t="e">
        <f ca="1">_xludf.BETA.INV(R221,'04_PSA_INPUTS'!H5,'04_PSA_INPUTS'!I5)</f>
        <v>#NAME?</v>
      </c>
      <c r="C221" s="23" t="e">
        <f ca="1">_xludf.BETA.INV(S221,'04_PSA_INPUTS'!H6,'04_PSA_INPUTS'!I6)</f>
        <v>#NAME?</v>
      </c>
      <c r="D221" s="27" t="e">
        <f ca="1">_xludf.GAMMA.INV(T221,'04_PSA_INPUTS'!H7,'04_PSA_INPUTS'!I7)</f>
        <v>#NAME?</v>
      </c>
      <c r="E221" s="27" t="e">
        <f ca="1">_xludf.GAMMA.INV(U221,'04_PSA_INPUTS'!H8,'04_PSA_INPUTS'!I8)</f>
        <v>#NAME?</v>
      </c>
      <c r="F221" s="27" t="e">
        <f ca="1">_xludf.GAMMA.INV(V221,'04_PSA_INPUTS'!H9,'04_PSA_INPUTS'!I9)</f>
        <v>#NAME?</v>
      </c>
      <c r="G221" s="23" t="e">
        <f ca="1">_xludf.BETA.INV(W221,'04_PSA_INPUTS'!H10,'04_PSA_INPUTS'!I10)</f>
        <v>#NAME?</v>
      </c>
      <c r="H221" s="23" t="e">
        <f ca="1">_xludf.BETA.INV(X221,'04_PSA_INPUTS'!H11,'04_PSA_INPUTS'!I11)</f>
        <v>#NAME?</v>
      </c>
      <c r="I221" s="27" t="e">
        <f ca="1">D221+B221*F221+'01_INPUTS'!B20</f>
        <v>#NAME?</v>
      </c>
      <c r="J221" s="27" t="e">
        <f ca="1">E221+C221*F221+'01_INPUTS'!B21</f>
        <v>#NAME?</v>
      </c>
      <c r="K221" s="27" t="e">
        <f t="shared" ca="1" si="18"/>
        <v>#NAME?</v>
      </c>
      <c r="L221" s="23" t="e">
        <f t="shared" ca="1" si="19"/>
        <v>#NAME?</v>
      </c>
      <c r="M221" s="23" t="e">
        <f t="shared" ca="1" si="20"/>
        <v>#NAME?</v>
      </c>
      <c r="N221" s="23" t="e">
        <f t="shared" ca="1" si="21"/>
        <v>#NAME?</v>
      </c>
      <c r="O221" s="27" t="e">
        <f t="shared" ca="1" si="22"/>
        <v>#NAME?</v>
      </c>
      <c r="P221" s="27" t="e">
        <f ca="1">'01_INPUTS'!B9*N221-K221</f>
        <v>#NAME?</v>
      </c>
      <c r="Q221" s="1" t="e">
        <f t="shared" ca="1" si="23"/>
        <v>#NAME?</v>
      </c>
      <c r="R221" s="28">
        <v>0.5601924816146493</v>
      </c>
      <c r="S221" s="28">
        <v>0.44647316471673548</v>
      </c>
      <c r="T221" s="28">
        <v>0.28067171107977629</v>
      </c>
      <c r="U221" s="28">
        <v>0.43832702073268592</v>
      </c>
      <c r="V221" s="28">
        <v>0.42244729865342379</v>
      </c>
      <c r="W221" s="28">
        <v>0.48428599373437464</v>
      </c>
      <c r="X221" s="28">
        <v>0.98998297611251473</v>
      </c>
    </row>
    <row r="222" spans="1:24" ht="13.9">
      <c r="A222" s="1">
        <v>221</v>
      </c>
      <c r="B222" s="23" t="e">
        <f ca="1">_xludf.BETA.INV(R222,'04_PSA_INPUTS'!H5,'04_PSA_INPUTS'!I5)</f>
        <v>#NAME?</v>
      </c>
      <c r="C222" s="23" t="e">
        <f ca="1">_xludf.BETA.INV(S222,'04_PSA_INPUTS'!H6,'04_PSA_INPUTS'!I6)</f>
        <v>#NAME?</v>
      </c>
      <c r="D222" s="27" t="e">
        <f ca="1">_xludf.GAMMA.INV(T222,'04_PSA_INPUTS'!H7,'04_PSA_INPUTS'!I7)</f>
        <v>#NAME?</v>
      </c>
      <c r="E222" s="27" t="e">
        <f ca="1">_xludf.GAMMA.INV(U222,'04_PSA_INPUTS'!H8,'04_PSA_INPUTS'!I8)</f>
        <v>#NAME?</v>
      </c>
      <c r="F222" s="27" t="e">
        <f ca="1">_xludf.GAMMA.INV(V222,'04_PSA_INPUTS'!H9,'04_PSA_INPUTS'!I9)</f>
        <v>#NAME?</v>
      </c>
      <c r="G222" s="23" t="e">
        <f ca="1">_xludf.BETA.INV(W222,'04_PSA_INPUTS'!H10,'04_PSA_INPUTS'!I10)</f>
        <v>#NAME?</v>
      </c>
      <c r="H222" s="23" t="e">
        <f ca="1">_xludf.BETA.INV(X222,'04_PSA_INPUTS'!H11,'04_PSA_INPUTS'!I11)</f>
        <v>#NAME?</v>
      </c>
      <c r="I222" s="27" t="e">
        <f ca="1">D222+B222*F222+'01_INPUTS'!B20</f>
        <v>#NAME?</v>
      </c>
      <c r="J222" s="27" t="e">
        <f ca="1">E222+C222*F222+'01_INPUTS'!B21</f>
        <v>#NAME?</v>
      </c>
      <c r="K222" s="27" t="e">
        <f t="shared" ca="1" si="18"/>
        <v>#NAME?</v>
      </c>
      <c r="L222" s="23" t="e">
        <f t="shared" ca="1" si="19"/>
        <v>#NAME?</v>
      </c>
      <c r="M222" s="23" t="e">
        <f t="shared" ca="1" si="20"/>
        <v>#NAME?</v>
      </c>
      <c r="N222" s="23" t="e">
        <f t="shared" ca="1" si="21"/>
        <v>#NAME?</v>
      </c>
      <c r="O222" s="27" t="e">
        <f t="shared" ca="1" si="22"/>
        <v>#NAME?</v>
      </c>
      <c r="P222" s="27" t="e">
        <f ca="1">'01_INPUTS'!B9*N222-K222</f>
        <v>#NAME?</v>
      </c>
      <c r="Q222" s="1" t="e">
        <f t="shared" ca="1" si="23"/>
        <v>#NAME?</v>
      </c>
      <c r="R222" s="28">
        <v>0.76869018166325986</v>
      </c>
      <c r="S222" s="28">
        <v>0.56813099305145442</v>
      </c>
      <c r="T222" s="28">
        <v>0.47251539980061352</v>
      </c>
      <c r="U222" s="28">
        <v>0.97818882716819644</v>
      </c>
      <c r="V222" s="28">
        <v>0.98280462203547359</v>
      </c>
      <c r="W222" s="28">
        <v>0.56331392331048846</v>
      </c>
      <c r="X222" s="28">
        <v>0.79910752270370722</v>
      </c>
    </row>
    <row r="223" spans="1:24" ht="13.9">
      <c r="A223" s="1">
        <v>222</v>
      </c>
      <c r="B223" s="23" t="e">
        <f ca="1">_xludf.BETA.INV(R223,'04_PSA_INPUTS'!H5,'04_PSA_INPUTS'!I5)</f>
        <v>#NAME?</v>
      </c>
      <c r="C223" s="23" t="e">
        <f ca="1">_xludf.BETA.INV(S223,'04_PSA_INPUTS'!H6,'04_PSA_INPUTS'!I6)</f>
        <v>#NAME?</v>
      </c>
      <c r="D223" s="27" t="e">
        <f ca="1">_xludf.GAMMA.INV(T223,'04_PSA_INPUTS'!H7,'04_PSA_INPUTS'!I7)</f>
        <v>#NAME?</v>
      </c>
      <c r="E223" s="27" t="e">
        <f ca="1">_xludf.GAMMA.INV(U223,'04_PSA_INPUTS'!H8,'04_PSA_INPUTS'!I8)</f>
        <v>#NAME?</v>
      </c>
      <c r="F223" s="27" t="e">
        <f ca="1">_xludf.GAMMA.INV(V223,'04_PSA_INPUTS'!H9,'04_PSA_INPUTS'!I9)</f>
        <v>#NAME?</v>
      </c>
      <c r="G223" s="23" t="e">
        <f ca="1">_xludf.BETA.INV(W223,'04_PSA_INPUTS'!H10,'04_PSA_INPUTS'!I10)</f>
        <v>#NAME?</v>
      </c>
      <c r="H223" s="23" t="e">
        <f ca="1">_xludf.BETA.INV(X223,'04_PSA_INPUTS'!H11,'04_PSA_INPUTS'!I11)</f>
        <v>#NAME?</v>
      </c>
      <c r="I223" s="27" t="e">
        <f ca="1">D223+B223*F223+'01_INPUTS'!B20</f>
        <v>#NAME?</v>
      </c>
      <c r="J223" s="27" t="e">
        <f ca="1">E223+C223*F223+'01_INPUTS'!B21</f>
        <v>#NAME?</v>
      </c>
      <c r="K223" s="27" t="e">
        <f t="shared" ca="1" si="18"/>
        <v>#NAME?</v>
      </c>
      <c r="L223" s="23" t="e">
        <f t="shared" ca="1" si="19"/>
        <v>#NAME?</v>
      </c>
      <c r="M223" s="23" t="e">
        <f t="shared" ca="1" si="20"/>
        <v>#NAME?</v>
      </c>
      <c r="N223" s="23" t="e">
        <f t="shared" ca="1" si="21"/>
        <v>#NAME?</v>
      </c>
      <c r="O223" s="27" t="e">
        <f t="shared" ca="1" si="22"/>
        <v>#NAME?</v>
      </c>
      <c r="P223" s="27" t="e">
        <f ca="1">'01_INPUTS'!B9*N223-K223</f>
        <v>#NAME?</v>
      </c>
      <c r="Q223" s="1" t="e">
        <f t="shared" ca="1" si="23"/>
        <v>#NAME?</v>
      </c>
      <c r="R223" s="28">
        <v>0.94808131805621088</v>
      </c>
      <c r="S223" s="28">
        <v>0.52207785681821406</v>
      </c>
      <c r="T223" s="28">
        <v>0.61129868286661804</v>
      </c>
      <c r="U223" s="28">
        <v>0.30320055293850601</v>
      </c>
      <c r="V223" s="28">
        <v>0.42820581747218966</v>
      </c>
      <c r="W223" s="28">
        <v>0.95237559010274708</v>
      </c>
      <c r="X223" s="28">
        <v>0.68988849245943129</v>
      </c>
    </row>
    <row r="224" spans="1:24" ht="13.9">
      <c r="A224" s="1">
        <v>223</v>
      </c>
      <c r="B224" s="23" t="e">
        <f ca="1">_xludf.BETA.INV(R224,'04_PSA_INPUTS'!H5,'04_PSA_INPUTS'!I5)</f>
        <v>#NAME?</v>
      </c>
      <c r="C224" s="23" t="e">
        <f ca="1">_xludf.BETA.INV(S224,'04_PSA_INPUTS'!H6,'04_PSA_INPUTS'!I6)</f>
        <v>#NAME?</v>
      </c>
      <c r="D224" s="27" t="e">
        <f ca="1">_xludf.GAMMA.INV(T224,'04_PSA_INPUTS'!H7,'04_PSA_INPUTS'!I7)</f>
        <v>#NAME?</v>
      </c>
      <c r="E224" s="27" t="e">
        <f ca="1">_xludf.GAMMA.INV(U224,'04_PSA_INPUTS'!H8,'04_PSA_INPUTS'!I8)</f>
        <v>#NAME?</v>
      </c>
      <c r="F224" s="27" t="e">
        <f ca="1">_xludf.GAMMA.INV(V224,'04_PSA_INPUTS'!H9,'04_PSA_INPUTS'!I9)</f>
        <v>#NAME?</v>
      </c>
      <c r="G224" s="23" t="e">
        <f ca="1">_xludf.BETA.INV(W224,'04_PSA_INPUTS'!H10,'04_PSA_INPUTS'!I10)</f>
        <v>#NAME?</v>
      </c>
      <c r="H224" s="23" t="e">
        <f ca="1">_xludf.BETA.INV(X224,'04_PSA_INPUTS'!H11,'04_PSA_INPUTS'!I11)</f>
        <v>#NAME?</v>
      </c>
      <c r="I224" s="27" t="e">
        <f ca="1">D224+B224*F224+'01_INPUTS'!B20</f>
        <v>#NAME?</v>
      </c>
      <c r="J224" s="27" t="e">
        <f ca="1">E224+C224*F224+'01_INPUTS'!B21</f>
        <v>#NAME?</v>
      </c>
      <c r="K224" s="27" t="e">
        <f t="shared" ca="1" si="18"/>
        <v>#NAME?</v>
      </c>
      <c r="L224" s="23" t="e">
        <f t="shared" ca="1" si="19"/>
        <v>#NAME?</v>
      </c>
      <c r="M224" s="23" t="e">
        <f t="shared" ca="1" si="20"/>
        <v>#NAME?</v>
      </c>
      <c r="N224" s="23" t="e">
        <f t="shared" ca="1" si="21"/>
        <v>#NAME?</v>
      </c>
      <c r="O224" s="27" t="e">
        <f t="shared" ca="1" si="22"/>
        <v>#NAME?</v>
      </c>
      <c r="P224" s="27" t="e">
        <f ca="1">'01_INPUTS'!B9*N224-K224</f>
        <v>#NAME?</v>
      </c>
      <c r="Q224" s="1" t="e">
        <f t="shared" ca="1" si="23"/>
        <v>#NAME?</v>
      </c>
      <c r="R224" s="28">
        <v>0.61897100508213043</v>
      </c>
      <c r="S224" s="28">
        <v>0.90247300756163895</v>
      </c>
      <c r="T224" s="28">
        <v>0.69655959750525653</v>
      </c>
      <c r="U224" s="28">
        <v>0.24272639211267233</v>
      </c>
      <c r="V224" s="28">
        <v>0.31495021167211235</v>
      </c>
      <c r="W224" s="28">
        <v>8.2057052524760365E-2</v>
      </c>
      <c r="X224" s="28">
        <v>0.50249347533099353</v>
      </c>
    </row>
    <row r="225" spans="1:24" ht="13.9">
      <c r="A225" s="1">
        <v>224</v>
      </c>
      <c r="B225" s="23" t="e">
        <f ca="1">_xludf.BETA.INV(R225,'04_PSA_INPUTS'!H5,'04_PSA_INPUTS'!I5)</f>
        <v>#NAME?</v>
      </c>
      <c r="C225" s="23" t="e">
        <f ca="1">_xludf.BETA.INV(S225,'04_PSA_INPUTS'!H6,'04_PSA_INPUTS'!I6)</f>
        <v>#NAME?</v>
      </c>
      <c r="D225" s="27" t="e">
        <f ca="1">_xludf.GAMMA.INV(T225,'04_PSA_INPUTS'!H7,'04_PSA_INPUTS'!I7)</f>
        <v>#NAME?</v>
      </c>
      <c r="E225" s="27" t="e">
        <f ca="1">_xludf.GAMMA.INV(U225,'04_PSA_INPUTS'!H8,'04_PSA_INPUTS'!I8)</f>
        <v>#NAME?</v>
      </c>
      <c r="F225" s="27" t="e">
        <f ca="1">_xludf.GAMMA.INV(V225,'04_PSA_INPUTS'!H9,'04_PSA_INPUTS'!I9)</f>
        <v>#NAME?</v>
      </c>
      <c r="G225" s="23" t="e">
        <f ca="1">_xludf.BETA.INV(W225,'04_PSA_INPUTS'!H10,'04_PSA_INPUTS'!I10)</f>
        <v>#NAME?</v>
      </c>
      <c r="H225" s="23" t="e">
        <f ca="1">_xludf.BETA.INV(X225,'04_PSA_INPUTS'!H11,'04_PSA_INPUTS'!I11)</f>
        <v>#NAME?</v>
      </c>
      <c r="I225" s="27" t="e">
        <f ca="1">D225+B225*F225+'01_INPUTS'!B20</f>
        <v>#NAME?</v>
      </c>
      <c r="J225" s="27" t="e">
        <f ca="1">E225+C225*F225+'01_INPUTS'!B21</f>
        <v>#NAME?</v>
      </c>
      <c r="K225" s="27" t="e">
        <f t="shared" ca="1" si="18"/>
        <v>#NAME?</v>
      </c>
      <c r="L225" s="23" t="e">
        <f t="shared" ca="1" si="19"/>
        <v>#NAME?</v>
      </c>
      <c r="M225" s="23" t="e">
        <f t="shared" ca="1" si="20"/>
        <v>#NAME?</v>
      </c>
      <c r="N225" s="23" t="e">
        <f t="shared" ca="1" si="21"/>
        <v>#NAME?</v>
      </c>
      <c r="O225" s="27" t="e">
        <f t="shared" ca="1" si="22"/>
        <v>#NAME?</v>
      </c>
      <c r="P225" s="27" t="e">
        <f ca="1">'01_INPUTS'!B9*N225-K225</f>
        <v>#NAME?</v>
      </c>
      <c r="Q225" s="1" t="e">
        <f t="shared" ca="1" si="23"/>
        <v>#NAME?</v>
      </c>
      <c r="R225" s="28">
        <v>0.9940767353400588</v>
      </c>
      <c r="S225" s="28">
        <v>0.77809181180782616</v>
      </c>
      <c r="T225" s="28">
        <v>0.4397889100946486</v>
      </c>
      <c r="U225" s="28">
        <v>0.51073030172847211</v>
      </c>
      <c r="V225" s="28">
        <v>0.26753658358938992</v>
      </c>
      <c r="W225" s="28">
        <v>0.88652140274643898</v>
      </c>
      <c r="X225" s="28">
        <v>0.81842871336266398</v>
      </c>
    </row>
    <row r="226" spans="1:24" ht="13.9">
      <c r="A226" s="1">
        <v>225</v>
      </c>
      <c r="B226" s="23" t="e">
        <f ca="1">_xludf.BETA.INV(R226,'04_PSA_INPUTS'!H5,'04_PSA_INPUTS'!I5)</f>
        <v>#NAME?</v>
      </c>
      <c r="C226" s="23" t="e">
        <f ca="1">_xludf.BETA.INV(S226,'04_PSA_INPUTS'!H6,'04_PSA_INPUTS'!I6)</f>
        <v>#NAME?</v>
      </c>
      <c r="D226" s="27" t="e">
        <f ca="1">_xludf.GAMMA.INV(T226,'04_PSA_INPUTS'!H7,'04_PSA_INPUTS'!I7)</f>
        <v>#NAME?</v>
      </c>
      <c r="E226" s="27" t="e">
        <f ca="1">_xludf.GAMMA.INV(U226,'04_PSA_INPUTS'!H8,'04_PSA_INPUTS'!I8)</f>
        <v>#NAME?</v>
      </c>
      <c r="F226" s="27" t="e">
        <f ca="1">_xludf.GAMMA.INV(V226,'04_PSA_INPUTS'!H9,'04_PSA_INPUTS'!I9)</f>
        <v>#NAME?</v>
      </c>
      <c r="G226" s="23" t="e">
        <f ca="1">_xludf.BETA.INV(W226,'04_PSA_INPUTS'!H10,'04_PSA_INPUTS'!I10)</f>
        <v>#NAME?</v>
      </c>
      <c r="H226" s="23" t="e">
        <f ca="1">_xludf.BETA.INV(X226,'04_PSA_INPUTS'!H11,'04_PSA_INPUTS'!I11)</f>
        <v>#NAME?</v>
      </c>
      <c r="I226" s="27" t="e">
        <f ca="1">D226+B226*F226+'01_INPUTS'!B20</f>
        <v>#NAME?</v>
      </c>
      <c r="J226" s="27" t="e">
        <f ca="1">E226+C226*F226+'01_INPUTS'!B21</f>
        <v>#NAME?</v>
      </c>
      <c r="K226" s="27" t="e">
        <f t="shared" ca="1" si="18"/>
        <v>#NAME?</v>
      </c>
      <c r="L226" s="23" t="e">
        <f t="shared" ca="1" si="19"/>
        <v>#NAME?</v>
      </c>
      <c r="M226" s="23" t="e">
        <f t="shared" ca="1" si="20"/>
        <v>#NAME?</v>
      </c>
      <c r="N226" s="23" t="e">
        <f t="shared" ca="1" si="21"/>
        <v>#NAME?</v>
      </c>
      <c r="O226" s="27" t="e">
        <f t="shared" ca="1" si="22"/>
        <v>#NAME?</v>
      </c>
      <c r="P226" s="27" t="e">
        <f ca="1">'01_INPUTS'!B9*N226-K226</f>
        <v>#NAME?</v>
      </c>
      <c r="Q226" s="1" t="e">
        <f t="shared" ca="1" si="23"/>
        <v>#NAME?</v>
      </c>
      <c r="R226" s="28">
        <v>0.50665924954228103</v>
      </c>
      <c r="S226" s="28">
        <v>0.14000996365211904</v>
      </c>
      <c r="T226" s="28">
        <v>0.13702398701570928</v>
      </c>
      <c r="U226" s="28">
        <v>0.33125876006670296</v>
      </c>
      <c r="V226" s="28">
        <v>0.44648437178693712</v>
      </c>
      <c r="W226" s="28">
        <v>0.83495822641998529</v>
      </c>
      <c r="X226" s="28">
        <v>0.10379245062358677</v>
      </c>
    </row>
    <row r="227" spans="1:24" ht="13.9">
      <c r="A227" s="1">
        <v>226</v>
      </c>
      <c r="B227" s="23" t="e">
        <f ca="1">_xludf.BETA.INV(R227,'04_PSA_INPUTS'!H5,'04_PSA_INPUTS'!I5)</f>
        <v>#NAME?</v>
      </c>
      <c r="C227" s="23" t="e">
        <f ca="1">_xludf.BETA.INV(S227,'04_PSA_INPUTS'!H6,'04_PSA_INPUTS'!I6)</f>
        <v>#NAME?</v>
      </c>
      <c r="D227" s="27" t="e">
        <f ca="1">_xludf.GAMMA.INV(T227,'04_PSA_INPUTS'!H7,'04_PSA_INPUTS'!I7)</f>
        <v>#NAME?</v>
      </c>
      <c r="E227" s="27" t="e">
        <f ca="1">_xludf.GAMMA.INV(U227,'04_PSA_INPUTS'!H8,'04_PSA_INPUTS'!I8)</f>
        <v>#NAME?</v>
      </c>
      <c r="F227" s="27" t="e">
        <f ca="1">_xludf.GAMMA.INV(V227,'04_PSA_INPUTS'!H9,'04_PSA_INPUTS'!I9)</f>
        <v>#NAME?</v>
      </c>
      <c r="G227" s="23" t="e">
        <f ca="1">_xludf.BETA.INV(W227,'04_PSA_INPUTS'!H10,'04_PSA_INPUTS'!I10)</f>
        <v>#NAME?</v>
      </c>
      <c r="H227" s="23" t="e">
        <f ca="1">_xludf.BETA.INV(X227,'04_PSA_INPUTS'!H11,'04_PSA_INPUTS'!I11)</f>
        <v>#NAME?</v>
      </c>
      <c r="I227" s="27" t="e">
        <f ca="1">D227+B227*F227+'01_INPUTS'!B20</f>
        <v>#NAME?</v>
      </c>
      <c r="J227" s="27" t="e">
        <f ca="1">E227+C227*F227+'01_INPUTS'!B21</f>
        <v>#NAME?</v>
      </c>
      <c r="K227" s="27" t="e">
        <f t="shared" ca="1" si="18"/>
        <v>#NAME?</v>
      </c>
      <c r="L227" s="23" t="e">
        <f t="shared" ca="1" si="19"/>
        <v>#NAME?</v>
      </c>
      <c r="M227" s="23" t="e">
        <f t="shared" ca="1" si="20"/>
        <v>#NAME?</v>
      </c>
      <c r="N227" s="23" t="e">
        <f t="shared" ca="1" si="21"/>
        <v>#NAME?</v>
      </c>
      <c r="O227" s="27" t="e">
        <f t="shared" ca="1" si="22"/>
        <v>#NAME?</v>
      </c>
      <c r="P227" s="27" t="e">
        <f ca="1">'01_INPUTS'!B9*N227-K227</f>
        <v>#NAME?</v>
      </c>
      <c r="Q227" s="1" t="e">
        <f t="shared" ca="1" si="23"/>
        <v>#NAME?</v>
      </c>
      <c r="R227" s="28">
        <v>0.78789682942442596</v>
      </c>
      <c r="S227" s="28">
        <v>2.2543548140674829E-2</v>
      </c>
      <c r="T227" s="28">
        <v>0.25334952841512859</v>
      </c>
      <c r="U227" s="28">
        <v>0.46777103235945106</v>
      </c>
      <c r="V227" s="28">
        <v>0.60393110848963261</v>
      </c>
      <c r="W227" s="28">
        <v>0.22998695797286928</v>
      </c>
      <c r="X227" s="28">
        <v>0.57512984494678676</v>
      </c>
    </row>
    <row r="228" spans="1:24" ht="13.9">
      <c r="A228" s="1">
        <v>227</v>
      </c>
      <c r="B228" s="23" t="e">
        <f ca="1">_xludf.BETA.INV(R228,'04_PSA_INPUTS'!H5,'04_PSA_INPUTS'!I5)</f>
        <v>#NAME?</v>
      </c>
      <c r="C228" s="23" t="e">
        <f ca="1">_xludf.BETA.INV(S228,'04_PSA_INPUTS'!H6,'04_PSA_INPUTS'!I6)</f>
        <v>#NAME?</v>
      </c>
      <c r="D228" s="27" t="e">
        <f ca="1">_xludf.GAMMA.INV(T228,'04_PSA_INPUTS'!H7,'04_PSA_INPUTS'!I7)</f>
        <v>#NAME?</v>
      </c>
      <c r="E228" s="27" t="e">
        <f ca="1">_xludf.GAMMA.INV(U228,'04_PSA_INPUTS'!H8,'04_PSA_INPUTS'!I8)</f>
        <v>#NAME?</v>
      </c>
      <c r="F228" s="27" t="e">
        <f ca="1">_xludf.GAMMA.INV(V228,'04_PSA_INPUTS'!H9,'04_PSA_INPUTS'!I9)</f>
        <v>#NAME?</v>
      </c>
      <c r="G228" s="23" t="e">
        <f ca="1">_xludf.BETA.INV(W228,'04_PSA_INPUTS'!H10,'04_PSA_INPUTS'!I10)</f>
        <v>#NAME?</v>
      </c>
      <c r="H228" s="23" t="e">
        <f ca="1">_xludf.BETA.INV(X228,'04_PSA_INPUTS'!H11,'04_PSA_INPUTS'!I11)</f>
        <v>#NAME?</v>
      </c>
      <c r="I228" s="27" t="e">
        <f ca="1">D228+B228*F228+'01_INPUTS'!B20</f>
        <v>#NAME?</v>
      </c>
      <c r="J228" s="27" t="e">
        <f ca="1">E228+C228*F228+'01_INPUTS'!B21</f>
        <v>#NAME?</v>
      </c>
      <c r="K228" s="27" t="e">
        <f t="shared" ca="1" si="18"/>
        <v>#NAME?</v>
      </c>
      <c r="L228" s="23" t="e">
        <f t="shared" ca="1" si="19"/>
        <v>#NAME?</v>
      </c>
      <c r="M228" s="23" t="e">
        <f t="shared" ca="1" si="20"/>
        <v>#NAME?</v>
      </c>
      <c r="N228" s="23" t="e">
        <f t="shared" ca="1" si="21"/>
        <v>#NAME?</v>
      </c>
      <c r="O228" s="27" t="e">
        <f t="shared" ca="1" si="22"/>
        <v>#NAME?</v>
      </c>
      <c r="P228" s="27" t="e">
        <f ca="1">'01_INPUTS'!B9*N228-K228</f>
        <v>#NAME?</v>
      </c>
      <c r="Q228" s="1" t="e">
        <f t="shared" ca="1" si="23"/>
        <v>#NAME?</v>
      </c>
      <c r="R228" s="28">
        <v>6.7272375337779522E-2</v>
      </c>
      <c r="S228" s="28">
        <v>0.97558460547588766</v>
      </c>
      <c r="T228" s="28">
        <v>0.23242656490765512</v>
      </c>
      <c r="U228" s="28">
        <v>0.71391420881263912</v>
      </c>
      <c r="V228" s="28">
        <v>0.80462066712789237</v>
      </c>
      <c r="W228" s="28">
        <v>0.38604038045741618</v>
      </c>
      <c r="X228" s="28">
        <v>0.90355516714043915</v>
      </c>
    </row>
    <row r="229" spans="1:24" ht="13.9">
      <c r="A229" s="1">
        <v>228</v>
      </c>
      <c r="B229" s="23" t="e">
        <f ca="1">_xludf.BETA.INV(R229,'04_PSA_INPUTS'!H5,'04_PSA_INPUTS'!I5)</f>
        <v>#NAME?</v>
      </c>
      <c r="C229" s="23" t="e">
        <f ca="1">_xludf.BETA.INV(S229,'04_PSA_INPUTS'!H6,'04_PSA_INPUTS'!I6)</f>
        <v>#NAME?</v>
      </c>
      <c r="D229" s="27" t="e">
        <f ca="1">_xludf.GAMMA.INV(T229,'04_PSA_INPUTS'!H7,'04_PSA_INPUTS'!I7)</f>
        <v>#NAME?</v>
      </c>
      <c r="E229" s="27" t="e">
        <f ca="1">_xludf.GAMMA.INV(U229,'04_PSA_INPUTS'!H8,'04_PSA_INPUTS'!I8)</f>
        <v>#NAME?</v>
      </c>
      <c r="F229" s="27" t="e">
        <f ca="1">_xludf.GAMMA.INV(V229,'04_PSA_INPUTS'!H9,'04_PSA_INPUTS'!I9)</f>
        <v>#NAME?</v>
      </c>
      <c r="G229" s="23" t="e">
        <f ca="1">_xludf.BETA.INV(W229,'04_PSA_INPUTS'!H10,'04_PSA_INPUTS'!I10)</f>
        <v>#NAME?</v>
      </c>
      <c r="H229" s="23" t="e">
        <f ca="1">_xludf.BETA.INV(X229,'04_PSA_INPUTS'!H11,'04_PSA_INPUTS'!I11)</f>
        <v>#NAME?</v>
      </c>
      <c r="I229" s="27" t="e">
        <f ca="1">D229+B229*F229+'01_INPUTS'!B20</f>
        <v>#NAME?</v>
      </c>
      <c r="J229" s="27" t="e">
        <f ca="1">E229+C229*F229+'01_INPUTS'!B21</f>
        <v>#NAME?</v>
      </c>
      <c r="K229" s="27" t="e">
        <f t="shared" ca="1" si="18"/>
        <v>#NAME?</v>
      </c>
      <c r="L229" s="23" t="e">
        <f t="shared" ca="1" si="19"/>
        <v>#NAME?</v>
      </c>
      <c r="M229" s="23" t="e">
        <f t="shared" ca="1" si="20"/>
        <v>#NAME?</v>
      </c>
      <c r="N229" s="23" t="e">
        <f t="shared" ca="1" si="21"/>
        <v>#NAME?</v>
      </c>
      <c r="O229" s="27" t="e">
        <f t="shared" ca="1" si="22"/>
        <v>#NAME?</v>
      </c>
      <c r="P229" s="27" t="e">
        <f ca="1">'01_INPUTS'!B9*N229-K229</f>
        <v>#NAME?</v>
      </c>
      <c r="Q229" s="1" t="e">
        <f t="shared" ca="1" si="23"/>
        <v>#NAME?</v>
      </c>
      <c r="R229" s="28">
        <v>0.76765390858054161</v>
      </c>
      <c r="S229" s="28">
        <v>0.89932355098426342</v>
      </c>
      <c r="T229" s="28">
        <v>0.67566145095042884</v>
      </c>
      <c r="U229" s="28">
        <v>0.17342777643352747</v>
      </c>
      <c r="V229" s="28">
        <v>0.79188774526119232</v>
      </c>
      <c r="W229" s="28">
        <v>0.86998509336262941</v>
      </c>
      <c r="X229" s="28">
        <v>0.51593757118098438</v>
      </c>
    </row>
    <row r="230" spans="1:24" ht="13.9">
      <c r="A230" s="1">
        <v>229</v>
      </c>
      <c r="B230" s="23" t="e">
        <f ca="1">_xludf.BETA.INV(R230,'04_PSA_INPUTS'!H5,'04_PSA_INPUTS'!I5)</f>
        <v>#NAME?</v>
      </c>
      <c r="C230" s="23" t="e">
        <f ca="1">_xludf.BETA.INV(S230,'04_PSA_INPUTS'!H6,'04_PSA_INPUTS'!I6)</f>
        <v>#NAME?</v>
      </c>
      <c r="D230" s="27" t="e">
        <f ca="1">_xludf.GAMMA.INV(T230,'04_PSA_INPUTS'!H7,'04_PSA_INPUTS'!I7)</f>
        <v>#NAME?</v>
      </c>
      <c r="E230" s="27" t="e">
        <f ca="1">_xludf.GAMMA.INV(U230,'04_PSA_INPUTS'!H8,'04_PSA_INPUTS'!I8)</f>
        <v>#NAME?</v>
      </c>
      <c r="F230" s="27" t="e">
        <f ca="1">_xludf.GAMMA.INV(V230,'04_PSA_INPUTS'!H9,'04_PSA_INPUTS'!I9)</f>
        <v>#NAME?</v>
      </c>
      <c r="G230" s="23" t="e">
        <f ca="1">_xludf.BETA.INV(W230,'04_PSA_INPUTS'!H10,'04_PSA_INPUTS'!I10)</f>
        <v>#NAME?</v>
      </c>
      <c r="H230" s="23" t="e">
        <f ca="1">_xludf.BETA.INV(X230,'04_PSA_INPUTS'!H11,'04_PSA_INPUTS'!I11)</f>
        <v>#NAME?</v>
      </c>
      <c r="I230" s="27" t="e">
        <f ca="1">D230+B230*F230+'01_INPUTS'!B20</f>
        <v>#NAME?</v>
      </c>
      <c r="J230" s="27" t="e">
        <f ca="1">E230+C230*F230+'01_INPUTS'!B21</f>
        <v>#NAME?</v>
      </c>
      <c r="K230" s="27" t="e">
        <f t="shared" ca="1" si="18"/>
        <v>#NAME?</v>
      </c>
      <c r="L230" s="23" t="e">
        <f t="shared" ca="1" si="19"/>
        <v>#NAME?</v>
      </c>
      <c r="M230" s="23" t="e">
        <f t="shared" ca="1" si="20"/>
        <v>#NAME?</v>
      </c>
      <c r="N230" s="23" t="e">
        <f t="shared" ca="1" si="21"/>
        <v>#NAME?</v>
      </c>
      <c r="O230" s="27" t="e">
        <f t="shared" ca="1" si="22"/>
        <v>#NAME?</v>
      </c>
      <c r="P230" s="27" t="e">
        <f ca="1">'01_INPUTS'!B9*N230-K230</f>
        <v>#NAME?</v>
      </c>
      <c r="Q230" s="1" t="e">
        <f t="shared" ca="1" si="23"/>
        <v>#NAME?</v>
      </c>
      <c r="R230" s="28">
        <v>0.34638144331984222</v>
      </c>
      <c r="S230" s="28">
        <v>0.25783497677184641</v>
      </c>
      <c r="T230" s="28">
        <v>7.7759234234690666E-2</v>
      </c>
      <c r="U230" s="28">
        <v>0.98531248443759978</v>
      </c>
      <c r="V230" s="28">
        <v>0.1558982627466321</v>
      </c>
      <c r="W230" s="28">
        <v>0.24381867982447147</v>
      </c>
      <c r="X230" s="28">
        <v>0.17087453859858215</v>
      </c>
    </row>
    <row r="231" spans="1:24" ht="13.9">
      <c r="A231" s="1">
        <v>230</v>
      </c>
      <c r="B231" s="23" t="e">
        <f ca="1">_xludf.BETA.INV(R231,'04_PSA_INPUTS'!H5,'04_PSA_INPUTS'!I5)</f>
        <v>#NAME?</v>
      </c>
      <c r="C231" s="23" t="e">
        <f ca="1">_xludf.BETA.INV(S231,'04_PSA_INPUTS'!H6,'04_PSA_INPUTS'!I6)</f>
        <v>#NAME?</v>
      </c>
      <c r="D231" s="27" t="e">
        <f ca="1">_xludf.GAMMA.INV(T231,'04_PSA_INPUTS'!H7,'04_PSA_INPUTS'!I7)</f>
        <v>#NAME?</v>
      </c>
      <c r="E231" s="27" t="e">
        <f ca="1">_xludf.GAMMA.INV(U231,'04_PSA_INPUTS'!H8,'04_PSA_INPUTS'!I8)</f>
        <v>#NAME?</v>
      </c>
      <c r="F231" s="27" t="e">
        <f ca="1">_xludf.GAMMA.INV(V231,'04_PSA_INPUTS'!H9,'04_PSA_INPUTS'!I9)</f>
        <v>#NAME?</v>
      </c>
      <c r="G231" s="23" t="e">
        <f ca="1">_xludf.BETA.INV(W231,'04_PSA_INPUTS'!H10,'04_PSA_INPUTS'!I10)</f>
        <v>#NAME?</v>
      </c>
      <c r="H231" s="23" t="e">
        <f ca="1">_xludf.BETA.INV(X231,'04_PSA_INPUTS'!H11,'04_PSA_INPUTS'!I11)</f>
        <v>#NAME?</v>
      </c>
      <c r="I231" s="27" t="e">
        <f ca="1">D231+B231*F231+'01_INPUTS'!B20</f>
        <v>#NAME?</v>
      </c>
      <c r="J231" s="27" t="e">
        <f ca="1">E231+C231*F231+'01_INPUTS'!B21</f>
        <v>#NAME?</v>
      </c>
      <c r="K231" s="27" t="e">
        <f t="shared" ca="1" si="18"/>
        <v>#NAME?</v>
      </c>
      <c r="L231" s="23" t="e">
        <f t="shared" ca="1" si="19"/>
        <v>#NAME?</v>
      </c>
      <c r="M231" s="23" t="e">
        <f t="shared" ca="1" si="20"/>
        <v>#NAME?</v>
      </c>
      <c r="N231" s="23" t="e">
        <f t="shared" ca="1" si="21"/>
        <v>#NAME?</v>
      </c>
      <c r="O231" s="27" t="e">
        <f t="shared" ca="1" si="22"/>
        <v>#NAME?</v>
      </c>
      <c r="P231" s="27" t="e">
        <f ca="1">'01_INPUTS'!B9*N231-K231</f>
        <v>#NAME?</v>
      </c>
      <c r="Q231" s="1" t="e">
        <f t="shared" ca="1" si="23"/>
        <v>#NAME?</v>
      </c>
      <c r="R231" s="28">
        <v>0.93785010976716876</v>
      </c>
      <c r="S231" s="28">
        <v>0.77976377354934812</v>
      </c>
      <c r="T231" s="28">
        <v>0.27327605872415006</v>
      </c>
      <c r="U231" s="28">
        <v>0.74291141796857119</v>
      </c>
      <c r="V231" s="28">
        <v>0.34263262571766973</v>
      </c>
      <c r="W231" s="28">
        <v>0.39402486640028656</v>
      </c>
      <c r="X231" s="28">
        <v>0.15163994627073407</v>
      </c>
    </row>
    <row r="232" spans="1:24" ht="13.9">
      <c r="A232" s="1">
        <v>231</v>
      </c>
      <c r="B232" s="23" t="e">
        <f ca="1">_xludf.BETA.INV(R232,'04_PSA_INPUTS'!H5,'04_PSA_INPUTS'!I5)</f>
        <v>#NAME?</v>
      </c>
      <c r="C232" s="23" t="e">
        <f ca="1">_xludf.BETA.INV(S232,'04_PSA_INPUTS'!H6,'04_PSA_INPUTS'!I6)</f>
        <v>#NAME?</v>
      </c>
      <c r="D232" s="27" t="e">
        <f ca="1">_xludf.GAMMA.INV(T232,'04_PSA_INPUTS'!H7,'04_PSA_INPUTS'!I7)</f>
        <v>#NAME?</v>
      </c>
      <c r="E232" s="27" t="e">
        <f ca="1">_xludf.GAMMA.INV(U232,'04_PSA_INPUTS'!H8,'04_PSA_INPUTS'!I8)</f>
        <v>#NAME?</v>
      </c>
      <c r="F232" s="27" t="e">
        <f ca="1">_xludf.GAMMA.INV(V232,'04_PSA_INPUTS'!H9,'04_PSA_INPUTS'!I9)</f>
        <v>#NAME?</v>
      </c>
      <c r="G232" s="23" t="e">
        <f ca="1">_xludf.BETA.INV(W232,'04_PSA_INPUTS'!H10,'04_PSA_INPUTS'!I10)</f>
        <v>#NAME?</v>
      </c>
      <c r="H232" s="23" t="e">
        <f ca="1">_xludf.BETA.INV(X232,'04_PSA_INPUTS'!H11,'04_PSA_INPUTS'!I11)</f>
        <v>#NAME?</v>
      </c>
      <c r="I232" s="27" t="e">
        <f ca="1">D232+B232*F232+'01_INPUTS'!B20</f>
        <v>#NAME?</v>
      </c>
      <c r="J232" s="27" t="e">
        <f ca="1">E232+C232*F232+'01_INPUTS'!B21</f>
        <v>#NAME?</v>
      </c>
      <c r="K232" s="27" t="e">
        <f t="shared" ca="1" si="18"/>
        <v>#NAME?</v>
      </c>
      <c r="L232" s="23" t="e">
        <f t="shared" ca="1" si="19"/>
        <v>#NAME?</v>
      </c>
      <c r="M232" s="23" t="e">
        <f t="shared" ca="1" si="20"/>
        <v>#NAME?</v>
      </c>
      <c r="N232" s="23" t="e">
        <f t="shared" ca="1" si="21"/>
        <v>#NAME?</v>
      </c>
      <c r="O232" s="27" t="e">
        <f t="shared" ca="1" si="22"/>
        <v>#NAME?</v>
      </c>
      <c r="P232" s="27" t="e">
        <f ca="1">'01_INPUTS'!B9*N232-K232</f>
        <v>#NAME?</v>
      </c>
      <c r="Q232" s="1" t="e">
        <f t="shared" ca="1" si="23"/>
        <v>#NAME?</v>
      </c>
      <c r="R232" s="28">
        <v>0.15402522054500878</v>
      </c>
      <c r="S232" s="28">
        <v>0.21720818663015962</v>
      </c>
      <c r="T232" s="28">
        <v>0.63299130718223751</v>
      </c>
      <c r="U232" s="28">
        <v>0.3859869681764394</v>
      </c>
      <c r="V232" s="28">
        <v>0.18946047010831535</v>
      </c>
      <c r="W232" s="28">
        <v>0.33237432921305299</v>
      </c>
      <c r="X232" s="28">
        <v>0.71875593136064708</v>
      </c>
    </row>
    <row r="233" spans="1:24" ht="13.9">
      <c r="A233" s="1">
        <v>232</v>
      </c>
      <c r="B233" s="23" t="e">
        <f ca="1">_xludf.BETA.INV(R233,'04_PSA_INPUTS'!H5,'04_PSA_INPUTS'!I5)</f>
        <v>#NAME?</v>
      </c>
      <c r="C233" s="23" t="e">
        <f ca="1">_xludf.BETA.INV(S233,'04_PSA_INPUTS'!H6,'04_PSA_INPUTS'!I6)</f>
        <v>#NAME?</v>
      </c>
      <c r="D233" s="27" t="e">
        <f ca="1">_xludf.GAMMA.INV(T233,'04_PSA_INPUTS'!H7,'04_PSA_INPUTS'!I7)</f>
        <v>#NAME?</v>
      </c>
      <c r="E233" s="27" t="e">
        <f ca="1">_xludf.GAMMA.INV(U233,'04_PSA_INPUTS'!H8,'04_PSA_INPUTS'!I8)</f>
        <v>#NAME?</v>
      </c>
      <c r="F233" s="27" t="e">
        <f ca="1">_xludf.GAMMA.INV(V233,'04_PSA_INPUTS'!H9,'04_PSA_INPUTS'!I9)</f>
        <v>#NAME?</v>
      </c>
      <c r="G233" s="23" t="e">
        <f ca="1">_xludf.BETA.INV(W233,'04_PSA_INPUTS'!H10,'04_PSA_INPUTS'!I10)</f>
        <v>#NAME?</v>
      </c>
      <c r="H233" s="23" t="e">
        <f ca="1">_xludf.BETA.INV(X233,'04_PSA_INPUTS'!H11,'04_PSA_INPUTS'!I11)</f>
        <v>#NAME?</v>
      </c>
      <c r="I233" s="27" t="e">
        <f ca="1">D233+B233*F233+'01_INPUTS'!B20</f>
        <v>#NAME?</v>
      </c>
      <c r="J233" s="27" t="e">
        <f ca="1">E233+C233*F233+'01_INPUTS'!B21</f>
        <v>#NAME?</v>
      </c>
      <c r="K233" s="27" t="e">
        <f t="shared" ca="1" si="18"/>
        <v>#NAME?</v>
      </c>
      <c r="L233" s="23" t="e">
        <f t="shared" ca="1" si="19"/>
        <v>#NAME?</v>
      </c>
      <c r="M233" s="23" t="e">
        <f t="shared" ca="1" si="20"/>
        <v>#NAME?</v>
      </c>
      <c r="N233" s="23" t="e">
        <f t="shared" ca="1" si="21"/>
        <v>#NAME?</v>
      </c>
      <c r="O233" s="27" t="e">
        <f t="shared" ca="1" si="22"/>
        <v>#NAME?</v>
      </c>
      <c r="P233" s="27" t="e">
        <f ca="1">'01_INPUTS'!B9*N233-K233</f>
        <v>#NAME?</v>
      </c>
      <c r="Q233" s="1" t="e">
        <f t="shared" ca="1" si="23"/>
        <v>#NAME?</v>
      </c>
      <c r="R233" s="28">
        <v>0.31293528364039958</v>
      </c>
      <c r="S233" s="28">
        <v>0.104667151812464</v>
      </c>
      <c r="T233" s="28">
        <v>0.78159155859611928</v>
      </c>
      <c r="U233" s="28">
        <v>0.44599970569834113</v>
      </c>
      <c r="V233" s="28">
        <v>0.90009189862757921</v>
      </c>
      <c r="W233" s="28">
        <v>0.22739087510854006</v>
      </c>
      <c r="X233" s="28">
        <v>0.2068441235460341</v>
      </c>
    </row>
    <row r="234" spans="1:24" ht="13.9">
      <c r="A234" s="1">
        <v>233</v>
      </c>
      <c r="B234" s="23" t="e">
        <f ca="1">_xludf.BETA.INV(R234,'04_PSA_INPUTS'!H5,'04_PSA_INPUTS'!I5)</f>
        <v>#NAME?</v>
      </c>
      <c r="C234" s="23" t="e">
        <f ca="1">_xludf.BETA.INV(S234,'04_PSA_INPUTS'!H6,'04_PSA_INPUTS'!I6)</f>
        <v>#NAME?</v>
      </c>
      <c r="D234" s="27" t="e">
        <f ca="1">_xludf.GAMMA.INV(T234,'04_PSA_INPUTS'!H7,'04_PSA_INPUTS'!I7)</f>
        <v>#NAME?</v>
      </c>
      <c r="E234" s="27" t="e">
        <f ca="1">_xludf.GAMMA.INV(U234,'04_PSA_INPUTS'!H8,'04_PSA_INPUTS'!I8)</f>
        <v>#NAME?</v>
      </c>
      <c r="F234" s="27" t="e">
        <f ca="1">_xludf.GAMMA.INV(V234,'04_PSA_INPUTS'!H9,'04_PSA_INPUTS'!I9)</f>
        <v>#NAME?</v>
      </c>
      <c r="G234" s="23" t="e">
        <f ca="1">_xludf.BETA.INV(W234,'04_PSA_INPUTS'!H10,'04_PSA_INPUTS'!I10)</f>
        <v>#NAME?</v>
      </c>
      <c r="H234" s="23" t="e">
        <f ca="1">_xludf.BETA.INV(X234,'04_PSA_INPUTS'!H11,'04_PSA_INPUTS'!I11)</f>
        <v>#NAME?</v>
      </c>
      <c r="I234" s="27" t="e">
        <f ca="1">D234+B234*F234+'01_INPUTS'!B20</f>
        <v>#NAME?</v>
      </c>
      <c r="J234" s="27" t="e">
        <f ca="1">E234+C234*F234+'01_INPUTS'!B21</f>
        <v>#NAME?</v>
      </c>
      <c r="K234" s="27" t="e">
        <f t="shared" ca="1" si="18"/>
        <v>#NAME?</v>
      </c>
      <c r="L234" s="23" t="e">
        <f t="shared" ca="1" si="19"/>
        <v>#NAME?</v>
      </c>
      <c r="M234" s="23" t="e">
        <f t="shared" ca="1" si="20"/>
        <v>#NAME?</v>
      </c>
      <c r="N234" s="23" t="e">
        <f t="shared" ca="1" si="21"/>
        <v>#NAME?</v>
      </c>
      <c r="O234" s="27" t="e">
        <f t="shared" ca="1" si="22"/>
        <v>#NAME?</v>
      </c>
      <c r="P234" s="27" t="e">
        <f ca="1">'01_INPUTS'!B9*N234-K234</f>
        <v>#NAME?</v>
      </c>
      <c r="Q234" s="1" t="e">
        <f t="shared" ca="1" si="23"/>
        <v>#NAME?</v>
      </c>
      <c r="R234" s="28">
        <v>0.97714939038269222</v>
      </c>
      <c r="S234" s="28">
        <v>0.17352190264500678</v>
      </c>
      <c r="T234" s="28">
        <v>9.67316257301718E-2</v>
      </c>
      <c r="U234" s="28">
        <v>0.98147602379322052</v>
      </c>
      <c r="V234" s="28">
        <v>0.3415926459711045</v>
      </c>
      <c r="W234" s="28">
        <v>0.44716241583228111</v>
      </c>
      <c r="X234" s="28">
        <v>0.28635111171752214</v>
      </c>
    </row>
    <row r="235" spans="1:24" ht="13.9">
      <c r="A235" s="1">
        <v>234</v>
      </c>
      <c r="B235" s="23" t="e">
        <f ca="1">_xludf.BETA.INV(R235,'04_PSA_INPUTS'!H5,'04_PSA_INPUTS'!I5)</f>
        <v>#NAME?</v>
      </c>
      <c r="C235" s="23" t="e">
        <f ca="1">_xludf.BETA.INV(S235,'04_PSA_INPUTS'!H6,'04_PSA_INPUTS'!I6)</f>
        <v>#NAME?</v>
      </c>
      <c r="D235" s="27" t="e">
        <f ca="1">_xludf.GAMMA.INV(T235,'04_PSA_INPUTS'!H7,'04_PSA_INPUTS'!I7)</f>
        <v>#NAME?</v>
      </c>
      <c r="E235" s="27" t="e">
        <f ca="1">_xludf.GAMMA.INV(U235,'04_PSA_INPUTS'!H8,'04_PSA_INPUTS'!I8)</f>
        <v>#NAME?</v>
      </c>
      <c r="F235" s="27" t="e">
        <f ca="1">_xludf.GAMMA.INV(V235,'04_PSA_INPUTS'!H9,'04_PSA_INPUTS'!I9)</f>
        <v>#NAME?</v>
      </c>
      <c r="G235" s="23" t="e">
        <f ca="1">_xludf.BETA.INV(W235,'04_PSA_INPUTS'!H10,'04_PSA_INPUTS'!I10)</f>
        <v>#NAME?</v>
      </c>
      <c r="H235" s="23" t="e">
        <f ca="1">_xludf.BETA.INV(X235,'04_PSA_INPUTS'!H11,'04_PSA_INPUTS'!I11)</f>
        <v>#NAME?</v>
      </c>
      <c r="I235" s="27" t="e">
        <f ca="1">D235+B235*F235+'01_INPUTS'!B20</f>
        <v>#NAME?</v>
      </c>
      <c r="J235" s="27" t="e">
        <f ca="1">E235+C235*F235+'01_INPUTS'!B21</f>
        <v>#NAME?</v>
      </c>
      <c r="K235" s="27" t="e">
        <f t="shared" ca="1" si="18"/>
        <v>#NAME?</v>
      </c>
      <c r="L235" s="23" t="e">
        <f t="shared" ca="1" si="19"/>
        <v>#NAME?</v>
      </c>
      <c r="M235" s="23" t="e">
        <f t="shared" ca="1" si="20"/>
        <v>#NAME?</v>
      </c>
      <c r="N235" s="23" t="e">
        <f t="shared" ca="1" si="21"/>
        <v>#NAME?</v>
      </c>
      <c r="O235" s="27" t="e">
        <f t="shared" ca="1" si="22"/>
        <v>#NAME?</v>
      </c>
      <c r="P235" s="27" t="e">
        <f ca="1">'01_INPUTS'!B9*N235-K235</f>
        <v>#NAME?</v>
      </c>
      <c r="Q235" s="1" t="e">
        <f t="shared" ca="1" si="23"/>
        <v>#NAME?</v>
      </c>
      <c r="R235" s="28">
        <v>0.63779648602940142</v>
      </c>
      <c r="S235" s="28">
        <v>0.74242175556719303</v>
      </c>
      <c r="T235" s="28">
        <v>0.20675997505895793</v>
      </c>
      <c r="U235" s="28">
        <v>0.80342059256508946</v>
      </c>
      <c r="V235" s="28">
        <v>1.4923790004104376E-2</v>
      </c>
      <c r="W235" s="28">
        <v>0.7663608209695667</v>
      </c>
      <c r="X235" s="28">
        <v>0.80319153936579823</v>
      </c>
    </row>
    <row r="236" spans="1:24" ht="13.9">
      <c r="A236" s="1">
        <v>235</v>
      </c>
      <c r="B236" s="23" t="e">
        <f ca="1">_xludf.BETA.INV(R236,'04_PSA_INPUTS'!H5,'04_PSA_INPUTS'!I5)</f>
        <v>#NAME?</v>
      </c>
      <c r="C236" s="23" t="e">
        <f ca="1">_xludf.BETA.INV(S236,'04_PSA_INPUTS'!H6,'04_PSA_INPUTS'!I6)</f>
        <v>#NAME?</v>
      </c>
      <c r="D236" s="27" t="e">
        <f ca="1">_xludf.GAMMA.INV(T236,'04_PSA_INPUTS'!H7,'04_PSA_INPUTS'!I7)</f>
        <v>#NAME?</v>
      </c>
      <c r="E236" s="27" t="e">
        <f ca="1">_xludf.GAMMA.INV(U236,'04_PSA_INPUTS'!H8,'04_PSA_INPUTS'!I8)</f>
        <v>#NAME?</v>
      </c>
      <c r="F236" s="27" t="e">
        <f ca="1">_xludf.GAMMA.INV(V236,'04_PSA_INPUTS'!H9,'04_PSA_INPUTS'!I9)</f>
        <v>#NAME?</v>
      </c>
      <c r="G236" s="23" t="e">
        <f ca="1">_xludf.BETA.INV(W236,'04_PSA_INPUTS'!H10,'04_PSA_INPUTS'!I10)</f>
        <v>#NAME?</v>
      </c>
      <c r="H236" s="23" t="e">
        <f ca="1">_xludf.BETA.INV(X236,'04_PSA_INPUTS'!H11,'04_PSA_INPUTS'!I11)</f>
        <v>#NAME?</v>
      </c>
      <c r="I236" s="27" t="e">
        <f ca="1">D236+B236*F236+'01_INPUTS'!B20</f>
        <v>#NAME?</v>
      </c>
      <c r="J236" s="27" t="e">
        <f ca="1">E236+C236*F236+'01_INPUTS'!B21</f>
        <v>#NAME?</v>
      </c>
      <c r="K236" s="27" t="e">
        <f t="shared" ca="1" si="18"/>
        <v>#NAME?</v>
      </c>
      <c r="L236" s="23" t="e">
        <f t="shared" ca="1" si="19"/>
        <v>#NAME?</v>
      </c>
      <c r="M236" s="23" t="e">
        <f t="shared" ca="1" si="20"/>
        <v>#NAME?</v>
      </c>
      <c r="N236" s="23" t="e">
        <f t="shared" ca="1" si="21"/>
        <v>#NAME?</v>
      </c>
      <c r="O236" s="27" t="e">
        <f t="shared" ca="1" si="22"/>
        <v>#NAME?</v>
      </c>
      <c r="P236" s="27" t="e">
        <f ca="1">'01_INPUTS'!B9*N236-K236</f>
        <v>#NAME?</v>
      </c>
      <c r="Q236" s="1" t="e">
        <f t="shared" ca="1" si="23"/>
        <v>#NAME?</v>
      </c>
      <c r="R236" s="28">
        <v>0.26996103418059647</v>
      </c>
      <c r="S236" s="28">
        <v>0.57884231372736394</v>
      </c>
      <c r="T236" s="28">
        <v>0.86798755801282823</v>
      </c>
      <c r="U236" s="28">
        <v>5.5432124529033899E-2</v>
      </c>
      <c r="V236" s="28">
        <v>0.24666511151008308</v>
      </c>
      <c r="W236" s="28">
        <v>0.7492339825257659</v>
      </c>
      <c r="X236" s="28">
        <v>0.3517202150542289</v>
      </c>
    </row>
    <row r="237" spans="1:24" ht="13.9">
      <c r="A237" s="1">
        <v>236</v>
      </c>
      <c r="B237" s="23" t="e">
        <f ca="1">_xludf.BETA.INV(R237,'04_PSA_INPUTS'!H5,'04_PSA_INPUTS'!I5)</f>
        <v>#NAME?</v>
      </c>
      <c r="C237" s="23" t="e">
        <f ca="1">_xludf.BETA.INV(S237,'04_PSA_INPUTS'!H6,'04_PSA_INPUTS'!I6)</f>
        <v>#NAME?</v>
      </c>
      <c r="D237" s="27" t="e">
        <f ca="1">_xludf.GAMMA.INV(T237,'04_PSA_INPUTS'!H7,'04_PSA_INPUTS'!I7)</f>
        <v>#NAME?</v>
      </c>
      <c r="E237" s="27" t="e">
        <f ca="1">_xludf.GAMMA.INV(U237,'04_PSA_INPUTS'!H8,'04_PSA_INPUTS'!I8)</f>
        <v>#NAME?</v>
      </c>
      <c r="F237" s="27" t="e">
        <f ca="1">_xludf.GAMMA.INV(V237,'04_PSA_INPUTS'!H9,'04_PSA_INPUTS'!I9)</f>
        <v>#NAME?</v>
      </c>
      <c r="G237" s="23" t="e">
        <f ca="1">_xludf.BETA.INV(W237,'04_PSA_INPUTS'!H10,'04_PSA_INPUTS'!I10)</f>
        <v>#NAME?</v>
      </c>
      <c r="H237" s="23" t="e">
        <f ca="1">_xludf.BETA.INV(X237,'04_PSA_INPUTS'!H11,'04_PSA_INPUTS'!I11)</f>
        <v>#NAME?</v>
      </c>
      <c r="I237" s="27" t="e">
        <f ca="1">D237+B237*F237+'01_INPUTS'!B20</f>
        <v>#NAME?</v>
      </c>
      <c r="J237" s="27" t="e">
        <f ca="1">E237+C237*F237+'01_INPUTS'!B21</f>
        <v>#NAME?</v>
      </c>
      <c r="K237" s="27" t="e">
        <f t="shared" ca="1" si="18"/>
        <v>#NAME?</v>
      </c>
      <c r="L237" s="23" t="e">
        <f t="shared" ca="1" si="19"/>
        <v>#NAME?</v>
      </c>
      <c r="M237" s="23" t="e">
        <f t="shared" ca="1" si="20"/>
        <v>#NAME?</v>
      </c>
      <c r="N237" s="23" t="e">
        <f t="shared" ca="1" si="21"/>
        <v>#NAME?</v>
      </c>
      <c r="O237" s="27" t="e">
        <f t="shared" ca="1" si="22"/>
        <v>#NAME?</v>
      </c>
      <c r="P237" s="27" t="e">
        <f ca="1">'01_INPUTS'!B9*N237-K237</f>
        <v>#NAME?</v>
      </c>
      <c r="Q237" s="1" t="e">
        <f t="shared" ca="1" si="23"/>
        <v>#NAME?</v>
      </c>
      <c r="R237" s="28">
        <v>9.1897549573332071E-3</v>
      </c>
      <c r="S237" s="28">
        <v>7.2953790193423629E-2</v>
      </c>
      <c r="T237" s="28">
        <v>5.7004252448678017E-4</v>
      </c>
      <c r="U237" s="28">
        <v>0.85210097464732826</v>
      </c>
      <c r="V237" s="28">
        <v>0.50286056194454432</v>
      </c>
      <c r="W237" s="28">
        <v>0.73020230955444276</v>
      </c>
      <c r="X237" s="28">
        <v>0.27664743480272591</v>
      </c>
    </row>
    <row r="238" spans="1:24" ht="13.9">
      <c r="A238" s="1">
        <v>237</v>
      </c>
      <c r="B238" s="23" t="e">
        <f ca="1">_xludf.BETA.INV(R238,'04_PSA_INPUTS'!H5,'04_PSA_INPUTS'!I5)</f>
        <v>#NAME?</v>
      </c>
      <c r="C238" s="23" t="e">
        <f ca="1">_xludf.BETA.INV(S238,'04_PSA_INPUTS'!H6,'04_PSA_INPUTS'!I6)</f>
        <v>#NAME?</v>
      </c>
      <c r="D238" s="27" t="e">
        <f ca="1">_xludf.GAMMA.INV(T238,'04_PSA_INPUTS'!H7,'04_PSA_INPUTS'!I7)</f>
        <v>#NAME?</v>
      </c>
      <c r="E238" s="27" t="e">
        <f ca="1">_xludf.GAMMA.INV(U238,'04_PSA_INPUTS'!H8,'04_PSA_INPUTS'!I8)</f>
        <v>#NAME?</v>
      </c>
      <c r="F238" s="27" t="e">
        <f ca="1">_xludf.GAMMA.INV(V238,'04_PSA_INPUTS'!H9,'04_PSA_INPUTS'!I9)</f>
        <v>#NAME?</v>
      </c>
      <c r="G238" s="23" t="e">
        <f ca="1">_xludf.BETA.INV(W238,'04_PSA_INPUTS'!H10,'04_PSA_INPUTS'!I10)</f>
        <v>#NAME?</v>
      </c>
      <c r="H238" s="23" t="e">
        <f ca="1">_xludf.BETA.INV(X238,'04_PSA_INPUTS'!H11,'04_PSA_INPUTS'!I11)</f>
        <v>#NAME?</v>
      </c>
      <c r="I238" s="27" t="e">
        <f ca="1">D238+B238*F238+'01_INPUTS'!B20</f>
        <v>#NAME?</v>
      </c>
      <c r="J238" s="27" t="e">
        <f ca="1">E238+C238*F238+'01_INPUTS'!B21</f>
        <v>#NAME?</v>
      </c>
      <c r="K238" s="27" t="e">
        <f t="shared" ca="1" si="18"/>
        <v>#NAME?</v>
      </c>
      <c r="L238" s="23" t="e">
        <f t="shared" ca="1" si="19"/>
        <v>#NAME?</v>
      </c>
      <c r="M238" s="23" t="e">
        <f t="shared" ca="1" si="20"/>
        <v>#NAME?</v>
      </c>
      <c r="N238" s="23" t="e">
        <f t="shared" ca="1" si="21"/>
        <v>#NAME?</v>
      </c>
      <c r="O238" s="27" t="e">
        <f t="shared" ca="1" si="22"/>
        <v>#NAME?</v>
      </c>
      <c r="P238" s="27" t="e">
        <f ca="1">'01_INPUTS'!B9*N238-K238</f>
        <v>#NAME?</v>
      </c>
      <c r="Q238" s="1" t="e">
        <f t="shared" ca="1" si="23"/>
        <v>#NAME?</v>
      </c>
      <c r="R238" s="28">
        <v>0.27001974103040993</v>
      </c>
      <c r="S238" s="28">
        <v>0.33829802717082202</v>
      </c>
      <c r="T238" s="28">
        <v>0.8354545864276588</v>
      </c>
      <c r="U238" s="28">
        <v>0.91407095571048558</v>
      </c>
      <c r="V238" s="28">
        <v>0.95476543856784701</v>
      </c>
      <c r="W238" s="28">
        <v>0.45234975661151111</v>
      </c>
      <c r="X238" s="28">
        <v>0.38779938756488264</v>
      </c>
    </row>
    <row r="239" spans="1:24" ht="13.9">
      <c r="A239" s="1">
        <v>238</v>
      </c>
      <c r="B239" s="23" t="e">
        <f ca="1">_xludf.BETA.INV(R239,'04_PSA_INPUTS'!H5,'04_PSA_INPUTS'!I5)</f>
        <v>#NAME?</v>
      </c>
      <c r="C239" s="23" t="e">
        <f ca="1">_xludf.BETA.INV(S239,'04_PSA_INPUTS'!H6,'04_PSA_INPUTS'!I6)</f>
        <v>#NAME?</v>
      </c>
      <c r="D239" s="27" t="e">
        <f ca="1">_xludf.GAMMA.INV(T239,'04_PSA_INPUTS'!H7,'04_PSA_INPUTS'!I7)</f>
        <v>#NAME?</v>
      </c>
      <c r="E239" s="27" t="e">
        <f ca="1">_xludf.GAMMA.INV(U239,'04_PSA_INPUTS'!H8,'04_PSA_INPUTS'!I8)</f>
        <v>#NAME?</v>
      </c>
      <c r="F239" s="27" t="e">
        <f ca="1">_xludf.GAMMA.INV(V239,'04_PSA_INPUTS'!H9,'04_PSA_INPUTS'!I9)</f>
        <v>#NAME?</v>
      </c>
      <c r="G239" s="23" t="e">
        <f ca="1">_xludf.BETA.INV(W239,'04_PSA_INPUTS'!H10,'04_PSA_INPUTS'!I10)</f>
        <v>#NAME?</v>
      </c>
      <c r="H239" s="23" t="e">
        <f ca="1">_xludf.BETA.INV(X239,'04_PSA_INPUTS'!H11,'04_PSA_INPUTS'!I11)</f>
        <v>#NAME?</v>
      </c>
      <c r="I239" s="27" t="e">
        <f ca="1">D239+B239*F239+'01_INPUTS'!B20</f>
        <v>#NAME?</v>
      </c>
      <c r="J239" s="27" t="e">
        <f ca="1">E239+C239*F239+'01_INPUTS'!B21</f>
        <v>#NAME?</v>
      </c>
      <c r="K239" s="27" t="e">
        <f t="shared" ca="1" si="18"/>
        <v>#NAME?</v>
      </c>
      <c r="L239" s="23" t="e">
        <f t="shared" ca="1" si="19"/>
        <v>#NAME?</v>
      </c>
      <c r="M239" s="23" t="e">
        <f t="shared" ca="1" si="20"/>
        <v>#NAME?</v>
      </c>
      <c r="N239" s="23" t="e">
        <f t="shared" ca="1" si="21"/>
        <v>#NAME?</v>
      </c>
      <c r="O239" s="27" t="e">
        <f t="shared" ca="1" si="22"/>
        <v>#NAME?</v>
      </c>
      <c r="P239" s="27" t="e">
        <f ca="1">'01_INPUTS'!B9*N239-K239</f>
        <v>#NAME?</v>
      </c>
      <c r="Q239" s="1" t="e">
        <f t="shared" ca="1" si="23"/>
        <v>#NAME?</v>
      </c>
      <c r="R239" s="28">
        <v>0.78431623126380146</v>
      </c>
      <c r="S239" s="28">
        <v>0.70959116099402308</v>
      </c>
      <c r="T239" s="28">
        <v>0.63859834801405668</v>
      </c>
      <c r="U239" s="28">
        <v>0.47288031689822674</v>
      </c>
      <c r="V239" s="28">
        <v>0.97864537872374058</v>
      </c>
      <c r="W239" s="28">
        <v>0.9902413715608418</v>
      </c>
      <c r="X239" s="28">
        <v>0.70682120718993247</v>
      </c>
    </row>
    <row r="240" spans="1:24" ht="13.9">
      <c r="A240" s="1">
        <v>239</v>
      </c>
      <c r="B240" s="23" t="e">
        <f ca="1">_xludf.BETA.INV(R240,'04_PSA_INPUTS'!H5,'04_PSA_INPUTS'!I5)</f>
        <v>#NAME?</v>
      </c>
      <c r="C240" s="23" t="e">
        <f ca="1">_xludf.BETA.INV(S240,'04_PSA_INPUTS'!H6,'04_PSA_INPUTS'!I6)</f>
        <v>#NAME?</v>
      </c>
      <c r="D240" s="27" t="e">
        <f ca="1">_xludf.GAMMA.INV(T240,'04_PSA_INPUTS'!H7,'04_PSA_INPUTS'!I7)</f>
        <v>#NAME?</v>
      </c>
      <c r="E240" s="27" t="e">
        <f ca="1">_xludf.GAMMA.INV(U240,'04_PSA_INPUTS'!H8,'04_PSA_INPUTS'!I8)</f>
        <v>#NAME?</v>
      </c>
      <c r="F240" s="27" t="e">
        <f ca="1">_xludf.GAMMA.INV(V240,'04_PSA_INPUTS'!H9,'04_PSA_INPUTS'!I9)</f>
        <v>#NAME?</v>
      </c>
      <c r="G240" s="23" t="e">
        <f ca="1">_xludf.BETA.INV(W240,'04_PSA_INPUTS'!H10,'04_PSA_INPUTS'!I10)</f>
        <v>#NAME?</v>
      </c>
      <c r="H240" s="23" t="e">
        <f ca="1">_xludf.BETA.INV(X240,'04_PSA_INPUTS'!H11,'04_PSA_INPUTS'!I11)</f>
        <v>#NAME?</v>
      </c>
      <c r="I240" s="27" t="e">
        <f ca="1">D240+B240*F240+'01_INPUTS'!B20</f>
        <v>#NAME?</v>
      </c>
      <c r="J240" s="27" t="e">
        <f ca="1">E240+C240*F240+'01_INPUTS'!B21</f>
        <v>#NAME?</v>
      </c>
      <c r="K240" s="27" t="e">
        <f t="shared" ca="1" si="18"/>
        <v>#NAME?</v>
      </c>
      <c r="L240" s="23" t="e">
        <f t="shared" ca="1" si="19"/>
        <v>#NAME?</v>
      </c>
      <c r="M240" s="23" t="e">
        <f t="shared" ca="1" si="20"/>
        <v>#NAME?</v>
      </c>
      <c r="N240" s="23" t="e">
        <f t="shared" ca="1" si="21"/>
        <v>#NAME?</v>
      </c>
      <c r="O240" s="27" t="e">
        <f t="shared" ca="1" si="22"/>
        <v>#NAME?</v>
      </c>
      <c r="P240" s="27" t="e">
        <f ca="1">'01_INPUTS'!B9*N240-K240</f>
        <v>#NAME?</v>
      </c>
      <c r="Q240" s="1" t="e">
        <f t="shared" ca="1" si="23"/>
        <v>#NAME?</v>
      </c>
      <c r="R240" s="28">
        <v>0.7823220866266638</v>
      </c>
      <c r="S240" s="28">
        <v>0.34704610705375671</v>
      </c>
      <c r="T240" s="28">
        <v>0.18247159849852324</v>
      </c>
      <c r="U240" s="28">
        <v>0.22836189088411629</v>
      </c>
      <c r="V240" s="28">
        <v>0.50617277272976935</v>
      </c>
      <c r="W240" s="28">
        <v>0.25880095851607621</v>
      </c>
      <c r="X240" s="28">
        <v>5.4485574830323458E-2</v>
      </c>
    </row>
    <row r="241" spans="1:24" ht="13.9">
      <c r="A241" s="1">
        <v>240</v>
      </c>
      <c r="B241" s="23" t="e">
        <f ca="1">_xludf.BETA.INV(R241,'04_PSA_INPUTS'!H5,'04_PSA_INPUTS'!I5)</f>
        <v>#NAME?</v>
      </c>
      <c r="C241" s="23" t="e">
        <f ca="1">_xludf.BETA.INV(S241,'04_PSA_INPUTS'!H6,'04_PSA_INPUTS'!I6)</f>
        <v>#NAME?</v>
      </c>
      <c r="D241" s="27" t="e">
        <f ca="1">_xludf.GAMMA.INV(T241,'04_PSA_INPUTS'!H7,'04_PSA_INPUTS'!I7)</f>
        <v>#NAME?</v>
      </c>
      <c r="E241" s="27" t="e">
        <f ca="1">_xludf.GAMMA.INV(U241,'04_PSA_INPUTS'!H8,'04_PSA_INPUTS'!I8)</f>
        <v>#NAME?</v>
      </c>
      <c r="F241" s="27" t="e">
        <f ca="1">_xludf.GAMMA.INV(V241,'04_PSA_INPUTS'!H9,'04_PSA_INPUTS'!I9)</f>
        <v>#NAME?</v>
      </c>
      <c r="G241" s="23" t="e">
        <f ca="1">_xludf.BETA.INV(W241,'04_PSA_INPUTS'!H10,'04_PSA_INPUTS'!I10)</f>
        <v>#NAME?</v>
      </c>
      <c r="H241" s="23" t="e">
        <f ca="1">_xludf.BETA.INV(X241,'04_PSA_INPUTS'!H11,'04_PSA_INPUTS'!I11)</f>
        <v>#NAME?</v>
      </c>
      <c r="I241" s="27" t="e">
        <f ca="1">D241+B241*F241+'01_INPUTS'!B20</f>
        <v>#NAME?</v>
      </c>
      <c r="J241" s="27" t="e">
        <f ca="1">E241+C241*F241+'01_INPUTS'!B21</f>
        <v>#NAME?</v>
      </c>
      <c r="K241" s="27" t="e">
        <f t="shared" ca="1" si="18"/>
        <v>#NAME?</v>
      </c>
      <c r="L241" s="23" t="e">
        <f t="shared" ca="1" si="19"/>
        <v>#NAME?</v>
      </c>
      <c r="M241" s="23" t="e">
        <f t="shared" ca="1" si="20"/>
        <v>#NAME?</v>
      </c>
      <c r="N241" s="23" t="e">
        <f t="shared" ca="1" si="21"/>
        <v>#NAME?</v>
      </c>
      <c r="O241" s="27" t="e">
        <f t="shared" ca="1" si="22"/>
        <v>#NAME?</v>
      </c>
      <c r="P241" s="27" t="e">
        <f ca="1">'01_INPUTS'!B9*N241-K241</f>
        <v>#NAME?</v>
      </c>
      <c r="Q241" s="1" t="e">
        <f t="shared" ca="1" si="23"/>
        <v>#NAME?</v>
      </c>
      <c r="R241" s="28">
        <v>0.45810502418316901</v>
      </c>
      <c r="S241" s="28">
        <v>0.88977770903147757</v>
      </c>
      <c r="T241" s="28">
        <v>0.55916867009364069</v>
      </c>
      <c r="U241" s="28">
        <v>0.43790570087730885</v>
      </c>
      <c r="V241" s="28">
        <v>0.57107470673508942</v>
      </c>
      <c r="W241" s="28">
        <v>0.32001354009844363</v>
      </c>
      <c r="X241" s="28">
        <v>0.65183188556693494</v>
      </c>
    </row>
    <row r="242" spans="1:24" ht="13.9">
      <c r="A242" s="1">
        <v>241</v>
      </c>
      <c r="B242" s="23" t="e">
        <f ca="1">_xludf.BETA.INV(R242,'04_PSA_INPUTS'!H5,'04_PSA_INPUTS'!I5)</f>
        <v>#NAME?</v>
      </c>
      <c r="C242" s="23" t="e">
        <f ca="1">_xludf.BETA.INV(S242,'04_PSA_INPUTS'!H6,'04_PSA_INPUTS'!I6)</f>
        <v>#NAME?</v>
      </c>
      <c r="D242" s="27" t="e">
        <f ca="1">_xludf.GAMMA.INV(T242,'04_PSA_INPUTS'!H7,'04_PSA_INPUTS'!I7)</f>
        <v>#NAME?</v>
      </c>
      <c r="E242" s="27" t="e">
        <f ca="1">_xludf.GAMMA.INV(U242,'04_PSA_INPUTS'!H8,'04_PSA_INPUTS'!I8)</f>
        <v>#NAME?</v>
      </c>
      <c r="F242" s="27" t="e">
        <f ca="1">_xludf.GAMMA.INV(V242,'04_PSA_INPUTS'!H9,'04_PSA_INPUTS'!I9)</f>
        <v>#NAME?</v>
      </c>
      <c r="G242" s="23" t="e">
        <f ca="1">_xludf.BETA.INV(W242,'04_PSA_INPUTS'!H10,'04_PSA_INPUTS'!I10)</f>
        <v>#NAME?</v>
      </c>
      <c r="H242" s="23" t="e">
        <f ca="1">_xludf.BETA.INV(X242,'04_PSA_INPUTS'!H11,'04_PSA_INPUTS'!I11)</f>
        <v>#NAME?</v>
      </c>
      <c r="I242" s="27" t="e">
        <f ca="1">D242+B242*F242+'01_INPUTS'!B20</f>
        <v>#NAME?</v>
      </c>
      <c r="J242" s="27" t="e">
        <f ca="1">E242+C242*F242+'01_INPUTS'!B21</f>
        <v>#NAME?</v>
      </c>
      <c r="K242" s="27" t="e">
        <f t="shared" ca="1" si="18"/>
        <v>#NAME?</v>
      </c>
      <c r="L242" s="23" t="e">
        <f t="shared" ca="1" si="19"/>
        <v>#NAME?</v>
      </c>
      <c r="M242" s="23" t="e">
        <f t="shared" ca="1" si="20"/>
        <v>#NAME?</v>
      </c>
      <c r="N242" s="23" t="e">
        <f t="shared" ca="1" si="21"/>
        <v>#NAME?</v>
      </c>
      <c r="O242" s="27" t="e">
        <f t="shared" ca="1" si="22"/>
        <v>#NAME?</v>
      </c>
      <c r="P242" s="27" t="e">
        <f ca="1">'01_INPUTS'!B9*N242-K242</f>
        <v>#NAME?</v>
      </c>
      <c r="Q242" s="1" t="e">
        <f t="shared" ca="1" si="23"/>
        <v>#NAME?</v>
      </c>
      <c r="R242" s="28">
        <v>0.69280772167257965</v>
      </c>
      <c r="S242" s="28">
        <v>0.13945892709307373</v>
      </c>
      <c r="T242" s="28">
        <v>0.67634668946266174</v>
      </c>
      <c r="U242" s="28">
        <v>0.44949207454919815</v>
      </c>
      <c r="V242" s="28">
        <v>0.30639199656434357</v>
      </c>
      <c r="W242" s="28">
        <v>0.28277026582509279</v>
      </c>
      <c r="X242" s="28">
        <v>7.011989108286798E-2</v>
      </c>
    </row>
    <row r="243" spans="1:24" ht="13.9">
      <c r="A243" s="1">
        <v>242</v>
      </c>
      <c r="B243" s="23" t="e">
        <f ca="1">_xludf.BETA.INV(R243,'04_PSA_INPUTS'!H5,'04_PSA_INPUTS'!I5)</f>
        <v>#NAME?</v>
      </c>
      <c r="C243" s="23" t="e">
        <f ca="1">_xludf.BETA.INV(S243,'04_PSA_INPUTS'!H6,'04_PSA_INPUTS'!I6)</f>
        <v>#NAME?</v>
      </c>
      <c r="D243" s="27" t="e">
        <f ca="1">_xludf.GAMMA.INV(T243,'04_PSA_INPUTS'!H7,'04_PSA_INPUTS'!I7)</f>
        <v>#NAME?</v>
      </c>
      <c r="E243" s="27" t="e">
        <f ca="1">_xludf.GAMMA.INV(U243,'04_PSA_INPUTS'!H8,'04_PSA_INPUTS'!I8)</f>
        <v>#NAME?</v>
      </c>
      <c r="F243" s="27" t="e">
        <f ca="1">_xludf.GAMMA.INV(V243,'04_PSA_INPUTS'!H9,'04_PSA_INPUTS'!I9)</f>
        <v>#NAME?</v>
      </c>
      <c r="G243" s="23" t="e">
        <f ca="1">_xludf.BETA.INV(W243,'04_PSA_INPUTS'!H10,'04_PSA_INPUTS'!I10)</f>
        <v>#NAME?</v>
      </c>
      <c r="H243" s="23" t="e">
        <f ca="1">_xludf.BETA.INV(X243,'04_PSA_INPUTS'!H11,'04_PSA_INPUTS'!I11)</f>
        <v>#NAME?</v>
      </c>
      <c r="I243" s="27" t="e">
        <f ca="1">D243+B243*F243+'01_INPUTS'!B20</f>
        <v>#NAME?</v>
      </c>
      <c r="J243" s="27" t="e">
        <f ca="1">E243+C243*F243+'01_INPUTS'!B21</f>
        <v>#NAME?</v>
      </c>
      <c r="K243" s="27" t="e">
        <f t="shared" ca="1" si="18"/>
        <v>#NAME?</v>
      </c>
      <c r="L243" s="23" t="e">
        <f t="shared" ca="1" si="19"/>
        <v>#NAME?</v>
      </c>
      <c r="M243" s="23" t="e">
        <f t="shared" ca="1" si="20"/>
        <v>#NAME?</v>
      </c>
      <c r="N243" s="23" t="e">
        <f t="shared" ca="1" si="21"/>
        <v>#NAME?</v>
      </c>
      <c r="O243" s="27" t="e">
        <f t="shared" ca="1" si="22"/>
        <v>#NAME?</v>
      </c>
      <c r="P243" s="27" t="e">
        <f ca="1">'01_INPUTS'!B9*N243-K243</f>
        <v>#NAME?</v>
      </c>
      <c r="Q243" s="1" t="e">
        <f t="shared" ca="1" si="23"/>
        <v>#NAME?</v>
      </c>
      <c r="R243" s="28">
        <v>0.783429522998631</v>
      </c>
      <c r="S243" s="28">
        <v>0.21299352729693055</v>
      </c>
      <c r="T243" s="28">
        <v>2.6673657819628716E-2</v>
      </c>
      <c r="U243" s="28">
        <v>0.41761026228778064</v>
      </c>
      <c r="V243" s="28">
        <v>0.73798025771975517</v>
      </c>
      <c r="W243" s="28">
        <v>0.84126014425419271</v>
      </c>
      <c r="X243" s="28">
        <v>5.3387933177873492E-2</v>
      </c>
    </row>
    <row r="244" spans="1:24" ht="13.9">
      <c r="A244" s="1">
        <v>243</v>
      </c>
      <c r="B244" s="23" t="e">
        <f ca="1">_xludf.BETA.INV(R244,'04_PSA_INPUTS'!H5,'04_PSA_INPUTS'!I5)</f>
        <v>#NAME?</v>
      </c>
      <c r="C244" s="23" t="e">
        <f ca="1">_xludf.BETA.INV(S244,'04_PSA_INPUTS'!H6,'04_PSA_INPUTS'!I6)</f>
        <v>#NAME?</v>
      </c>
      <c r="D244" s="27" t="e">
        <f ca="1">_xludf.GAMMA.INV(T244,'04_PSA_INPUTS'!H7,'04_PSA_INPUTS'!I7)</f>
        <v>#NAME?</v>
      </c>
      <c r="E244" s="27" t="e">
        <f ca="1">_xludf.GAMMA.INV(U244,'04_PSA_INPUTS'!H8,'04_PSA_INPUTS'!I8)</f>
        <v>#NAME?</v>
      </c>
      <c r="F244" s="27" t="e">
        <f ca="1">_xludf.GAMMA.INV(V244,'04_PSA_INPUTS'!H9,'04_PSA_INPUTS'!I9)</f>
        <v>#NAME?</v>
      </c>
      <c r="G244" s="23" t="e">
        <f ca="1">_xludf.BETA.INV(W244,'04_PSA_INPUTS'!H10,'04_PSA_INPUTS'!I10)</f>
        <v>#NAME?</v>
      </c>
      <c r="H244" s="23" t="e">
        <f ca="1">_xludf.BETA.INV(X244,'04_PSA_INPUTS'!H11,'04_PSA_INPUTS'!I11)</f>
        <v>#NAME?</v>
      </c>
      <c r="I244" s="27" t="e">
        <f ca="1">D244+B244*F244+'01_INPUTS'!B20</f>
        <v>#NAME?</v>
      </c>
      <c r="J244" s="27" t="e">
        <f ca="1">E244+C244*F244+'01_INPUTS'!B21</f>
        <v>#NAME?</v>
      </c>
      <c r="K244" s="27" t="e">
        <f t="shared" ca="1" si="18"/>
        <v>#NAME?</v>
      </c>
      <c r="L244" s="23" t="e">
        <f t="shared" ca="1" si="19"/>
        <v>#NAME?</v>
      </c>
      <c r="M244" s="23" t="e">
        <f t="shared" ca="1" si="20"/>
        <v>#NAME?</v>
      </c>
      <c r="N244" s="23" t="e">
        <f t="shared" ca="1" si="21"/>
        <v>#NAME?</v>
      </c>
      <c r="O244" s="27" t="e">
        <f t="shared" ca="1" si="22"/>
        <v>#NAME?</v>
      </c>
      <c r="P244" s="27" t="e">
        <f ca="1">'01_INPUTS'!B9*N244-K244</f>
        <v>#NAME?</v>
      </c>
      <c r="Q244" s="1" t="e">
        <f t="shared" ca="1" si="23"/>
        <v>#NAME?</v>
      </c>
      <c r="R244" s="28">
        <v>0.97319556097500026</v>
      </c>
      <c r="S244" s="28">
        <v>0.14617972983978689</v>
      </c>
      <c r="T244" s="28">
        <v>0.47426771535538137</v>
      </c>
      <c r="U244" s="28">
        <v>1.7255119979381561E-2</v>
      </c>
      <c r="V244" s="28">
        <v>0.33250113064423203</v>
      </c>
      <c r="W244" s="28">
        <v>0.82371899206191301</v>
      </c>
      <c r="X244" s="28">
        <v>3.6214723251760006E-2</v>
      </c>
    </row>
    <row r="245" spans="1:24" ht="13.9">
      <c r="A245" s="1">
        <v>244</v>
      </c>
      <c r="B245" s="23" t="e">
        <f ca="1">_xludf.BETA.INV(R245,'04_PSA_INPUTS'!H5,'04_PSA_INPUTS'!I5)</f>
        <v>#NAME?</v>
      </c>
      <c r="C245" s="23" t="e">
        <f ca="1">_xludf.BETA.INV(S245,'04_PSA_INPUTS'!H6,'04_PSA_INPUTS'!I6)</f>
        <v>#NAME?</v>
      </c>
      <c r="D245" s="27" t="e">
        <f ca="1">_xludf.GAMMA.INV(T245,'04_PSA_INPUTS'!H7,'04_PSA_INPUTS'!I7)</f>
        <v>#NAME?</v>
      </c>
      <c r="E245" s="27" t="e">
        <f ca="1">_xludf.GAMMA.INV(U245,'04_PSA_INPUTS'!H8,'04_PSA_INPUTS'!I8)</f>
        <v>#NAME?</v>
      </c>
      <c r="F245" s="27" t="e">
        <f ca="1">_xludf.GAMMA.INV(V245,'04_PSA_INPUTS'!H9,'04_PSA_INPUTS'!I9)</f>
        <v>#NAME?</v>
      </c>
      <c r="G245" s="23" t="e">
        <f ca="1">_xludf.BETA.INV(W245,'04_PSA_INPUTS'!H10,'04_PSA_INPUTS'!I10)</f>
        <v>#NAME?</v>
      </c>
      <c r="H245" s="23" t="e">
        <f ca="1">_xludf.BETA.INV(X245,'04_PSA_INPUTS'!H11,'04_PSA_INPUTS'!I11)</f>
        <v>#NAME?</v>
      </c>
      <c r="I245" s="27" t="e">
        <f ca="1">D245+B245*F245+'01_INPUTS'!B20</f>
        <v>#NAME?</v>
      </c>
      <c r="J245" s="27" t="e">
        <f ca="1">E245+C245*F245+'01_INPUTS'!B21</f>
        <v>#NAME?</v>
      </c>
      <c r="K245" s="27" t="e">
        <f t="shared" ca="1" si="18"/>
        <v>#NAME?</v>
      </c>
      <c r="L245" s="23" t="e">
        <f t="shared" ca="1" si="19"/>
        <v>#NAME?</v>
      </c>
      <c r="M245" s="23" t="e">
        <f t="shared" ca="1" si="20"/>
        <v>#NAME?</v>
      </c>
      <c r="N245" s="23" t="e">
        <f t="shared" ca="1" si="21"/>
        <v>#NAME?</v>
      </c>
      <c r="O245" s="27" t="e">
        <f t="shared" ca="1" si="22"/>
        <v>#NAME?</v>
      </c>
      <c r="P245" s="27" t="e">
        <f ca="1">'01_INPUTS'!B9*N245-K245</f>
        <v>#NAME?</v>
      </c>
      <c r="Q245" s="1" t="e">
        <f t="shared" ca="1" si="23"/>
        <v>#NAME?</v>
      </c>
      <c r="R245" s="28">
        <v>8.1219368148595095E-3</v>
      </c>
      <c r="S245" s="28">
        <v>0.68413798045367002</v>
      </c>
      <c r="T245" s="28">
        <v>0.92359576607123017</v>
      </c>
      <c r="U245" s="28">
        <v>6.928750709630549E-2</v>
      </c>
      <c r="V245" s="28">
        <v>5.0130736781284213E-2</v>
      </c>
      <c r="W245" s="28">
        <v>0.79710872448049486</v>
      </c>
      <c r="X245" s="28">
        <v>0.2692719146143645</v>
      </c>
    </row>
    <row r="246" spans="1:24" ht="13.9">
      <c r="A246" s="1">
        <v>245</v>
      </c>
      <c r="B246" s="23" t="e">
        <f ca="1">_xludf.BETA.INV(R246,'04_PSA_INPUTS'!H5,'04_PSA_INPUTS'!I5)</f>
        <v>#NAME?</v>
      </c>
      <c r="C246" s="23" t="e">
        <f ca="1">_xludf.BETA.INV(S246,'04_PSA_INPUTS'!H6,'04_PSA_INPUTS'!I6)</f>
        <v>#NAME?</v>
      </c>
      <c r="D246" s="27" t="e">
        <f ca="1">_xludf.GAMMA.INV(T246,'04_PSA_INPUTS'!H7,'04_PSA_INPUTS'!I7)</f>
        <v>#NAME?</v>
      </c>
      <c r="E246" s="27" t="e">
        <f ca="1">_xludf.GAMMA.INV(U246,'04_PSA_INPUTS'!H8,'04_PSA_INPUTS'!I8)</f>
        <v>#NAME?</v>
      </c>
      <c r="F246" s="27" t="e">
        <f ca="1">_xludf.GAMMA.INV(V246,'04_PSA_INPUTS'!H9,'04_PSA_INPUTS'!I9)</f>
        <v>#NAME?</v>
      </c>
      <c r="G246" s="23" t="e">
        <f ca="1">_xludf.BETA.INV(W246,'04_PSA_INPUTS'!H10,'04_PSA_INPUTS'!I10)</f>
        <v>#NAME?</v>
      </c>
      <c r="H246" s="23" t="e">
        <f ca="1">_xludf.BETA.INV(X246,'04_PSA_INPUTS'!H11,'04_PSA_INPUTS'!I11)</f>
        <v>#NAME?</v>
      </c>
      <c r="I246" s="27" t="e">
        <f ca="1">D246+B246*F246+'01_INPUTS'!B20</f>
        <v>#NAME?</v>
      </c>
      <c r="J246" s="27" t="e">
        <f ca="1">E246+C246*F246+'01_INPUTS'!B21</f>
        <v>#NAME?</v>
      </c>
      <c r="K246" s="27" t="e">
        <f t="shared" ca="1" si="18"/>
        <v>#NAME?</v>
      </c>
      <c r="L246" s="23" t="e">
        <f t="shared" ca="1" si="19"/>
        <v>#NAME?</v>
      </c>
      <c r="M246" s="23" t="e">
        <f t="shared" ca="1" si="20"/>
        <v>#NAME?</v>
      </c>
      <c r="N246" s="23" t="e">
        <f t="shared" ca="1" si="21"/>
        <v>#NAME?</v>
      </c>
      <c r="O246" s="27" t="e">
        <f t="shared" ca="1" si="22"/>
        <v>#NAME?</v>
      </c>
      <c r="P246" s="27" t="e">
        <f ca="1">'01_INPUTS'!B9*N246-K246</f>
        <v>#NAME?</v>
      </c>
      <c r="Q246" s="1" t="e">
        <f t="shared" ca="1" si="23"/>
        <v>#NAME?</v>
      </c>
      <c r="R246" s="28">
        <v>0.74786336324177682</v>
      </c>
      <c r="S246" s="28">
        <v>0.54481830424629152</v>
      </c>
      <c r="T246" s="28">
        <v>4.1816028067842126E-2</v>
      </c>
      <c r="U246" s="28">
        <v>0.47782932012341917</v>
      </c>
      <c r="V246" s="28">
        <v>0.17070965794846416</v>
      </c>
      <c r="W246" s="28">
        <v>0.59578693192452192</v>
      </c>
      <c r="X246" s="28">
        <v>0.88380955066531897</v>
      </c>
    </row>
    <row r="247" spans="1:24" ht="13.9">
      <c r="A247" s="1">
        <v>246</v>
      </c>
      <c r="B247" s="23" t="e">
        <f ca="1">_xludf.BETA.INV(R247,'04_PSA_INPUTS'!H5,'04_PSA_INPUTS'!I5)</f>
        <v>#NAME?</v>
      </c>
      <c r="C247" s="23" t="e">
        <f ca="1">_xludf.BETA.INV(S247,'04_PSA_INPUTS'!H6,'04_PSA_INPUTS'!I6)</f>
        <v>#NAME?</v>
      </c>
      <c r="D247" s="27" t="e">
        <f ca="1">_xludf.GAMMA.INV(T247,'04_PSA_INPUTS'!H7,'04_PSA_INPUTS'!I7)</f>
        <v>#NAME?</v>
      </c>
      <c r="E247" s="27" t="e">
        <f ca="1">_xludf.GAMMA.INV(U247,'04_PSA_INPUTS'!H8,'04_PSA_INPUTS'!I8)</f>
        <v>#NAME?</v>
      </c>
      <c r="F247" s="27" t="e">
        <f ca="1">_xludf.GAMMA.INV(V247,'04_PSA_INPUTS'!H9,'04_PSA_INPUTS'!I9)</f>
        <v>#NAME?</v>
      </c>
      <c r="G247" s="23" t="e">
        <f ca="1">_xludf.BETA.INV(W247,'04_PSA_INPUTS'!H10,'04_PSA_INPUTS'!I10)</f>
        <v>#NAME?</v>
      </c>
      <c r="H247" s="23" t="e">
        <f ca="1">_xludf.BETA.INV(X247,'04_PSA_INPUTS'!H11,'04_PSA_INPUTS'!I11)</f>
        <v>#NAME?</v>
      </c>
      <c r="I247" s="27" t="e">
        <f ca="1">D247+B247*F247+'01_INPUTS'!B20</f>
        <v>#NAME?</v>
      </c>
      <c r="J247" s="27" t="e">
        <f ca="1">E247+C247*F247+'01_INPUTS'!B21</f>
        <v>#NAME?</v>
      </c>
      <c r="K247" s="27" t="e">
        <f t="shared" ca="1" si="18"/>
        <v>#NAME?</v>
      </c>
      <c r="L247" s="23" t="e">
        <f t="shared" ca="1" si="19"/>
        <v>#NAME?</v>
      </c>
      <c r="M247" s="23" t="e">
        <f t="shared" ca="1" si="20"/>
        <v>#NAME?</v>
      </c>
      <c r="N247" s="23" t="e">
        <f t="shared" ca="1" si="21"/>
        <v>#NAME?</v>
      </c>
      <c r="O247" s="27" t="e">
        <f t="shared" ca="1" si="22"/>
        <v>#NAME?</v>
      </c>
      <c r="P247" s="27" t="e">
        <f ca="1">'01_INPUTS'!B9*N247-K247</f>
        <v>#NAME?</v>
      </c>
      <c r="Q247" s="1" t="e">
        <f t="shared" ca="1" si="23"/>
        <v>#NAME?</v>
      </c>
      <c r="R247" s="28">
        <v>0.22379179671406746</v>
      </c>
      <c r="S247" s="28">
        <v>9.3859344255179167E-2</v>
      </c>
      <c r="T247" s="28">
        <v>0.26885997643694282</v>
      </c>
      <c r="U247" s="28">
        <v>0.18078216607682407</v>
      </c>
      <c r="V247" s="28">
        <v>5.7890259195119143E-3</v>
      </c>
      <c r="W247" s="28">
        <v>0.40657434030435979</v>
      </c>
      <c r="X247" s="28">
        <v>0.55279162945225835</v>
      </c>
    </row>
    <row r="248" spans="1:24" ht="13.9">
      <c r="A248" s="1">
        <v>247</v>
      </c>
      <c r="B248" s="23" t="e">
        <f ca="1">_xludf.BETA.INV(R248,'04_PSA_INPUTS'!H5,'04_PSA_INPUTS'!I5)</f>
        <v>#NAME?</v>
      </c>
      <c r="C248" s="23" t="e">
        <f ca="1">_xludf.BETA.INV(S248,'04_PSA_INPUTS'!H6,'04_PSA_INPUTS'!I6)</f>
        <v>#NAME?</v>
      </c>
      <c r="D248" s="27" t="e">
        <f ca="1">_xludf.GAMMA.INV(T248,'04_PSA_INPUTS'!H7,'04_PSA_INPUTS'!I7)</f>
        <v>#NAME?</v>
      </c>
      <c r="E248" s="27" t="e">
        <f ca="1">_xludf.GAMMA.INV(U248,'04_PSA_INPUTS'!H8,'04_PSA_INPUTS'!I8)</f>
        <v>#NAME?</v>
      </c>
      <c r="F248" s="27" t="e">
        <f ca="1">_xludf.GAMMA.INV(V248,'04_PSA_INPUTS'!H9,'04_PSA_INPUTS'!I9)</f>
        <v>#NAME?</v>
      </c>
      <c r="G248" s="23" t="e">
        <f ca="1">_xludf.BETA.INV(W248,'04_PSA_INPUTS'!H10,'04_PSA_INPUTS'!I10)</f>
        <v>#NAME?</v>
      </c>
      <c r="H248" s="23" t="e">
        <f ca="1">_xludf.BETA.INV(X248,'04_PSA_INPUTS'!H11,'04_PSA_INPUTS'!I11)</f>
        <v>#NAME?</v>
      </c>
      <c r="I248" s="27" t="e">
        <f ca="1">D248+B248*F248+'01_INPUTS'!B20</f>
        <v>#NAME?</v>
      </c>
      <c r="J248" s="27" t="e">
        <f ca="1">E248+C248*F248+'01_INPUTS'!B21</f>
        <v>#NAME?</v>
      </c>
      <c r="K248" s="27" t="e">
        <f t="shared" ca="1" si="18"/>
        <v>#NAME?</v>
      </c>
      <c r="L248" s="23" t="e">
        <f t="shared" ca="1" si="19"/>
        <v>#NAME?</v>
      </c>
      <c r="M248" s="23" t="e">
        <f t="shared" ca="1" si="20"/>
        <v>#NAME?</v>
      </c>
      <c r="N248" s="23" t="e">
        <f t="shared" ca="1" si="21"/>
        <v>#NAME?</v>
      </c>
      <c r="O248" s="27" t="e">
        <f t="shared" ca="1" si="22"/>
        <v>#NAME?</v>
      </c>
      <c r="P248" s="27" t="e">
        <f ca="1">'01_INPUTS'!B9*N248-K248</f>
        <v>#NAME?</v>
      </c>
      <c r="Q248" s="1" t="e">
        <f t="shared" ca="1" si="23"/>
        <v>#NAME?</v>
      </c>
      <c r="R248" s="28">
        <v>0.34014212829060853</v>
      </c>
      <c r="S248" s="28">
        <v>0.76825398462824523</v>
      </c>
      <c r="T248" s="28">
        <v>0.75297051831148565</v>
      </c>
      <c r="U248" s="28">
        <v>0.93881006096489727</v>
      </c>
      <c r="V248" s="28">
        <v>0.2901080115698278</v>
      </c>
      <c r="W248" s="28">
        <v>0.95939637231640518</v>
      </c>
      <c r="X248" s="28">
        <v>0.67120952229015529</v>
      </c>
    </row>
    <row r="249" spans="1:24" ht="13.9">
      <c r="A249" s="1">
        <v>248</v>
      </c>
      <c r="B249" s="23" t="e">
        <f ca="1">_xludf.BETA.INV(R249,'04_PSA_INPUTS'!H5,'04_PSA_INPUTS'!I5)</f>
        <v>#NAME?</v>
      </c>
      <c r="C249" s="23" t="e">
        <f ca="1">_xludf.BETA.INV(S249,'04_PSA_INPUTS'!H6,'04_PSA_INPUTS'!I6)</f>
        <v>#NAME?</v>
      </c>
      <c r="D249" s="27" t="e">
        <f ca="1">_xludf.GAMMA.INV(T249,'04_PSA_INPUTS'!H7,'04_PSA_INPUTS'!I7)</f>
        <v>#NAME?</v>
      </c>
      <c r="E249" s="27" t="e">
        <f ca="1">_xludf.GAMMA.INV(U249,'04_PSA_INPUTS'!H8,'04_PSA_INPUTS'!I8)</f>
        <v>#NAME?</v>
      </c>
      <c r="F249" s="27" t="e">
        <f ca="1">_xludf.GAMMA.INV(V249,'04_PSA_INPUTS'!H9,'04_PSA_INPUTS'!I9)</f>
        <v>#NAME?</v>
      </c>
      <c r="G249" s="23" t="e">
        <f ca="1">_xludf.BETA.INV(W249,'04_PSA_INPUTS'!H10,'04_PSA_INPUTS'!I10)</f>
        <v>#NAME?</v>
      </c>
      <c r="H249" s="23" t="e">
        <f ca="1">_xludf.BETA.INV(X249,'04_PSA_INPUTS'!H11,'04_PSA_INPUTS'!I11)</f>
        <v>#NAME?</v>
      </c>
      <c r="I249" s="27" t="e">
        <f ca="1">D249+B249*F249+'01_INPUTS'!B20</f>
        <v>#NAME?</v>
      </c>
      <c r="J249" s="27" t="e">
        <f ca="1">E249+C249*F249+'01_INPUTS'!B21</f>
        <v>#NAME?</v>
      </c>
      <c r="K249" s="27" t="e">
        <f t="shared" ca="1" si="18"/>
        <v>#NAME?</v>
      </c>
      <c r="L249" s="23" t="e">
        <f t="shared" ca="1" si="19"/>
        <v>#NAME?</v>
      </c>
      <c r="M249" s="23" t="e">
        <f t="shared" ca="1" si="20"/>
        <v>#NAME?</v>
      </c>
      <c r="N249" s="23" t="e">
        <f t="shared" ca="1" si="21"/>
        <v>#NAME?</v>
      </c>
      <c r="O249" s="27" t="e">
        <f t="shared" ca="1" si="22"/>
        <v>#NAME?</v>
      </c>
      <c r="P249" s="27" t="e">
        <f ca="1">'01_INPUTS'!B9*N249-K249</f>
        <v>#NAME?</v>
      </c>
      <c r="Q249" s="1" t="e">
        <f t="shared" ca="1" si="23"/>
        <v>#NAME?</v>
      </c>
      <c r="R249" s="28">
        <v>0.52428220538422465</v>
      </c>
      <c r="S249" s="28">
        <v>0.17503458703868091</v>
      </c>
      <c r="T249" s="28">
        <v>0.28512771590612829</v>
      </c>
      <c r="U249" s="28">
        <v>0.902559376321733</v>
      </c>
      <c r="V249" s="28">
        <v>0.36569943907670677</v>
      </c>
      <c r="W249" s="28">
        <v>0.44094894733279943</v>
      </c>
      <c r="X249" s="28">
        <v>0.68876891839317977</v>
      </c>
    </row>
    <row r="250" spans="1:24" ht="13.9">
      <c r="A250" s="1">
        <v>249</v>
      </c>
      <c r="B250" s="23" t="e">
        <f ca="1">_xludf.BETA.INV(R250,'04_PSA_INPUTS'!H5,'04_PSA_INPUTS'!I5)</f>
        <v>#NAME?</v>
      </c>
      <c r="C250" s="23" t="e">
        <f ca="1">_xludf.BETA.INV(S250,'04_PSA_INPUTS'!H6,'04_PSA_INPUTS'!I6)</f>
        <v>#NAME?</v>
      </c>
      <c r="D250" s="27" t="e">
        <f ca="1">_xludf.GAMMA.INV(T250,'04_PSA_INPUTS'!H7,'04_PSA_INPUTS'!I7)</f>
        <v>#NAME?</v>
      </c>
      <c r="E250" s="27" t="e">
        <f ca="1">_xludf.GAMMA.INV(U250,'04_PSA_INPUTS'!H8,'04_PSA_INPUTS'!I8)</f>
        <v>#NAME?</v>
      </c>
      <c r="F250" s="27" t="e">
        <f ca="1">_xludf.GAMMA.INV(V250,'04_PSA_INPUTS'!H9,'04_PSA_INPUTS'!I9)</f>
        <v>#NAME?</v>
      </c>
      <c r="G250" s="23" t="e">
        <f ca="1">_xludf.BETA.INV(W250,'04_PSA_INPUTS'!H10,'04_PSA_INPUTS'!I10)</f>
        <v>#NAME?</v>
      </c>
      <c r="H250" s="23" t="e">
        <f ca="1">_xludf.BETA.INV(X250,'04_PSA_INPUTS'!H11,'04_PSA_INPUTS'!I11)</f>
        <v>#NAME?</v>
      </c>
      <c r="I250" s="27" t="e">
        <f ca="1">D250+B250*F250+'01_INPUTS'!B20</f>
        <v>#NAME?</v>
      </c>
      <c r="J250" s="27" t="e">
        <f ca="1">E250+C250*F250+'01_INPUTS'!B21</f>
        <v>#NAME?</v>
      </c>
      <c r="K250" s="27" t="e">
        <f t="shared" ca="1" si="18"/>
        <v>#NAME?</v>
      </c>
      <c r="L250" s="23" t="e">
        <f t="shared" ca="1" si="19"/>
        <v>#NAME?</v>
      </c>
      <c r="M250" s="23" t="e">
        <f t="shared" ca="1" si="20"/>
        <v>#NAME?</v>
      </c>
      <c r="N250" s="23" t="e">
        <f t="shared" ca="1" si="21"/>
        <v>#NAME?</v>
      </c>
      <c r="O250" s="27" t="e">
        <f t="shared" ca="1" si="22"/>
        <v>#NAME?</v>
      </c>
      <c r="P250" s="27" t="e">
        <f ca="1">'01_INPUTS'!B9*N250-K250</f>
        <v>#NAME?</v>
      </c>
      <c r="Q250" s="1" t="e">
        <f t="shared" ca="1" si="23"/>
        <v>#NAME?</v>
      </c>
      <c r="R250" s="28">
        <v>0.50880404049530625</v>
      </c>
      <c r="S250" s="28">
        <v>0.21665761852636933</v>
      </c>
      <c r="T250" s="28">
        <v>0.43918282352387905</v>
      </c>
      <c r="U250" s="28">
        <v>0.71348857530392706</v>
      </c>
      <c r="V250" s="28">
        <v>0.548652115277946</v>
      </c>
      <c r="W250" s="28">
        <v>0.93294916162267327</v>
      </c>
      <c r="X250" s="28">
        <v>0.69318281789310277</v>
      </c>
    </row>
    <row r="251" spans="1:24" ht="13.9">
      <c r="A251" s="1">
        <v>250</v>
      </c>
      <c r="B251" s="23" t="e">
        <f ca="1">_xludf.BETA.INV(R251,'04_PSA_INPUTS'!H5,'04_PSA_INPUTS'!I5)</f>
        <v>#NAME?</v>
      </c>
      <c r="C251" s="23" t="e">
        <f ca="1">_xludf.BETA.INV(S251,'04_PSA_INPUTS'!H6,'04_PSA_INPUTS'!I6)</f>
        <v>#NAME?</v>
      </c>
      <c r="D251" s="27" t="e">
        <f ca="1">_xludf.GAMMA.INV(T251,'04_PSA_INPUTS'!H7,'04_PSA_INPUTS'!I7)</f>
        <v>#NAME?</v>
      </c>
      <c r="E251" s="27" t="e">
        <f ca="1">_xludf.GAMMA.INV(U251,'04_PSA_INPUTS'!H8,'04_PSA_INPUTS'!I8)</f>
        <v>#NAME?</v>
      </c>
      <c r="F251" s="27" t="e">
        <f ca="1">_xludf.GAMMA.INV(V251,'04_PSA_INPUTS'!H9,'04_PSA_INPUTS'!I9)</f>
        <v>#NAME?</v>
      </c>
      <c r="G251" s="23" t="e">
        <f ca="1">_xludf.BETA.INV(W251,'04_PSA_INPUTS'!H10,'04_PSA_INPUTS'!I10)</f>
        <v>#NAME?</v>
      </c>
      <c r="H251" s="23" t="e">
        <f ca="1">_xludf.BETA.INV(X251,'04_PSA_INPUTS'!H11,'04_PSA_INPUTS'!I11)</f>
        <v>#NAME?</v>
      </c>
      <c r="I251" s="27" t="e">
        <f ca="1">D251+B251*F251+'01_INPUTS'!B20</f>
        <v>#NAME?</v>
      </c>
      <c r="J251" s="27" t="e">
        <f ca="1">E251+C251*F251+'01_INPUTS'!B21</f>
        <v>#NAME?</v>
      </c>
      <c r="K251" s="27" t="e">
        <f t="shared" ca="1" si="18"/>
        <v>#NAME?</v>
      </c>
      <c r="L251" s="23" t="e">
        <f t="shared" ca="1" si="19"/>
        <v>#NAME?</v>
      </c>
      <c r="M251" s="23" t="e">
        <f t="shared" ca="1" si="20"/>
        <v>#NAME?</v>
      </c>
      <c r="N251" s="23" t="e">
        <f t="shared" ca="1" si="21"/>
        <v>#NAME?</v>
      </c>
      <c r="O251" s="27" t="e">
        <f t="shared" ca="1" si="22"/>
        <v>#NAME?</v>
      </c>
      <c r="P251" s="27" t="e">
        <f ca="1">'01_INPUTS'!B9*N251-K251</f>
        <v>#NAME?</v>
      </c>
      <c r="Q251" s="1" t="e">
        <f t="shared" ca="1" si="23"/>
        <v>#NAME?</v>
      </c>
      <c r="R251" s="28">
        <v>0.83094259933568537</v>
      </c>
      <c r="S251" s="28">
        <v>0.16461400827392936</v>
      </c>
      <c r="T251" s="28">
        <v>0.84875795082189143</v>
      </c>
      <c r="U251" s="28">
        <v>0.46761993132531643</v>
      </c>
      <c r="V251" s="28">
        <v>0.37430177140049636</v>
      </c>
      <c r="W251" s="28">
        <v>0.76637829444371164</v>
      </c>
      <c r="X251" s="28">
        <v>6.368749332614243E-2</v>
      </c>
    </row>
    <row r="252" spans="1:24" ht="13.9">
      <c r="A252" s="1">
        <v>251</v>
      </c>
      <c r="B252" s="23" t="e">
        <f ca="1">_xludf.BETA.INV(R252,'04_PSA_INPUTS'!H5,'04_PSA_INPUTS'!I5)</f>
        <v>#NAME?</v>
      </c>
      <c r="C252" s="23" t="e">
        <f ca="1">_xludf.BETA.INV(S252,'04_PSA_INPUTS'!H6,'04_PSA_INPUTS'!I6)</f>
        <v>#NAME?</v>
      </c>
      <c r="D252" s="27" t="e">
        <f ca="1">_xludf.GAMMA.INV(T252,'04_PSA_INPUTS'!H7,'04_PSA_INPUTS'!I7)</f>
        <v>#NAME?</v>
      </c>
      <c r="E252" s="27" t="e">
        <f ca="1">_xludf.GAMMA.INV(U252,'04_PSA_INPUTS'!H8,'04_PSA_INPUTS'!I8)</f>
        <v>#NAME?</v>
      </c>
      <c r="F252" s="27" t="e">
        <f ca="1">_xludf.GAMMA.INV(V252,'04_PSA_INPUTS'!H9,'04_PSA_INPUTS'!I9)</f>
        <v>#NAME?</v>
      </c>
      <c r="G252" s="23" t="e">
        <f ca="1">_xludf.BETA.INV(W252,'04_PSA_INPUTS'!H10,'04_PSA_INPUTS'!I10)</f>
        <v>#NAME?</v>
      </c>
      <c r="H252" s="23" t="e">
        <f ca="1">_xludf.BETA.INV(X252,'04_PSA_INPUTS'!H11,'04_PSA_INPUTS'!I11)</f>
        <v>#NAME?</v>
      </c>
      <c r="I252" s="27" t="e">
        <f ca="1">D252+B252*F252+'01_INPUTS'!B20</f>
        <v>#NAME?</v>
      </c>
      <c r="J252" s="27" t="e">
        <f ca="1">E252+C252*F252+'01_INPUTS'!B21</f>
        <v>#NAME?</v>
      </c>
      <c r="K252" s="27" t="e">
        <f t="shared" ca="1" si="18"/>
        <v>#NAME?</v>
      </c>
      <c r="L252" s="23" t="e">
        <f t="shared" ca="1" si="19"/>
        <v>#NAME?</v>
      </c>
      <c r="M252" s="23" t="e">
        <f t="shared" ca="1" si="20"/>
        <v>#NAME?</v>
      </c>
      <c r="N252" s="23" t="e">
        <f t="shared" ca="1" si="21"/>
        <v>#NAME?</v>
      </c>
      <c r="O252" s="27" t="e">
        <f t="shared" ca="1" si="22"/>
        <v>#NAME?</v>
      </c>
      <c r="P252" s="27" t="e">
        <f ca="1">'01_INPUTS'!B9*N252-K252</f>
        <v>#NAME?</v>
      </c>
      <c r="Q252" s="1" t="e">
        <f t="shared" ca="1" si="23"/>
        <v>#NAME?</v>
      </c>
      <c r="R252" s="28">
        <v>0.49985616165213287</v>
      </c>
      <c r="S252" s="28">
        <v>6.9060764741152525E-2</v>
      </c>
      <c r="T252" s="28">
        <v>0.9022125753108412</v>
      </c>
      <c r="U252" s="28">
        <v>0.21177798835560679</v>
      </c>
      <c r="V252" s="28">
        <v>0.46876108879223466</v>
      </c>
      <c r="W252" s="28">
        <v>0.12048806948587298</v>
      </c>
      <c r="X252" s="28">
        <v>0.38522420986555517</v>
      </c>
    </row>
    <row r="253" spans="1:24" ht="13.9">
      <c r="A253" s="1">
        <v>252</v>
      </c>
      <c r="B253" s="23" t="e">
        <f ca="1">_xludf.BETA.INV(R253,'04_PSA_INPUTS'!H5,'04_PSA_INPUTS'!I5)</f>
        <v>#NAME?</v>
      </c>
      <c r="C253" s="23" t="e">
        <f ca="1">_xludf.BETA.INV(S253,'04_PSA_INPUTS'!H6,'04_PSA_INPUTS'!I6)</f>
        <v>#NAME?</v>
      </c>
      <c r="D253" s="27" t="e">
        <f ca="1">_xludf.GAMMA.INV(T253,'04_PSA_INPUTS'!H7,'04_PSA_INPUTS'!I7)</f>
        <v>#NAME?</v>
      </c>
      <c r="E253" s="27" t="e">
        <f ca="1">_xludf.GAMMA.INV(U253,'04_PSA_INPUTS'!H8,'04_PSA_INPUTS'!I8)</f>
        <v>#NAME?</v>
      </c>
      <c r="F253" s="27" t="e">
        <f ca="1">_xludf.GAMMA.INV(V253,'04_PSA_INPUTS'!H9,'04_PSA_INPUTS'!I9)</f>
        <v>#NAME?</v>
      </c>
      <c r="G253" s="23" t="e">
        <f ca="1">_xludf.BETA.INV(W253,'04_PSA_INPUTS'!H10,'04_PSA_INPUTS'!I10)</f>
        <v>#NAME?</v>
      </c>
      <c r="H253" s="23" t="e">
        <f ca="1">_xludf.BETA.INV(X253,'04_PSA_INPUTS'!H11,'04_PSA_INPUTS'!I11)</f>
        <v>#NAME?</v>
      </c>
      <c r="I253" s="27" t="e">
        <f ca="1">D253+B253*F253+'01_INPUTS'!B20</f>
        <v>#NAME?</v>
      </c>
      <c r="J253" s="27" t="e">
        <f ca="1">E253+C253*F253+'01_INPUTS'!B21</f>
        <v>#NAME?</v>
      </c>
      <c r="K253" s="27" t="e">
        <f t="shared" ca="1" si="18"/>
        <v>#NAME?</v>
      </c>
      <c r="L253" s="23" t="e">
        <f t="shared" ca="1" si="19"/>
        <v>#NAME?</v>
      </c>
      <c r="M253" s="23" t="e">
        <f t="shared" ca="1" si="20"/>
        <v>#NAME?</v>
      </c>
      <c r="N253" s="23" t="e">
        <f t="shared" ca="1" si="21"/>
        <v>#NAME?</v>
      </c>
      <c r="O253" s="27" t="e">
        <f t="shared" ca="1" si="22"/>
        <v>#NAME?</v>
      </c>
      <c r="P253" s="27" t="e">
        <f ca="1">'01_INPUTS'!B9*N253-K253</f>
        <v>#NAME?</v>
      </c>
      <c r="Q253" s="1" t="e">
        <f t="shared" ca="1" si="23"/>
        <v>#NAME?</v>
      </c>
      <c r="R253" s="28">
        <v>0.23427169607020915</v>
      </c>
      <c r="S253" s="28">
        <v>0.55253982893191278</v>
      </c>
      <c r="T253" s="28">
        <v>0.50776740768924356</v>
      </c>
      <c r="U253" s="28">
        <v>0.90499045490287244</v>
      </c>
      <c r="V253" s="28">
        <v>9.4165937043726444E-3</v>
      </c>
      <c r="W253" s="28">
        <v>0.80121529125608504</v>
      </c>
      <c r="X253" s="28">
        <v>0.33940298319794238</v>
      </c>
    </row>
    <row r="254" spans="1:24" ht="13.9">
      <c r="A254" s="1">
        <v>253</v>
      </c>
      <c r="B254" s="23" t="e">
        <f ca="1">_xludf.BETA.INV(R254,'04_PSA_INPUTS'!H5,'04_PSA_INPUTS'!I5)</f>
        <v>#NAME?</v>
      </c>
      <c r="C254" s="23" t="e">
        <f ca="1">_xludf.BETA.INV(S254,'04_PSA_INPUTS'!H6,'04_PSA_INPUTS'!I6)</f>
        <v>#NAME?</v>
      </c>
      <c r="D254" s="27" t="e">
        <f ca="1">_xludf.GAMMA.INV(T254,'04_PSA_INPUTS'!H7,'04_PSA_INPUTS'!I7)</f>
        <v>#NAME?</v>
      </c>
      <c r="E254" s="27" t="e">
        <f ca="1">_xludf.GAMMA.INV(U254,'04_PSA_INPUTS'!H8,'04_PSA_INPUTS'!I8)</f>
        <v>#NAME?</v>
      </c>
      <c r="F254" s="27" t="e">
        <f ca="1">_xludf.GAMMA.INV(V254,'04_PSA_INPUTS'!H9,'04_PSA_INPUTS'!I9)</f>
        <v>#NAME?</v>
      </c>
      <c r="G254" s="23" t="e">
        <f ca="1">_xludf.BETA.INV(W254,'04_PSA_INPUTS'!H10,'04_PSA_INPUTS'!I10)</f>
        <v>#NAME?</v>
      </c>
      <c r="H254" s="23" t="e">
        <f ca="1">_xludf.BETA.INV(X254,'04_PSA_INPUTS'!H11,'04_PSA_INPUTS'!I11)</f>
        <v>#NAME?</v>
      </c>
      <c r="I254" s="27" t="e">
        <f ca="1">D254+B254*F254+'01_INPUTS'!B20</f>
        <v>#NAME?</v>
      </c>
      <c r="J254" s="27" t="e">
        <f ca="1">E254+C254*F254+'01_INPUTS'!B21</f>
        <v>#NAME?</v>
      </c>
      <c r="K254" s="27" t="e">
        <f t="shared" ca="1" si="18"/>
        <v>#NAME?</v>
      </c>
      <c r="L254" s="23" t="e">
        <f t="shared" ca="1" si="19"/>
        <v>#NAME?</v>
      </c>
      <c r="M254" s="23" t="e">
        <f t="shared" ca="1" si="20"/>
        <v>#NAME?</v>
      </c>
      <c r="N254" s="23" t="e">
        <f t="shared" ca="1" si="21"/>
        <v>#NAME?</v>
      </c>
      <c r="O254" s="27" t="e">
        <f t="shared" ca="1" si="22"/>
        <v>#NAME?</v>
      </c>
      <c r="P254" s="27" t="e">
        <f ca="1">'01_INPUTS'!B9*N254-K254</f>
        <v>#NAME?</v>
      </c>
      <c r="Q254" s="1" t="e">
        <f t="shared" ca="1" si="23"/>
        <v>#NAME?</v>
      </c>
      <c r="R254" s="28">
        <v>0.15539310011081398</v>
      </c>
      <c r="S254" s="28">
        <v>3.046630066819489E-2</v>
      </c>
      <c r="T254" s="28">
        <v>0.85216627386398613</v>
      </c>
      <c r="U254" s="28">
        <v>0.45919442689046264</v>
      </c>
      <c r="V254" s="28">
        <v>0.87692954810336232</v>
      </c>
      <c r="W254" s="28">
        <v>1.844781031832099E-2</v>
      </c>
      <c r="X254" s="28">
        <v>0.54151073331013322</v>
      </c>
    </row>
    <row r="255" spans="1:24" ht="13.9">
      <c r="A255" s="1">
        <v>254</v>
      </c>
      <c r="B255" s="23" t="e">
        <f ca="1">_xludf.BETA.INV(R255,'04_PSA_INPUTS'!H5,'04_PSA_INPUTS'!I5)</f>
        <v>#NAME?</v>
      </c>
      <c r="C255" s="23" t="e">
        <f ca="1">_xludf.BETA.INV(S255,'04_PSA_INPUTS'!H6,'04_PSA_INPUTS'!I6)</f>
        <v>#NAME?</v>
      </c>
      <c r="D255" s="27" t="e">
        <f ca="1">_xludf.GAMMA.INV(T255,'04_PSA_INPUTS'!H7,'04_PSA_INPUTS'!I7)</f>
        <v>#NAME?</v>
      </c>
      <c r="E255" s="27" t="e">
        <f ca="1">_xludf.GAMMA.INV(U255,'04_PSA_INPUTS'!H8,'04_PSA_INPUTS'!I8)</f>
        <v>#NAME?</v>
      </c>
      <c r="F255" s="27" t="e">
        <f ca="1">_xludf.GAMMA.INV(V255,'04_PSA_INPUTS'!H9,'04_PSA_INPUTS'!I9)</f>
        <v>#NAME?</v>
      </c>
      <c r="G255" s="23" t="e">
        <f ca="1">_xludf.BETA.INV(W255,'04_PSA_INPUTS'!H10,'04_PSA_INPUTS'!I10)</f>
        <v>#NAME?</v>
      </c>
      <c r="H255" s="23" t="e">
        <f ca="1">_xludf.BETA.INV(X255,'04_PSA_INPUTS'!H11,'04_PSA_INPUTS'!I11)</f>
        <v>#NAME?</v>
      </c>
      <c r="I255" s="27" t="e">
        <f ca="1">D255+B255*F255+'01_INPUTS'!B20</f>
        <v>#NAME?</v>
      </c>
      <c r="J255" s="27" t="e">
        <f ca="1">E255+C255*F255+'01_INPUTS'!B21</f>
        <v>#NAME?</v>
      </c>
      <c r="K255" s="27" t="e">
        <f t="shared" ca="1" si="18"/>
        <v>#NAME?</v>
      </c>
      <c r="L255" s="23" t="e">
        <f t="shared" ca="1" si="19"/>
        <v>#NAME?</v>
      </c>
      <c r="M255" s="23" t="e">
        <f t="shared" ca="1" si="20"/>
        <v>#NAME?</v>
      </c>
      <c r="N255" s="23" t="e">
        <f t="shared" ca="1" si="21"/>
        <v>#NAME?</v>
      </c>
      <c r="O255" s="27" t="e">
        <f t="shared" ca="1" si="22"/>
        <v>#NAME?</v>
      </c>
      <c r="P255" s="27" t="e">
        <f ca="1">'01_INPUTS'!B9*N255-K255</f>
        <v>#NAME?</v>
      </c>
      <c r="Q255" s="1" t="e">
        <f t="shared" ca="1" si="23"/>
        <v>#NAME?</v>
      </c>
      <c r="R255" s="28">
        <v>0.78604644653387368</v>
      </c>
      <c r="S255" s="28">
        <v>0.85912471241317689</v>
      </c>
      <c r="T255" s="28">
        <v>0.48214385169558227</v>
      </c>
      <c r="U255" s="28">
        <v>0.11059287120588124</v>
      </c>
      <c r="V255" s="28">
        <v>0.75099599361419678</v>
      </c>
      <c r="W255" s="28">
        <v>0.92475875676609576</v>
      </c>
      <c r="X255" s="28">
        <v>0.38672410254366696</v>
      </c>
    </row>
    <row r="256" spans="1:24" ht="13.9">
      <c r="A256" s="1">
        <v>255</v>
      </c>
      <c r="B256" s="23" t="e">
        <f ca="1">_xludf.BETA.INV(R256,'04_PSA_INPUTS'!H5,'04_PSA_INPUTS'!I5)</f>
        <v>#NAME?</v>
      </c>
      <c r="C256" s="23" t="e">
        <f ca="1">_xludf.BETA.INV(S256,'04_PSA_INPUTS'!H6,'04_PSA_INPUTS'!I6)</f>
        <v>#NAME?</v>
      </c>
      <c r="D256" s="27" t="e">
        <f ca="1">_xludf.GAMMA.INV(T256,'04_PSA_INPUTS'!H7,'04_PSA_INPUTS'!I7)</f>
        <v>#NAME?</v>
      </c>
      <c r="E256" s="27" t="e">
        <f ca="1">_xludf.GAMMA.INV(U256,'04_PSA_INPUTS'!H8,'04_PSA_INPUTS'!I8)</f>
        <v>#NAME?</v>
      </c>
      <c r="F256" s="27" t="e">
        <f ca="1">_xludf.GAMMA.INV(V256,'04_PSA_INPUTS'!H9,'04_PSA_INPUTS'!I9)</f>
        <v>#NAME?</v>
      </c>
      <c r="G256" s="23" t="e">
        <f ca="1">_xludf.BETA.INV(W256,'04_PSA_INPUTS'!H10,'04_PSA_INPUTS'!I10)</f>
        <v>#NAME?</v>
      </c>
      <c r="H256" s="23" t="e">
        <f ca="1">_xludf.BETA.INV(X256,'04_PSA_INPUTS'!H11,'04_PSA_INPUTS'!I11)</f>
        <v>#NAME?</v>
      </c>
      <c r="I256" s="27" t="e">
        <f ca="1">D256+B256*F256+'01_INPUTS'!B20</f>
        <v>#NAME?</v>
      </c>
      <c r="J256" s="27" t="e">
        <f ca="1">E256+C256*F256+'01_INPUTS'!B21</f>
        <v>#NAME?</v>
      </c>
      <c r="K256" s="27" t="e">
        <f t="shared" ca="1" si="18"/>
        <v>#NAME?</v>
      </c>
      <c r="L256" s="23" t="e">
        <f t="shared" ca="1" si="19"/>
        <v>#NAME?</v>
      </c>
      <c r="M256" s="23" t="e">
        <f t="shared" ca="1" si="20"/>
        <v>#NAME?</v>
      </c>
      <c r="N256" s="23" t="e">
        <f t="shared" ca="1" si="21"/>
        <v>#NAME?</v>
      </c>
      <c r="O256" s="27" t="e">
        <f t="shared" ca="1" si="22"/>
        <v>#NAME?</v>
      </c>
      <c r="P256" s="27" t="e">
        <f ca="1">'01_INPUTS'!B9*N256-K256</f>
        <v>#NAME?</v>
      </c>
      <c r="Q256" s="1" t="e">
        <f t="shared" ca="1" si="23"/>
        <v>#NAME?</v>
      </c>
      <c r="R256" s="28">
        <v>0.67499609966762364</v>
      </c>
      <c r="S256" s="28">
        <v>0.39756177319213748</v>
      </c>
      <c r="T256" s="28">
        <v>0.4847920082975179</v>
      </c>
      <c r="U256" s="28">
        <v>0.55249700183048844</v>
      </c>
      <c r="V256" s="28">
        <v>0.94015806401148438</v>
      </c>
      <c r="W256" s="28">
        <v>0.8220828166231513</v>
      </c>
      <c r="X256" s="28">
        <v>0.90302172699011862</v>
      </c>
    </row>
    <row r="257" spans="1:24" ht="13.9">
      <c r="A257" s="1">
        <v>256</v>
      </c>
      <c r="B257" s="23" t="e">
        <f ca="1">_xludf.BETA.INV(R257,'04_PSA_INPUTS'!H5,'04_PSA_INPUTS'!I5)</f>
        <v>#NAME?</v>
      </c>
      <c r="C257" s="23" t="e">
        <f ca="1">_xludf.BETA.INV(S257,'04_PSA_INPUTS'!H6,'04_PSA_INPUTS'!I6)</f>
        <v>#NAME?</v>
      </c>
      <c r="D257" s="27" t="e">
        <f ca="1">_xludf.GAMMA.INV(T257,'04_PSA_INPUTS'!H7,'04_PSA_INPUTS'!I7)</f>
        <v>#NAME?</v>
      </c>
      <c r="E257" s="27" t="e">
        <f ca="1">_xludf.GAMMA.INV(U257,'04_PSA_INPUTS'!H8,'04_PSA_INPUTS'!I8)</f>
        <v>#NAME?</v>
      </c>
      <c r="F257" s="27" t="e">
        <f ca="1">_xludf.GAMMA.INV(V257,'04_PSA_INPUTS'!H9,'04_PSA_INPUTS'!I9)</f>
        <v>#NAME?</v>
      </c>
      <c r="G257" s="23" t="e">
        <f ca="1">_xludf.BETA.INV(W257,'04_PSA_INPUTS'!H10,'04_PSA_INPUTS'!I10)</f>
        <v>#NAME?</v>
      </c>
      <c r="H257" s="23" t="e">
        <f ca="1">_xludf.BETA.INV(X257,'04_PSA_INPUTS'!H11,'04_PSA_INPUTS'!I11)</f>
        <v>#NAME?</v>
      </c>
      <c r="I257" s="27" t="e">
        <f ca="1">D257+B257*F257+'01_INPUTS'!B20</f>
        <v>#NAME?</v>
      </c>
      <c r="J257" s="27" t="e">
        <f ca="1">E257+C257*F257+'01_INPUTS'!B21</f>
        <v>#NAME?</v>
      </c>
      <c r="K257" s="27" t="e">
        <f t="shared" ca="1" si="18"/>
        <v>#NAME?</v>
      </c>
      <c r="L257" s="23" t="e">
        <f t="shared" ca="1" si="19"/>
        <v>#NAME?</v>
      </c>
      <c r="M257" s="23" t="e">
        <f t="shared" ca="1" si="20"/>
        <v>#NAME?</v>
      </c>
      <c r="N257" s="23" t="e">
        <f t="shared" ca="1" si="21"/>
        <v>#NAME?</v>
      </c>
      <c r="O257" s="27" t="e">
        <f t="shared" ca="1" si="22"/>
        <v>#NAME?</v>
      </c>
      <c r="P257" s="27" t="e">
        <f ca="1">'01_INPUTS'!B9*N257-K257</f>
        <v>#NAME?</v>
      </c>
      <c r="Q257" s="1" t="e">
        <f t="shared" ca="1" si="23"/>
        <v>#NAME?</v>
      </c>
      <c r="R257" s="28">
        <v>0.25463192467577755</v>
      </c>
      <c r="S257" s="28">
        <v>0.43736439733766019</v>
      </c>
      <c r="T257" s="28">
        <v>0.60566310468129814</v>
      </c>
      <c r="U257" s="28">
        <v>0.17869611061178148</v>
      </c>
      <c r="V257" s="28">
        <v>9.9880003603175282E-2</v>
      </c>
      <c r="W257" s="28">
        <v>0.9254265867639333</v>
      </c>
      <c r="X257" s="28">
        <v>0.47260328289121389</v>
      </c>
    </row>
    <row r="258" spans="1:24" ht="13.9">
      <c r="A258" s="1">
        <v>257</v>
      </c>
      <c r="B258" s="23" t="e">
        <f ca="1">_xludf.BETA.INV(R258,'04_PSA_INPUTS'!H5,'04_PSA_INPUTS'!I5)</f>
        <v>#NAME?</v>
      </c>
      <c r="C258" s="23" t="e">
        <f ca="1">_xludf.BETA.INV(S258,'04_PSA_INPUTS'!H6,'04_PSA_INPUTS'!I6)</f>
        <v>#NAME?</v>
      </c>
      <c r="D258" s="27" t="e">
        <f ca="1">_xludf.GAMMA.INV(T258,'04_PSA_INPUTS'!H7,'04_PSA_INPUTS'!I7)</f>
        <v>#NAME?</v>
      </c>
      <c r="E258" s="27" t="e">
        <f ca="1">_xludf.GAMMA.INV(U258,'04_PSA_INPUTS'!H8,'04_PSA_INPUTS'!I8)</f>
        <v>#NAME?</v>
      </c>
      <c r="F258" s="27" t="e">
        <f ca="1">_xludf.GAMMA.INV(V258,'04_PSA_INPUTS'!H9,'04_PSA_INPUTS'!I9)</f>
        <v>#NAME?</v>
      </c>
      <c r="G258" s="23" t="e">
        <f ca="1">_xludf.BETA.INV(W258,'04_PSA_INPUTS'!H10,'04_PSA_INPUTS'!I10)</f>
        <v>#NAME?</v>
      </c>
      <c r="H258" s="23" t="e">
        <f ca="1">_xludf.BETA.INV(X258,'04_PSA_INPUTS'!H11,'04_PSA_INPUTS'!I11)</f>
        <v>#NAME?</v>
      </c>
      <c r="I258" s="27" t="e">
        <f ca="1">D258+B258*F258+'01_INPUTS'!B20</f>
        <v>#NAME?</v>
      </c>
      <c r="J258" s="27" t="e">
        <f ca="1">E258+C258*F258+'01_INPUTS'!B21</f>
        <v>#NAME?</v>
      </c>
      <c r="K258" s="27" t="e">
        <f t="shared" ref="K258:K321" ca="1" si="24">I258-J258</f>
        <v>#NAME?</v>
      </c>
      <c r="L258" s="23" t="e">
        <f t="shared" ref="L258:L321" ca="1" si="25">G258-B258*H258</f>
        <v>#NAME?</v>
      </c>
      <c r="M258" s="23" t="e">
        <f t="shared" ref="M258:M321" ca="1" si="26">G258-C258*H258</f>
        <v>#NAME?</v>
      </c>
      <c r="N258" s="23" t="e">
        <f t="shared" ref="N258:N321" ca="1" si="27">L258-M258</f>
        <v>#NAME?</v>
      </c>
      <c r="O258" s="27" t="e">
        <f t="shared" ref="O258:O321" ca="1" si="28">IF(N258=0,"",K258/N258)</f>
        <v>#NAME?</v>
      </c>
      <c r="P258" s="27" t="e">
        <f ca="1">'01_INPUTS'!B9*N258-K258</f>
        <v>#NAME?</v>
      </c>
      <c r="Q258" s="1" t="e">
        <f t="shared" ref="Q258:Q321" ca="1" si="29">IF(P258&gt;0,1,0)</f>
        <v>#NAME?</v>
      </c>
      <c r="R258" s="28">
        <v>0.16202147374860942</v>
      </c>
      <c r="S258" s="28">
        <v>0.24022209132090211</v>
      </c>
      <c r="T258" s="28">
        <v>0.94303638953715563</v>
      </c>
      <c r="U258" s="28">
        <v>0.88880587043240666</v>
      </c>
      <c r="V258" s="28">
        <v>0.87378768622875214</v>
      </c>
      <c r="W258" s="28">
        <v>0.17233517626300454</v>
      </c>
      <c r="X258" s="28">
        <v>0.39252341957762837</v>
      </c>
    </row>
    <row r="259" spans="1:24" ht="13.9">
      <c r="A259" s="1">
        <v>258</v>
      </c>
      <c r="B259" s="23" t="e">
        <f ca="1">_xludf.BETA.INV(R259,'04_PSA_INPUTS'!H5,'04_PSA_INPUTS'!I5)</f>
        <v>#NAME?</v>
      </c>
      <c r="C259" s="23" t="e">
        <f ca="1">_xludf.BETA.INV(S259,'04_PSA_INPUTS'!H6,'04_PSA_INPUTS'!I6)</f>
        <v>#NAME?</v>
      </c>
      <c r="D259" s="27" t="e">
        <f ca="1">_xludf.GAMMA.INV(T259,'04_PSA_INPUTS'!H7,'04_PSA_INPUTS'!I7)</f>
        <v>#NAME?</v>
      </c>
      <c r="E259" s="27" t="e">
        <f ca="1">_xludf.GAMMA.INV(U259,'04_PSA_INPUTS'!H8,'04_PSA_INPUTS'!I8)</f>
        <v>#NAME?</v>
      </c>
      <c r="F259" s="27" t="e">
        <f ca="1">_xludf.GAMMA.INV(V259,'04_PSA_INPUTS'!H9,'04_PSA_INPUTS'!I9)</f>
        <v>#NAME?</v>
      </c>
      <c r="G259" s="23" t="e">
        <f ca="1">_xludf.BETA.INV(W259,'04_PSA_INPUTS'!H10,'04_PSA_INPUTS'!I10)</f>
        <v>#NAME?</v>
      </c>
      <c r="H259" s="23" t="e">
        <f ca="1">_xludf.BETA.INV(X259,'04_PSA_INPUTS'!H11,'04_PSA_INPUTS'!I11)</f>
        <v>#NAME?</v>
      </c>
      <c r="I259" s="27" t="e">
        <f ca="1">D259+B259*F259+'01_INPUTS'!B20</f>
        <v>#NAME?</v>
      </c>
      <c r="J259" s="27" t="e">
        <f ca="1">E259+C259*F259+'01_INPUTS'!B21</f>
        <v>#NAME?</v>
      </c>
      <c r="K259" s="27" t="e">
        <f t="shared" ca="1" si="24"/>
        <v>#NAME?</v>
      </c>
      <c r="L259" s="23" t="e">
        <f t="shared" ca="1" si="25"/>
        <v>#NAME?</v>
      </c>
      <c r="M259" s="23" t="e">
        <f t="shared" ca="1" si="26"/>
        <v>#NAME?</v>
      </c>
      <c r="N259" s="23" t="e">
        <f t="shared" ca="1" si="27"/>
        <v>#NAME?</v>
      </c>
      <c r="O259" s="27" t="e">
        <f t="shared" ca="1" si="28"/>
        <v>#NAME?</v>
      </c>
      <c r="P259" s="27" t="e">
        <f ca="1">'01_INPUTS'!B9*N259-K259</f>
        <v>#NAME?</v>
      </c>
      <c r="Q259" s="1" t="e">
        <f t="shared" ca="1" si="29"/>
        <v>#NAME?</v>
      </c>
      <c r="R259" s="28">
        <v>0.78412364819087088</v>
      </c>
      <c r="S259" s="28">
        <v>0.98371463059447706</v>
      </c>
      <c r="T259" s="28">
        <v>0.73278654110617936</v>
      </c>
      <c r="U259" s="28">
        <v>0.36234072200022638</v>
      </c>
      <c r="V259" s="28">
        <v>0.4365272712893784</v>
      </c>
      <c r="W259" s="28">
        <v>0.49865927221253514</v>
      </c>
      <c r="X259" s="28">
        <v>0.19246841734275222</v>
      </c>
    </row>
    <row r="260" spans="1:24" ht="13.9">
      <c r="A260" s="1">
        <v>259</v>
      </c>
      <c r="B260" s="23" t="e">
        <f ca="1">_xludf.BETA.INV(R260,'04_PSA_INPUTS'!H5,'04_PSA_INPUTS'!I5)</f>
        <v>#NAME?</v>
      </c>
      <c r="C260" s="23" t="e">
        <f ca="1">_xludf.BETA.INV(S260,'04_PSA_INPUTS'!H6,'04_PSA_INPUTS'!I6)</f>
        <v>#NAME?</v>
      </c>
      <c r="D260" s="27" t="e">
        <f ca="1">_xludf.GAMMA.INV(T260,'04_PSA_INPUTS'!H7,'04_PSA_INPUTS'!I7)</f>
        <v>#NAME?</v>
      </c>
      <c r="E260" s="27" t="e">
        <f ca="1">_xludf.GAMMA.INV(U260,'04_PSA_INPUTS'!H8,'04_PSA_INPUTS'!I8)</f>
        <v>#NAME?</v>
      </c>
      <c r="F260" s="27" t="e">
        <f ca="1">_xludf.GAMMA.INV(V260,'04_PSA_INPUTS'!H9,'04_PSA_INPUTS'!I9)</f>
        <v>#NAME?</v>
      </c>
      <c r="G260" s="23" t="e">
        <f ca="1">_xludf.BETA.INV(W260,'04_PSA_INPUTS'!H10,'04_PSA_INPUTS'!I10)</f>
        <v>#NAME?</v>
      </c>
      <c r="H260" s="23" t="e">
        <f ca="1">_xludf.BETA.INV(X260,'04_PSA_INPUTS'!H11,'04_PSA_INPUTS'!I11)</f>
        <v>#NAME?</v>
      </c>
      <c r="I260" s="27" t="e">
        <f ca="1">D260+B260*F260+'01_INPUTS'!B20</f>
        <v>#NAME?</v>
      </c>
      <c r="J260" s="27" t="e">
        <f ca="1">E260+C260*F260+'01_INPUTS'!B21</f>
        <v>#NAME?</v>
      </c>
      <c r="K260" s="27" t="e">
        <f t="shared" ca="1" si="24"/>
        <v>#NAME?</v>
      </c>
      <c r="L260" s="23" t="e">
        <f t="shared" ca="1" si="25"/>
        <v>#NAME?</v>
      </c>
      <c r="M260" s="23" t="e">
        <f t="shared" ca="1" si="26"/>
        <v>#NAME?</v>
      </c>
      <c r="N260" s="23" t="e">
        <f t="shared" ca="1" si="27"/>
        <v>#NAME?</v>
      </c>
      <c r="O260" s="27" t="e">
        <f t="shared" ca="1" si="28"/>
        <v>#NAME?</v>
      </c>
      <c r="P260" s="27" t="e">
        <f ca="1">'01_INPUTS'!B9*N260-K260</f>
        <v>#NAME?</v>
      </c>
      <c r="Q260" s="1" t="e">
        <f t="shared" ca="1" si="29"/>
        <v>#NAME?</v>
      </c>
      <c r="R260" s="28">
        <v>0.32800000929273665</v>
      </c>
      <c r="S260" s="28">
        <v>0.46108144475147128</v>
      </c>
      <c r="T260" s="28">
        <v>5.9254744555801153E-2</v>
      </c>
      <c r="U260" s="28">
        <v>0.83003247994929552</v>
      </c>
      <c r="V260" s="28">
        <v>0.9416723947506398</v>
      </c>
      <c r="W260" s="28">
        <v>0.80083580152131617</v>
      </c>
      <c r="X260" s="28">
        <v>0.97834813199006021</v>
      </c>
    </row>
    <row r="261" spans="1:24" ht="13.9">
      <c r="A261" s="1">
        <v>260</v>
      </c>
      <c r="B261" s="23" t="e">
        <f ca="1">_xludf.BETA.INV(R261,'04_PSA_INPUTS'!H5,'04_PSA_INPUTS'!I5)</f>
        <v>#NAME?</v>
      </c>
      <c r="C261" s="23" t="e">
        <f ca="1">_xludf.BETA.INV(S261,'04_PSA_INPUTS'!H6,'04_PSA_INPUTS'!I6)</f>
        <v>#NAME?</v>
      </c>
      <c r="D261" s="27" t="e">
        <f ca="1">_xludf.GAMMA.INV(T261,'04_PSA_INPUTS'!H7,'04_PSA_INPUTS'!I7)</f>
        <v>#NAME?</v>
      </c>
      <c r="E261" s="27" t="e">
        <f ca="1">_xludf.GAMMA.INV(U261,'04_PSA_INPUTS'!H8,'04_PSA_INPUTS'!I8)</f>
        <v>#NAME?</v>
      </c>
      <c r="F261" s="27" t="e">
        <f ca="1">_xludf.GAMMA.INV(V261,'04_PSA_INPUTS'!H9,'04_PSA_INPUTS'!I9)</f>
        <v>#NAME?</v>
      </c>
      <c r="G261" s="23" t="e">
        <f ca="1">_xludf.BETA.INV(W261,'04_PSA_INPUTS'!H10,'04_PSA_INPUTS'!I10)</f>
        <v>#NAME?</v>
      </c>
      <c r="H261" s="23" t="e">
        <f ca="1">_xludf.BETA.INV(X261,'04_PSA_INPUTS'!H11,'04_PSA_INPUTS'!I11)</f>
        <v>#NAME?</v>
      </c>
      <c r="I261" s="27" t="e">
        <f ca="1">D261+B261*F261+'01_INPUTS'!B20</f>
        <v>#NAME?</v>
      </c>
      <c r="J261" s="27" t="e">
        <f ca="1">E261+C261*F261+'01_INPUTS'!B21</f>
        <v>#NAME?</v>
      </c>
      <c r="K261" s="27" t="e">
        <f t="shared" ca="1" si="24"/>
        <v>#NAME?</v>
      </c>
      <c r="L261" s="23" t="e">
        <f t="shared" ca="1" si="25"/>
        <v>#NAME?</v>
      </c>
      <c r="M261" s="23" t="e">
        <f t="shared" ca="1" si="26"/>
        <v>#NAME?</v>
      </c>
      <c r="N261" s="23" t="e">
        <f t="shared" ca="1" si="27"/>
        <v>#NAME?</v>
      </c>
      <c r="O261" s="27" t="e">
        <f t="shared" ca="1" si="28"/>
        <v>#NAME?</v>
      </c>
      <c r="P261" s="27" t="e">
        <f ca="1">'01_INPUTS'!B9*N261-K261</f>
        <v>#NAME?</v>
      </c>
      <c r="Q261" s="1" t="e">
        <f t="shared" ca="1" si="29"/>
        <v>#NAME?</v>
      </c>
      <c r="R261" s="28">
        <v>0.13106840802356601</v>
      </c>
      <c r="S261" s="28">
        <v>0.28136258292943239</v>
      </c>
      <c r="T261" s="28">
        <v>0.87936472846195102</v>
      </c>
      <c r="U261" s="28">
        <v>0.54401781316846609</v>
      </c>
      <c r="V261" s="28">
        <v>3.4067390719428658E-2</v>
      </c>
      <c r="W261" s="28">
        <v>8.0881532281637192E-2</v>
      </c>
      <c r="X261" s="28">
        <v>0.65403722645714879</v>
      </c>
    </row>
    <row r="262" spans="1:24" ht="13.9">
      <c r="A262" s="1">
        <v>261</v>
      </c>
      <c r="B262" s="23" t="e">
        <f ca="1">_xludf.BETA.INV(R262,'04_PSA_INPUTS'!H5,'04_PSA_INPUTS'!I5)</f>
        <v>#NAME?</v>
      </c>
      <c r="C262" s="23" t="e">
        <f ca="1">_xludf.BETA.INV(S262,'04_PSA_INPUTS'!H6,'04_PSA_INPUTS'!I6)</f>
        <v>#NAME?</v>
      </c>
      <c r="D262" s="27" t="e">
        <f ca="1">_xludf.GAMMA.INV(T262,'04_PSA_INPUTS'!H7,'04_PSA_INPUTS'!I7)</f>
        <v>#NAME?</v>
      </c>
      <c r="E262" s="27" t="e">
        <f ca="1">_xludf.GAMMA.INV(U262,'04_PSA_INPUTS'!H8,'04_PSA_INPUTS'!I8)</f>
        <v>#NAME?</v>
      </c>
      <c r="F262" s="27" t="e">
        <f ca="1">_xludf.GAMMA.INV(V262,'04_PSA_INPUTS'!H9,'04_PSA_INPUTS'!I9)</f>
        <v>#NAME?</v>
      </c>
      <c r="G262" s="23" t="e">
        <f ca="1">_xludf.BETA.INV(W262,'04_PSA_INPUTS'!H10,'04_PSA_INPUTS'!I10)</f>
        <v>#NAME?</v>
      </c>
      <c r="H262" s="23" t="e">
        <f ca="1">_xludf.BETA.INV(X262,'04_PSA_INPUTS'!H11,'04_PSA_INPUTS'!I11)</f>
        <v>#NAME?</v>
      </c>
      <c r="I262" s="27" t="e">
        <f ca="1">D262+B262*F262+'01_INPUTS'!B20</f>
        <v>#NAME?</v>
      </c>
      <c r="J262" s="27" t="e">
        <f ca="1">E262+C262*F262+'01_INPUTS'!B21</f>
        <v>#NAME?</v>
      </c>
      <c r="K262" s="27" t="e">
        <f t="shared" ca="1" si="24"/>
        <v>#NAME?</v>
      </c>
      <c r="L262" s="23" t="e">
        <f t="shared" ca="1" si="25"/>
        <v>#NAME?</v>
      </c>
      <c r="M262" s="23" t="e">
        <f t="shared" ca="1" si="26"/>
        <v>#NAME?</v>
      </c>
      <c r="N262" s="23" t="e">
        <f t="shared" ca="1" si="27"/>
        <v>#NAME?</v>
      </c>
      <c r="O262" s="27" t="e">
        <f t="shared" ca="1" si="28"/>
        <v>#NAME?</v>
      </c>
      <c r="P262" s="27" t="e">
        <f ca="1">'01_INPUTS'!B9*N262-K262</f>
        <v>#NAME?</v>
      </c>
      <c r="Q262" s="1" t="e">
        <f t="shared" ca="1" si="29"/>
        <v>#NAME?</v>
      </c>
      <c r="R262" s="28">
        <v>0.68621727800928056</v>
      </c>
      <c r="S262" s="28">
        <v>0.2923086560331285</v>
      </c>
      <c r="T262" s="28">
        <v>0.10309952031821012</v>
      </c>
      <c r="U262" s="28">
        <v>0.41061181877739727</v>
      </c>
      <c r="V262" s="28">
        <v>0.15074845473282039</v>
      </c>
      <c r="W262" s="28">
        <v>0.52686812914907932</v>
      </c>
      <c r="X262" s="28">
        <v>0.80184511886909604</v>
      </c>
    </row>
    <row r="263" spans="1:24" ht="13.9">
      <c r="A263" s="1">
        <v>262</v>
      </c>
      <c r="B263" s="23" t="e">
        <f ca="1">_xludf.BETA.INV(R263,'04_PSA_INPUTS'!H5,'04_PSA_INPUTS'!I5)</f>
        <v>#NAME?</v>
      </c>
      <c r="C263" s="23" t="e">
        <f ca="1">_xludf.BETA.INV(S263,'04_PSA_INPUTS'!H6,'04_PSA_INPUTS'!I6)</f>
        <v>#NAME?</v>
      </c>
      <c r="D263" s="27" t="e">
        <f ca="1">_xludf.GAMMA.INV(T263,'04_PSA_INPUTS'!H7,'04_PSA_INPUTS'!I7)</f>
        <v>#NAME?</v>
      </c>
      <c r="E263" s="27" t="e">
        <f ca="1">_xludf.GAMMA.INV(U263,'04_PSA_INPUTS'!H8,'04_PSA_INPUTS'!I8)</f>
        <v>#NAME?</v>
      </c>
      <c r="F263" s="27" t="e">
        <f ca="1">_xludf.GAMMA.INV(V263,'04_PSA_INPUTS'!H9,'04_PSA_INPUTS'!I9)</f>
        <v>#NAME?</v>
      </c>
      <c r="G263" s="23" t="e">
        <f ca="1">_xludf.BETA.INV(W263,'04_PSA_INPUTS'!H10,'04_PSA_INPUTS'!I10)</f>
        <v>#NAME?</v>
      </c>
      <c r="H263" s="23" t="e">
        <f ca="1">_xludf.BETA.INV(X263,'04_PSA_INPUTS'!H11,'04_PSA_INPUTS'!I11)</f>
        <v>#NAME?</v>
      </c>
      <c r="I263" s="27" t="e">
        <f ca="1">D263+B263*F263+'01_INPUTS'!B20</f>
        <v>#NAME?</v>
      </c>
      <c r="J263" s="27" t="e">
        <f ca="1">E263+C263*F263+'01_INPUTS'!B21</f>
        <v>#NAME?</v>
      </c>
      <c r="K263" s="27" t="e">
        <f t="shared" ca="1" si="24"/>
        <v>#NAME?</v>
      </c>
      <c r="L263" s="23" t="e">
        <f t="shared" ca="1" si="25"/>
        <v>#NAME?</v>
      </c>
      <c r="M263" s="23" t="e">
        <f t="shared" ca="1" si="26"/>
        <v>#NAME?</v>
      </c>
      <c r="N263" s="23" t="e">
        <f t="shared" ca="1" si="27"/>
        <v>#NAME?</v>
      </c>
      <c r="O263" s="27" t="e">
        <f t="shared" ca="1" si="28"/>
        <v>#NAME?</v>
      </c>
      <c r="P263" s="27" t="e">
        <f ca="1">'01_INPUTS'!B9*N263-K263</f>
        <v>#NAME?</v>
      </c>
      <c r="Q263" s="1" t="e">
        <f t="shared" ca="1" si="29"/>
        <v>#NAME?</v>
      </c>
      <c r="R263" s="28">
        <v>0.79785543889738619</v>
      </c>
      <c r="S263" s="28">
        <v>0.45003871247172356</v>
      </c>
      <c r="T263" s="28">
        <v>0.81086855055764318</v>
      </c>
      <c r="U263" s="28">
        <v>0.99098634370602667</v>
      </c>
      <c r="V263" s="28">
        <v>0.97380415932275355</v>
      </c>
      <c r="W263" s="28">
        <v>0.32956213201396167</v>
      </c>
      <c r="X263" s="28">
        <v>0.76660568546503782</v>
      </c>
    </row>
    <row r="264" spans="1:24" ht="13.9">
      <c r="A264" s="1">
        <v>263</v>
      </c>
      <c r="B264" s="23" t="e">
        <f ca="1">_xludf.BETA.INV(R264,'04_PSA_INPUTS'!H5,'04_PSA_INPUTS'!I5)</f>
        <v>#NAME?</v>
      </c>
      <c r="C264" s="23" t="e">
        <f ca="1">_xludf.BETA.INV(S264,'04_PSA_INPUTS'!H6,'04_PSA_INPUTS'!I6)</f>
        <v>#NAME?</v>
      </c>
      <c r="D264" s="27" t="e">
        <f ca="1">_xludf.GAMMA.INV(T264,'04_PSA_INPUTS'!H7,'04_PSA_INPUTS'!I7)</f>
        <v>#NAME?</v>
      </c>
      <c r="E264" s="27" t="e">
        <f ca="1">_xludf.GAMMA.INV(U264,'04_PSA_INPUTS'!H8,'04_PSA_INPUTS'!I8)</f>
        <v>#NAME?</v>
      </c>
      <c r="F264" s="27" t="e">
        <f ca="1">_xludf.GAMMA.INV(V264,'04_PSA_INPUTS'!H9,'04_PSA_INPUTS'!I9)</f>
        <v>#NAME?</v>
      </c>
      <c r="G264" s="23" t="e">
        <f ca="1">_xludf.BETA.INV(W264,'04_PSA_INPUTS'!H10,'04_PSA_INPUTS'!I10)</f>
        <v>#NAME?</v>
      </c>
      <c r="H264" s="23" t="e">
        <f ca="1">_xludf.BETA.INV(X264,'04_PSA_INPUTS'!H11,'04_PSA_INPUTS'!I11)</f>
        <v>#NAME?</v>
      </c>
      <c r="I264" s="27" t="e">
        <f ca="1">D264+B264*F264+'01_INPUTS'!B20</f>
        <v>#NAME?</v>
      </c>
      <c r="J264" s="27" t="e">
        <f ca="1">E264+C264*F264+'01_INPUTS'!B21</f>
        <v>#NAME?</v>
      </c>
      <c r="K264" s="27" t="e">
        <f t="shared" ca="1" si="24"/>
        <v>#NAME?</v>
      </c>
      <c r="L264" s="23" t="e">
        <f t="shared" ca="1" si="25"/>
        <v>#NAME?</v>
      </c>
      <c r="M264" s="23" t="e">
        <f t="shared" ca="1" si="26"/>
        <v>#NAME?</v>
      </c>
      <c r="N264" s="23" t="e">
        <f t="shared" ca="1" si="27"/>
        <v>#NAME?</v>
      </c>
      <c r="O264" s="27" t="e">
        <f t="shared" ca="1" si="28"/>
        <v>#NAME?</v>
      </c>
      <c r="P264" s="27" t="e">
        <f ca="1">'01_INPUTS'!B9*N264-K264</f>
        <v>#NAME?</v>
      </c>
      <c r="Q264" s="1" t="e">
        <f t="shared" ca="1" si="29"/>
        <v>#NAME?</v>
      </c>
      <c r="R264" s="28">
        <v>0.47780287615023553</v>
      </c>
      <c r="S264" s="28">
        <v>0.96985685196705163</v>
      </c>
      <c r="T264" s="28">
        <v>0.98401192273013294</v>
      </c>
      <c r="U264" s="28">
        <v>0.92415744927711785</v>
      </c>
      <c r="V264" s="28">
        <v>0.32485890481621027</v>
      </c>
      <c r="W264" s="28">
        <v>0.92590453801676631</v>
      </c>
      <c r="X264" s="28">
        <v>0.23329112771898508</v>
      </c>
    </row>
    <row r="265" spans="1:24" ht="13.9">
      <c r="A265" s="1">
        <v>264</v>
      </c>
      <c r="B265" s="23" t="e">
        <f ca="1">_xludf.BETA.INV(R265,'04_PSA_INPUTS'!H5,'04_PSA_INPUTS'!I5)</f>
        <v>#NAME?</v>
      </c>
      <c r="C265" s="23" t="e">
        <f ca="1">_xludf.BETA.INV(S265,'04_PSA_INPUTS'!H6,'04_PSA_INPUTS'!I6)</f>
        <v>#NAME?</v>
      </c>
      <c r="D265" s="27" t="e">
        <f ca="1">_xludf.GAMMA.INV(T265,'04_PSA_INPUTS'!H7,'04_PSA_INPUTS'!I7)</f>
        <v>#NAME?</v>
      </c>
      <c r="E265" s="27" t="e">
        <f ca="1">_xludf.GAMMA.INV(U265,'04_PSA_INPUTS'!H8,'04_PSA_INPUTS'!I8)</f>
        <v>#NAME?</v>
      </c>
      <c r="F265" s="27" t="e">
        <f ca="1">_xludf.GAMMA.INV(V265,'04_PSA_INPUTS'!H9,'04_PSA_INPUTS'!I9)</f>
        <v>#NAME?</v>
      </c>
      <c r="G265" s="23" t="e">
        <f ca="1">_xludf.BETA.INV(W265,'04_PSA_INPUTS'!H10,'04_PSA_INPUTS'!I10)</f>
        <v>#NAME?</v>
      </c>
      <c r="H265" s="23" t="e">
        <f ca="1">_xludf.BETA.INV(X265,'04_PSA_INPUTS'!H11,'04_PSA_INPUTS'!I11)</f>
        <v>#NAME?</v>
      </c>
      <c r="I265" s="27" t="e">
        <f ca="1">D265+B265*F265+'01_INPUTS'!B20</f>
        <v>#NAME?</v>
      </c>
      <c r="J265" s="27" t="e">
        <f ca="1">E265+C265*F265+'01_INPUTS'!B21</f>
        <v>#NAME?</v>
      </c>
      <c r="K265" s="27" t="e">
        <f t="shared" ca="1" si="24"/>
        <v>#NAME?</v>
      </c>
      <c r="L265" s="23" t="e">
        <f t="shared" ca="1" si="25"/>
        <v>#NAME?</v>
      </c>
      <c r="M265" s="23" t="e">
        <f t="shared" ca="1" si="26"/>
        <v>#NAME?</v>
      </c>
      <c r="N265" s="23" t="e">
        <f t="shared" ca="1" si="27"/>
        <v>#NAME?</v>
      </c>
      <c r="O265" s="27" t="e">
        <f t="shared" ca="1" si="28"/>
        <v>#NAME?</v>
      </c>
      <c r="P265" s="27" t="e">
        <f ca="1">'01_INPUTS'!B9*N265-K265</f>
        <v>#NAME?</v>
      </c>
      <c r="Q265" s="1" t="e">
        <f t="shared" ca="1" si="29"/>
        <v>#NAME?</v>
      </c>
      <c r="R265" s="28">
        <v>0.16208257409743965</v>
      </c>
      <c r="S265" s="28">
        <v>0.77887212974019349</v>
      </c>
      <c r="T265" s="28">
        <v>0.1865445589646697</v>
      </c>
      <c r="U265" s="28">
        <v>0.89310397068038583</v>
      </c>
      <c r="V265" s="28">
        <v>3.453140938654542E-2</v>
      </c>
      <c r="W265" s="28">
        <v>0.38651779643259943</v>
      </c>
      <c r="X265" s="28">
        <v>0.72989454842172563</v>
      </c>
    </row>
    <row r="266" spans="1:24" ht="13.9">
      <c r="A266" s="1">
        <v>265</v>
      </c>
      <c r="B266" s="23" t="e">
        <f ca="1">_xludf.BETA.INV(R266,'04_PSA_INPUTS'!H5,'04_PSA_INPUTS'!I5)</f>
        <v>#NAME?</v>
      </c>
      <c r="C266" s="23" t="e">
        <f ca="1">_xludf.BETA.INV(S266,'04_PSA_INPUTS'!H6,'04_PSA_INPUTS'!I6)</f>
        <v>#NAME?</v>
      </c>
      <c r="D266" s="27" t="e">
        <f ca="1">_xludf.GAMMA.INV(T266,'04_PSA_INPUTS'!H7,'04_PSA_INPUTS'!I7)</f>
        <v>#NAME?</v>
      </c>
      <c r="E266" s="27" t="e">
        <f ca="1">_xludf.GAMMA.INV(U266,'04_PSA_INPUTS'!H8,'04_PSA_INPUTS'!I8)</f>
        <v>#NAME?</v>
      </c>
      <c r="F266" s="27" t="e">
        <f ca="1">_xludf.GAMMA.INV(V266,'04_PSA_INPUTS'!H9,'04_PSA_INPUTS'!I9)</f>
        <v>#NAME?</v>
      </c>
      <c r="G266" s="23" t="e">
        <f ca="1">_xludf.BETA.INV(W266,'04_PSA_INPUTS'!H10,'04_PSA_INPUTS'!I10)</f>
        <v>#NAME?</v>
      </c>
      <c r="H266" s="23" t="e">
        <f ca="1">_xludf.BETA.INV(X266,'04_PSA_INPUTS'!H11,'04_PSA_INPUTS'!I11)</f>
        <v>#NAME?</v>
      </c>
      <c r="I266" s="27" t="e">
        <f ca="1">D266+B266*F266+'01_INPUTS'!B20</f>
        <v>#NAME?</v>
      </c>
      <c r="J266" s="27" t="e">
        <f ca="1">E266+C266*F266+'01_INPUTS'!B21</f>
        <v>#NAME?</v>
      </c>
      <c r="K266" s="27" t="e">
        <f t="shared" ca="1" si="24"/>
        <v>#NAME?</v>
      </c>
      <c r="L266" s="23" t="e">
        <f t="shared" ca="1" si="25"/>
        <v>#NAME?</v>
      </c>
      <c r="M266" s="23" t="e">
        <f t="shared" ca="1" si="26"/>
        <v>#NAME?</v>
      </c>
      <c r="N266" s="23" t="e">
        <f t="shared" ca="1" si="27"/>
        <v>#NAME?</v>
      </c>
      <c r="O266" s="27" t="e">
        <f t="shared" ca="1" si="28"/>
        <v>#NAME?</v>
      </c>
      <c r="P266" s="27" t="e">
        <f ca="1">'01_INPUTS'!B9*N266-K266</f>
        <v>#NAME?</v>
      </c>
      <c r="Q266" s="1" t="e">
        <f t="shared" ca="1" si="29"/>
        <v>#NAME?</v>
      </c>
      <c r="R266" s="28">
        <v>0.71278547029942274</v>
      </c>
      <c r="S266" s="28">
        <v>0.31401087250560522</v>
      </c>
      <c r="T266" s="28">
        <v>0.41510833124630153</v>
      </c>
      <c r="U266" s="28">
        <v>0.9547161275986582</v>
      </c>
      <c r="V266" s="28">
        <v>0.95029810210689902</v>
      </c>
      <c r="W266" s="28">
        <v>0.7770461798645556</v>
      </c>
      <c r="X266" s="28">
        <v>0.24776196572929621</v>
      </c>
    </row>
    <row r="267" spans="1:24" ht="13.9">
      <c r="A267" s="1">
        <v>266</v>
      </c>
      <c r="B267" s="23" t="e">
        <f ca="1">_xludf.BETA.INV(R267,'04_PSA_INPUTS'!H5,'04_PSA_INPUTS'!I5)</f>
        <v>#NAME?</v>
      </c>
      <c r="C267" s="23" t="e">
        <f ca="1">_xludf.BETA.INV(S267,'04_PSA_INPUTS'!H6,'04_PSA_INPUTS'!I6)</f>
        <v>#NAME?</v>
      </c>
      <c r="D267" s="27" t="e">
        <f ca="1">_xludf.GAMMA.INV(T267,'04_PSA_INPUTS'!H7,'04_PSA_INPUTS'!I7)</f>
        <v>#NAME?</v>
      </c>
      <c r="E267" s="27" t="e">
        <f ca="1">_xludf.GAMMA.INV(U267,'04_PSA_INPUTS'!H8,'04_PSA_INPUTS'!I8)</f>
        <v>#NAME?</v>
      </c>
      <c r="F267" s="27" t="e">
        <f ca="1">_xludf.GAMMA.INV(V267,'04_PSA_INPUTS'!H9,'04_PSA_INPUTS'!I9)</f>
        <v>#NAME?</v>
      </c>
      <c r="G267" s="23" t="e">
        <f ca="1">_xludf.BETA.INV(W267,'04_PSA_INPUTS'!H10,'04_PSA_INPUTS'!I10)</f>
        <v>#NAME?</v>
      </c>
      <c r="H267" s="23" t="e">
        <f ca="1">_xludf.BETA.INV(X267,'04_PSA_INPUTS'!H11,'04_PSA_INPUTS'!I11)</f>
        <v>#NAME?</v>
      </c>
      <c r="I267" s="27" t="e">
        <f ca="1">D267+B267*F267+'01_INPUTS'!B20</f>
        <v>#NAME?</v>
      </c>
      <c r="J267" s="27" t="e">
        <f ca="1">E267+C267*F267+'01_INPUTS'!B21</f>
        <v>#NAME?</v>
      </c>
      <c r="K267" s="27" t="e">
        <f t="shared" ca="1" si="24"/>
        <v>#NAME?</v>
      </c>
      <c r="L267" s="23" t="e">
        <f t="shared" ca="1" si="25"/>
        <v>#NAME?</v>
      </c>
      <c r="M267" s="23" t="e">
        <f t="shared" ca="1" si="26"/>
        <v>#NAME?</v>
      </c>
      <c r="N267" s="23" t="e">
        <f t="shared" ca="1" si="27"/>
        <v>#NAME?</v>
      </c>
      <c r="O267" s="27" t="e">
        <f t="shared" ca="1" si="28"/>
        <v>#NAME?</v>
      </c>
      <c r="P267" s="27" t="e">
        <f ca="1">'01_INPUTS'!B9*N267-K267</f>
        <v>#NAME?</v>
      </c>
      <c r="Q267" s="1" t="e">
        <f t="shared" ca="1" si="29"/>
        <v>#NAME?</v>
      </c>
      <c r="R267" s="28">
        <v>0.82175241038203239</v>
      </c>
      <c r="S267" s="28">
        <v>0.28952414635568857</v>
      </c>
      <c r="T267" s="28">
        <v>0.43321962142363191</v>
      </c>
      <c r="U267" s="28">
        <v>0.35245709144510329</v>
      </c>
      <c r="V267" s="28">
        <v>0.15817664191126823</v>
      </c>
      <c r="W267" s="28">
        <v>6.9592616986483335E-2</v>
      </c>
      <c r="X267" s="28">
        <v>0.3106226387899369</v>
      </c>
    </row>
    <row r="268" spans="1:24" ht="13.9">
      <c r="A268" s="1">
        <v>267</v>
      </c>
      <c r="B268" s="23" t="e">
        <f ca="1">_xludf.BETA.INV(R268,'04_PSA_INPUTS'!H5,'04_PSA_INPUTS'!I5)</f>
        <v>#NAME?</v>
      </c>
      <c r="C268" s="23" t="e">
        <f ca="1">_xludf.BETA.INV(S268,'04_PSA_INPUTS'!H6,'04_PSA_INPUTS'!I6)</f>
        <v>#NAME?</v>
      </c>
      <c r="D268" s="27" t="e">
        <f ca="1">_xludf.GAMMA.INV(T268,'04_PSA_INPUTS'!H7,'04_PSA_INPUTS'!I7)</f>
        <v>#NAME?</v>
      </c>
      <c r="E268" s="27" t="e">
        <f ca="1">_xludf.GAMMA.INV(U268,'04_PSA_INPUTS'!H8,'04_PSA_INPUTS'!I8)</f>
        <v>#NAME?</v>
      </c>
      <c r="F268" s="27" t="e">
        <f ca="1">_xludf.GAMMA.INV(V268,'04_PSA_INPUTS'!H9,'04_PSA_INPUTS'!I9)</f>
        <v>#NAME?</v>
      </c>
      <c r="G268" s="23" t="e">
        <f ca="1">_xludf.BETA.INV(W268,'04_PSA_INPUTS'!H10,'04_PSA_INPUTS'!I10)</f>
        <v>#NAME?</v>
      </c>
      <c r="H268" s="23" t="e">
        <f ca="1">_xludf.BETA.INV(X268,'04_PSA_INPUTS'!H11,'04_PSA_INPUTS'!I11)</f>
        <v>#NAME?</v>
      </c>
      <c r="I268" s="27" t="e">
        <f ca="1">D268+B268*F268+'01_INPUTS'!B20</f>
        <v>#NAME?</v>
      </c>
      <c r="J268" s="27" t="e">
        <f ca="1">E268+C268*F268+'01_INPUTS'!B21</f>
        <v>#NAME?</v>
      </c>
      <c r="K268" s="27" t="e">
        <f t="shared" ca="1" si="24"/>
        <v>#NAME?</v>
      </c>
      <c r="L268" s="23" t="e">
        <f t="shared" ca="1" si="25"/>
        <v>#NAME?</v>
      </c>
      <c r="M268" s="23" t="e">
        <f t="shared" ca="1" si="26"/>
        <v>#NAME?</v>
      </c>
      <c r="N268" s="23" t="e">
        <f t="shared" ca="1" si="27"/>
        <v>#NAME?</v>
      </c>
      <c r="O268" s="27" t="e">
        <f t="shared" ca="1" si="28"/>
        <v>#NAME?</v>
      </c>
      <c r="P268" s="27" t="e">
        <f ca="1">'01_INPUTS'!B9*N268-K268</f>
        <v>#NAME?</v>
      </c>
      <c r="Q268" s="1" t="e">
        <f t="shared" ca="1" si="29"/>
        <v>#NAME?</v>
      </c>
      <c r="R268" s="28">
        <v>0.21426187618635595</v>
      </c>
      <c r="S268" s="28">
        <v>0.22319660824723542</v>
      </c>
      <c r="T268" s="28">
        <v>0.15734389959834516</v>
      </c>
      <c r="U268" s="28">
        <v>0.438184475293383</v>
      </c>
      <c r="V268" s="28">
        <v>0.30308204679749906</v>
      </c>
      <c r="W268" s="28">
        <v>8.3363489015027881E-2</v>
      </c>
      <c r="X268" s="28">
        <v>0.23500803206115961</v>
      </c>
    </row>
    <row r="269" spans="1:24" ht="13.9">
      <c r="A269" s="1">
        <v>268</v>
      </c>
      <c r="B269" s="23" t="e">
        <f ca="1">_xludf.BETA.INV(R269,'04_PSA_INPUTS'!H5,'04_PSA_INPUTS'!I5)</f>
        <v>#NAME?</v>
      </c>
      <c r="C269" s="23" t="e">
        <f ca="1">_xludf.BETA.INV(S269,'04_PSA_INPUTS'!H6,'04_PSA_INPUTS'!I6)</f>
        <v>#NAME?</v>
      </c>
      <c r="D269" s="27" t="e">
        <f ca="1">_xludf.GAMMA.INV(T269,'04_PSA_INPUTS'!H7,'04_PSA_INPUTS'!I7)</f>
        <v>#NAME?</v>
      </c>
      <c r="E269" s="27" t="e">
        <f ca="1">_xludf.GAMMA.INV(U269,'04_PSA_INPUTS'!H8,'04_PSA_INPUTS'!I8)</f>
        <v>#NAME?</v>
      </c>
      <c r="F269" s="27" t="e">
        <f ca="1">_xludf.GAMMA.INV(V269,'04_PSA_INPUTS'!H9,'04_PSA_INPUTS'!I9)</f>
        <v>#NAME?</v>
      </c>
      <c r="G269" s="23" t="e">
        <f ca="1">_xludf.BETA.INV(W269,'04_PSA_INPUTS'!H10,'04_PSA_INPUTS'!I10)</f>
        <v>#NAME?</v>
      </c>
      <c r="H269" s="23" t="e">
        <f ca="1">_xludf.BETA.INV(X269,'04_PSA_INPUTS'!H11,'04_PSA_INPUTS'!I11)</f>
        <v>#NAME?</v>
      </c>
      <c r="I269" s="27" t="e">
        <f ca="1">D269+B269*F269+'01_INPUTS'!B20</f>
        <v>#NAME?</v>
      </c>
      <c r="J269" s="27" t="e">
        <f ca="1">E269+C269*F269+'01_INPUTS'!B21</f>
        <v>#NAME?</v>
      </c>
      <c r="K269" s="27" t="e">
        <f t="shared" ca="1" si="24"/>
        <v>#NAME?</v>
      </c>
      <c r="L269" s="23" t="e">
        <f t="shared" ca="1" si="25"/>
        <v>#NAME?</v>
      </c>
      <c r="M269" s="23" t="e">
        <f t="shared" ca="1" si="26"/>
        <v>#NAME?</v>
      </c>
      <c r="N269" s="23" t="e">
        <f t="shared" ca="1" si="27"/>
        <v>#NAME?</v>
      </c>
      <c r="O269" s="27" t="e">
        <f t="shared" ca="1" si="28"/>
        <v>#NAME?</v>
      </c>
      <c r="P269" s="27" t="e">
        <f ca="1">'01_INPUTS'!B9*N269-K269</f>
        <v>#NAME?</v>
      </c>
      <c r="Q269" s="1" t="e">
        <f t="shared" ca="1" si="29"/>
        <v>#NAME?</v>
      </c>
      <c r="R269" s="28">
        <v>0.61704378807917237</v>
      </c>
      <c r="S269" s="28">
        <v>0.53971679694950581</v>
      </c>
      <c r="T269" s="28">
        <v>0.19610584457404912</v>
      </c>
      <c r="U269" s="28">
        <v>0.8723908350802958</v>
      </c>
      <c r="V269" s="28">
        <v>0.57219305238686502</v>
      </c>
      <c r="W269" s="28">
        <v>2.174133388325572E-2</v>
      </c>
      <c r="X269" s="28">
        <v>0.4665114467497915</v>
      </c>
    </row>
    <row r="270" spans="1:24" ht="13.9">
      <c r="A270" s="1">
        <v>269</v>
      </c>
      <c r="B270" s="23" t="e">
        <f ca="1">_xludf.BETA.INV(R270,'04_PSA_INPUTS'!H5,'04_PSA_INPUTS'!I5)</f>
        <v>#NAME?</v>
      </c>
      <c r="C270" s="23" t="e">
        <f ca="1">_xludf.BETA.INV(S270,'04_PSA_INPUTS'!H6,'04_PSA_INPUTS'!I6)</f>
        <v>#NAME?</v>
      </c>
      <c r="D270" s="27" t="e">
        <f ca="1">_xludf.GAMMA.INV(T270,'04_PSA_INPUTS'!H7,'04_PSA_INPUTS'!I7)</f>
        <v>#NAME?</v>
      </c>
      <c r="E270" s="27" t="e">
        <f ca="1">_xludf.GAMMA.INV(U270,'04_PSA_INPUTS'!H8,'04_PSA_INPUTS'!I8)</f>
        <v>#NAME?</v>
      </c>
      <c r="F270" s="27" t="e">
        <f ca="1">_xludf.GAMMA.INV(V270,'04_PSA_INPUTS'!H9,'04_PSA_INPUTS'!I9)</f>
        <v>#NAME?</v>
      </c>
      <c r="G270" s="23" t="e">
        <f ca="1">_xludf.BETA.INV(W270,'04_PSA_INPUTS'!H10,'04_PSA_INPUTS'!I10)</f>
        <v>#NAME?</v>
      </c>
      <c r="H270" s="23" t="e">
        <f ca="1">_xludf.BETA.INV(X270,'04_PSA_INPUTS'!H11,'04_PSA_INPUTS'!I11)</f>
        <v>#NAME?</v>
      </c>
      <c r="I270" s="27" t="e">
        <f ca="1">D270+B270*F270+'01_INPUTS'!B20</f>
        <v>#NAME?</v>
      </c>
      <c r="J270" s="27" t="e">
        <f ca="1">E270+C270*F270+'01_INPUTS'!B21</f>
        <v>#NAME?</v>
      </c>
      <c r="K270" s="27" t="e">
        <f t="shared" ca="1" si="24"/>
        <v>#NAME?</v>
      </c>
      <c r="L270" s="23" t="e">
        <f t="shared" ca="1" si="25"/>
        <v>#NAME?</v>
      </c>
      <c r="M270" s="23" t="e">
        <f t="shared" ca="1" si="26"/>
        <v>#NAME?</v>
      </c>
      <c r="N270" s="23" t="e">
        <f t="shared" ca="1" si="27"/>
        <v>#NAME?</v>
      </c>
      <c r="O270" s="27" t="e">
        <f t="shared" ca="1" si="28"/>
        <v>#NAME?</v>
      </c>
      <c r="P270" s="27" t="e">
        <f ca="1">'01_INPUTS'!B9*N270-K270</f>
        <v>#NAME?</v>
      </c>
      <c r="Q270" s="1" t="e">
        <f t="shared" ca="1" si="29"/>
        <v>#NAME?</v>
      </c>
      <c r="R270" s="28">
        <v>0.25952370185405016</v>
      </c>
      <c r="S270" s="28">
        <v>0.4907913594506681</v>
      </c>
      <c r="T270" s="28">
        <v>0.95335508557036519</v>
      </c>
      <c r="U270" s="28">
        <v>0.93788786116056144</v>
      </c>
      <c r="V270" s="28">
        <v>0.9205001809168607</v>
      </c>
      <c r="W270" s="28">
        <v>0.28102022013626993</v>
      </c>
      <c r="X270" s="28">
        <v>0.52112729195505381</v>
      </c>
    </row>
    <row r="271" spans="1:24" ht="13.9">
      <c r="A271" s="1">
        <v>270</v>
      </c>
      <c r="B271" s="23" t="e">
        <f ca="1">_xludf.BETA.INV(R271,'04_PSA_INPUTS'!H5,'04_PSA_INPUTS'!I5)</f>
        <v>#NAME?</v>
      </c>
      <c r="C271" s="23" t="e">
        <f ca="1">_xludf.BETA.INV(S271,'04_PSA_INPUTS'!H6,'04_PSA_INPUTS'!I6)</f>
        <v>#NAME?</v>
      </c>
      <c r="D271" s="27" t="e">
        <f ca="1">_xludf.GAMMA.INV(T271,'04_PSA_INPUTS'!H7,'04_PSA_INPUTS'!I7)</f>
        <v>#NAME?</v>
      </c>
      <c r="E271" s="27" t="e">
        <f ca="1">_xludf.GAMMA.INV(U271,'04_PSA_INPUTS'!H8,'04_PSA_INPUTS'!I8)</f>
        <v>#NAME?</v>
      </c>
      <c r="F271" s="27" t="e">
        <f ca="1">_xludf.GAMMA.INV(V271,'04_PSA_INPUTS'!H9,'04_PSA_INPUTS'!I9)</f>
        <v>#NAME?</v>
      </c>
      <c r="G271" s="23" t="e">
        <f ca="1">_xludf.BETA.INV(W271,'04_PSA_INPUTS'!H10,'04_PSA_INPUTS'!I10)</f>
        <v>#NAME?</v>
      </c>
      <c r="H271" s="23" t="e">
        <f ca="1">_xludf.BETA.INV(X271,'04_PSA_INPUTS'!H11,'04_PSA_INPUTS'!I11)</f>
        <v>#NAME?</v>
      </c>
      <c r="I271" s="27" t="e">
        <f ca="1">D271+B271*F271+'01_INPUTS'!B20</f>
        <v>#NAME?</v>
      </c>
      <c r="J271" s="27" t="e">
        <f ca="1">E271+C271*F271+'01_INPUTS'!B21</f>
        <v>#NAME?</v>
      </c>
      <c r="K271" s="27" t="e">
        <f t="shared" ca="1" si="24"/>
        <v>#NAME?</v>
      </c>
      <c r="L271" s="23" t="e">
        <f t="shared" ca="1" si="25"/>
        <v>#NAME?</v>
      </c>
      <c r="M271" s="23" t="e">
        <f t="shared" ca="1" si="26"/>
        <v>#NAME?</v>
      </c>
      <c r="N271" s="23" t="e">
        <f t="shared" ca="1" si="27"/>
        <v>#NAME?</v>
      </c>
      <c r="O271" s="27" t="e">
        <f t="shared" ca="1" si="28"/>
        <v>#NAME?</v>
      </c>
      <c r="P271" s="27" t="e">
        <f ca="1">'01_INPUTS'!B9*N271-K271</f>
        <v>#NAME?</v>
      </c>
      <c r="Q271" s="1" t="e">
        <f t="shared" ca="1" si="29"/>
        <v>#NAME?</v>
      </c>
      <c r="R271" s="28">
        <v>0.60841245367191732</v>
      </c>
      <c r="S271" s="28">
        <v>0.21939000044949353</v>
      </c>
      <c r="T271" s="28">
        <v>0.21493937447667122</v>
      </c>
      <c r="U271" s="28">
        <v>0.72592438594438136</v>
      </c>
      <c r="V271" s="28">
        <v>0.49626090214587748</v>
      </c>
      <c r="W271" s="28">
        <v>0.71408876986242831</v>
      </c>
      <c r="X271" s="28">
        <v>0.70580242341384292</v>
      </c>
    </row>
    <row r="272" spans="1:24" ht="13.9">
      <c r="A272" s="1">
        <v>271</v>
      </c>
      <c r="B272" s="23" t="e">
        <f ca="1">_xludf.BETA.INV(R272,'04_PSA_INPUTS'!H5,'04_PSA_INPUTS'!I5)</f>
        <v>#NAME?</v>
      </c>
      <c r="C272" s="23" t="e">
        <f ca="1">_xludf.BETA.INV(S272,'04_PSA_INPUTS'!H6,'04_PSA_INPUTS'!I6)</f>
        <v>#NAME?</v>
      </c>
      <c r="D272" s="27" t="e">
        <f ca="1">_xludf.GAMMA.INV(T272,'04_PSA_INPUTS'!H7,'04_PSA_INPUTS'!I7)</f>
        <v>#NAME?</v>
      </c>
      <c r="E272" s="27" t="e">
        <f ca="1">_xludf.GAMMA.INV(U272,'04_PSA_INPUTS'!H8,'04_PSA_INPUTS'!I8)</f>
        <v>#NAME?</v>
      </c>
      <c r="F272" s="27" t="e">
        <f ca="1">_xludf.GAMMA.INV(V272,'04_PSA_INPUTS'!H9,'04_PSA_INPUTS'!I9)</f>
        <v>#NAME?</v>
      </c>
      <c r="G272" s="23" t="e">
        <f ca="1">_xludf.BETA.INV(W272,'04_PSA_INPUTS'!H10,'04_PSA_INPUTS'!I10)</f>
        <v>#NAME?</v>
      </c>
      <c r="H272" s="23" t="e">
        <f ca="1">_xludf.BETA.INV(X272,'04_PSA_INPUTS'!H11,'04_PSA_INPUTS'!I11)</f>
        <v>#NAME?</v>
      </c>
      <c r="I272" s="27" t="e">
        <f ca="1">D272+B272*F272+'01_INPUTS'!B20</f>
        <v>#NAME?</v>
      </c>
      <c r="J272" s="27" t="e">
        <f ca="1">E272+C272*F272+'01_INPUTS'!B21</f>
        <v>#NAME?</v>
      </c>
      <c r="K272" s="27" t="e">
        <f t="shared" ca="1" si="24"/>
        <v>#NAME?</v>
      </c>
      <c r="L272" s="23" t="e">
        <f t="shared" ca="1" si="25"/>
        <v>#NAME?</v>
      </c>
      <c r="M272" s="23" t="e">
        <f t="shared" ca="1" si="26"/>
        <v>#NAME?</v>
      </c>
      <c r="N272" s="23" t="e">
        <f t="shared" ca="1" si="27"/>
        <v>#NAME?</v>
      </c>
      <c r="O272" s="27" t="e">
        <f t="shared" ca="1" si="28"/>
        <v>#NAME?</v>
      </c>
      <c r="P272" s="27" t="e">
        <f ca="1">'01_INPUTS'!B9*N272-K272</f>
        <v>#NAME?</v>
      </c>
      <c r="Q272" s="1" t="e">
        <f t="shared" ca="1" si="29"/>
        <v>#NAME?</v>
      </c>
      <c r="R272" s="28">
        <v>0.49458004045300186</v>
      </c>
      <c r="S272" s="28">
        <v>0.13249297044239938</v>
      </c>
      <c r="T272" s="28">
        <v>0.24427094426937401</v>
      </c>
      <c r="U272" s="28">
        <v>0.28539156238548458</v>
      </c>
      <c r="V272" s="28">
        <v>0.71996574103832245</v>
      </c>
      <c r="W272" s="28">
        <v>0.18992113857530057</v>
      </c>
      <c r="X272" s="28">
        <v>0.71823071083053946</v>
      </c>
    </row>
    <row r="273" spans="1:24" ht="13.9">
      <c r="A273" s="1">
        <v>272</v>
      </c>
      <c r="B273" s="23" t="e">
        <f ca="1">_xludf.BETA.INV(R273,'04_PSA_INPUTS'!H5,'04_PSA_INPUTS'!I5)</f>
        <v>#NAME?</v>
      </c>
      <c r="C273" s="23" t="e">
        <f ca="1">_xludf.BETA.INV(S273,'04_PSA_INPUTS'!H6,'04_PSA_INPUTS'!I6)</f>
        <v>#NAME?</v>
      </c>
      <c r="D273" s="27" t="e">
        <f ca="1">_xludf.GAMMA.INV(T273,'04_PSA_INPUTS'!H7,'04_PSA_INPUTS'!I7)</f>
        <v>#NAME?</v>
      </c>
      <c r="E273" s="27" t="e">
        <f ca="1">_xludf.GAMMA.INV(U273,'04_PSA_INPUTS'!H8,'04_PSA_INPUTS'!I8)</f>
        <v>#NAME?</v>
      </c>
      <c r="F273" s="27" t="e">
        <f ca="1">_xludf.GAMMA.INV(V273,'04_PSA_INPUTS'!H9,'04_PSA_INPUTS'!I9)</f>
        <v>#NAME?</v>
      </c>
      <c r="G273" s="23" t="e">
        <f ca="1">_xludf.BETA.INV(W273,'04_PSA_INPUTS'!H10,'04_PSA_INPUTS'!I10)</f>
        <v>#NAME?</v>
      </c>
      <c r="H273" s="23" t="e">
        <f ca="1">_xludf.BETA.INV(X273,'04_PSA_INPUTS'!H11,'04_PSA_INPUTS'!I11)</f>
        <v>#NAME?</v>
      </c>
      <c r="I273" s="27" t="e">
        <f ca="1">D273+B273*F273+'01_INPUTS'!B20</f>
        <v>#NAME?</v>
      </c>
      <c r="J273" s="27" t="e">
        <f ca="1">E273+C273*F273+'01_INPUTS'!B21</f>
        <v>#NAME?</v>
      </c>
      <c r="K273" s="27" t="e">
        <f t="shared" ca="1" si="24"/>
        <v>#NAME?</v>
      </c>
      <c r="L273" s="23" t="e">
        <f t="shared" ca="1" si="25"/>
        <v>#NAME?</v>
      </c>
      <c r="M273" s="23" t="e">
        <f t="shared" ca="1" si="26"/>
        <v>#NAME?</v>
      </c>
      <c r="N273" s="23" t="e">
        <f t="shared" ca="1" si="27"/>
        <v>#NAME?</v>
      </c>
      <c r="O273" s="27" t="e">
        <f t="shared" ca="1" si="28"/>
        <v>#NAME?</v>
      </c>
      <c r="P273" s="27" t="e">
        <f ca="1">'01_INPUTS'!B9*N273-K273</f>
        <v>#NAME?</v>
      </c>
      <c r="Q273" s="1" t="e">
        <f t="shared" ca="1" si="29"/>
        <v>#NAME?</v>
      </c>
      <c r="R273" s="28">
        <v>0.26149351359345019</v>
      </c>
      <c r="S273" s="28">
        <v>0.16098467539995909</v>
      </c>
      <c r="T273" s="28">
        <v>0.26243957132101059</v>
      </c>
      <c r="U273" s="28">
        <v>0.65056323818862438</v>
      </c>
      <c r="V273" s="28">
        <v>0.96783217461779714</v>
      </c>
      <c r="W273" s="28">
        <v>0.2474892099853605</v>
      </c>
      <c r="X273" s="28">
        <v>0.61732731084339321</v>
      </c>
    </row>
    <row r="274" spans="1:24" ht="13.9">
      <c r="A274" s="1">
        <v>273</v>
      </c>
      <c r="B274" s="23" t="e">
        <f ca="1">_xludf.BETA.INV(R274,'04_PSA_INPUTS'!H5,'04_PSA_INPUTS'!I5)</f>
        <v>#NAME?</v>
      </c>
      <c r="C274" s="23" t="e">
        <f ca="1">_xludf.BETA.INV(S274,'04_PSA_INPUTS'!H6,'04_PSA_INPUTS'!I6)</f>
        <v>#NAME?</v>
      </c>
      <c r="D274" s="27" t="e">
        <f ca="1">_xludf.GAMMA.INV(T274,'04_PSA_INPUTS'!H7,'04_PSA_INPUTS'!I7)</f>
        <v>#NAME?</v>
      </c>
      <c r="E274" s="27" t="e">
        <f ca="1">_xludf.GAMMA.INV(U274,'04_PSA_INPUTS'!H8,'04_PSA_INPUTS'!I8)</f>
        <v>#NAME?</v>
      </c>
      <c r="F274" s="27" t="e">
        <f ca="1">_xludf.GAMMA.INV(V274,'04_PSA_INPUTS'!H9,'04_PSA_INPUTS'!I9)</f>
        <v>#NAME?</v>
      </c>
      <c r="G274" s="23" t="e">
        <f ca="1">_xludf.BETA.INV(W274,'04_PSA_INPUTS'!H10,'04_PSA_INPUTS'!I10)</f>
        <v>#NAME?</v>
      </c>
      <c r="H274" s="23" t="e">
        <f ca="1">_xludf.BETA.INV(X274,'04_PSA_INPUTS'!H11,'04_PSA_INPUTS'!I11)</f>
        <v>#NAME?</v>
      </c>
      <c r="I274" s="27" t="e">
        <f ca="1">D274+B274*F274+'01_INPUTS'!B20</f>
        <v>#NAME?</v>
      </c>
      <c r="J274" s="27" t="e">
        <f ca="1">E274+C274*F274+'01_INPUTS'!B21</f>
        <v>#NAME?</v>
      </c>
      <c r="K274" s="27" t="e">
        <f t="shared" ca="1" si="24"/>
        <v>#NAME?</v>
      </c>
      <c r="L274" s="23" t="e">
        <f t="shared" ca="1" si="25"/>
        <v>#NAME?</v>
      </c>
      <c r="M274" s="23" t="e">
        <f t="shared" ca="1" si="26"/>
        <v>#NAME?</v>
      </c>
      <c r="N274" s="23" t="e">
        <f t="shared" ca="1" si="27"/>
        <v>#NAME?</v>
      </c>
      <c r="O274" s="27" t="e">
        <f t="shared" ca="1" si="28"/>
        <v>#NAME?</v>
      </c>
      <c r="P274" s="27" t="e">
        <f ca="1">'01_INPUTS'!B9*N274-K274</f>
        <v>#NAME?</v>
      </c>
      <c r="Q274" s="1" t="e">
        <f t="shared" ca="1" si="29"/>
        <v>#NAME?</v>
      </c>
      <c r="R274" s="28">
        <v>0.95491063524968922</v>
      </c>
      <c r="S274" s="28">
        <v>0.15142498491331935</v>
      </c>
      <c r="T274" s="28">
        <v>0.17624101717956364</v>
      </c>
      <c r="U274" s="28">
        <v>0.74300475884228945</v>
      </c>
      <c r="V274" s="28">
        <v>0.28383310278877616</v>
      </c>
      <c r="W274" s="28">
        <v>0.58044822118245065</v>
      </c>
      <c r="X274" s="28">
        <v>0.2565664779394865</v>
      </c>
    </row>
    <row r="275" spans="1:24" ht="13.9">
      <c r="A275" s="1">
        <v>274</v>
      </c>
      <c r="B275" s="23" t="e">
        <f ca="1">_xludf.BETA.INV(R275,'04_PSA_INPUTS'!H5,'04_PSA_INPUTS'!I5)</f>
        <v>#NAME?</v>
      </c>
      <c r="C275" s="23" t="e">
        <f ca="1">_xludf.BETA.INV(S275,'04_PSA_INPUTS'!H6,'04_PSA_INPUTS'!I6)</f>
        <v>#NAME?</v>
      </c>
      <c r="D275" s="27" t="e">
        <f ca="1">_xludf.GAMMA.INV(T275,'04_PSA_INPUTS'!H7,'04_PSA_INPUTS'!I7)</f>
        <v>#NAME?</v>
      </c>
      <c r="E275" s="27" t="e">
        <f ca="1">_xludf.GAMMA.INV(U275,'04_PSA_INPUTS'!H8,'04_PSA_INPUTS'!I8)</f>
        <v>#NAME?</v>
      </c>
      <c r="F275" s="27" t="e">
        <f ca="1">_xludf.GAMMA.INV(V275,'04_PSA_INPUTS'!H9,'04_PSA_INPUTS'!I9)</f>
        <v>#NAME?</v>
      </c>
      <c r="G275" s="23" t="e">
        <f ca="1">_xludf.BETA.INV(W275,'04_PSA_INPUTS'!H10,'04_PSA_INPUTS'!I10)</f>
        <v>#NAME?</v>
      </c>
      <c r="H275" s="23" t="e">
        <f ca="1">_xludf.BETA.INV(X275,'04_PSA_INPUTS'!H11,'04_PSA_INPUTS'!I11)</f>
        <v>#NAME?</v>
      </c>
      <c r="I275" s="27" t="e">
        <f ca="1">D275+B275*F275+'01_INPUTS'!B20</f>
        <v>#NAME?</v>
      </c>
      <c r="J275" s="27" t="e">
        <f ca="1">E275+C275*F275+'01_INPUTS'!B21</f>
        <v>#NAME?</v>
      </c>
      <c r="K275" s="27" t="e">
        <f t="shared" ca="1" si="24"/>
        <v>#NAME?</v>
      </c>
      <c r="L275" s="23" t="e">
        <f t="shared" ca="1" si="25"/>
        <v>#NAME?</v>
      </c>
      <c r="M275" s="23" t="e">
        <f t="shared" ca="1" si="26"/>
        <v>#NAME?</v>
      </c>
      <c r="N275" s="23" t="e">
        <f t="shared" ca="1" si="27"/>
        <v>#NAME?</v>
      </c>
      <c r="O275" s="27" t="e">
        <f t="shared" ca="1" si="28"/>
        <v>#NAME?</v>
      </c>
      <c r="P275" s="27" t="e">
        <f ca="1">'01_INPUTS'!B9*N275-K275</f>
        <v>#NAME?</v>
      </c>
      <c r="Q275" s="1" t="e">
        <f t="shared" ca="1" si="29"/>
        <v>#NAME?</v>
      </c>
      <c r="R275" s="28">
        <v>0.81788024352863431</v>
      </c>
      <c r="S275" s="28">
        <v>2.1252721548080444E-2</v>
      </c>
      <c r="T275" s="28">
        <v>0.54273677058517933</v>
      </c>
      <c r="U275" s="28">
        <v>0.19359331647865474</v>
      </c>
      <c r="V275" s="28">
        <v>0.3815381838940084</v>
      </c>
      <c r="W275" s="28">
        <v>9.9184352438896894E-2</v>
      </c>
      <c r="X275" s="28">
        <v>0.78327770298346877</v>
      </c>
    </row>
    <row r="276" spans="1:24" ht="13.9">
      <c r="A276" s="1">
        <v>275</v>
      </c>
      <c r="B276" s="23" t="e">
        <f ca="1">_xludf.BETA.INV(R276,'04_PSA_INPUTS'!H5,'04_PSA_INPUTS'!I5)</f>
        <v>#NAME?</v>
      </c>
      <c r="C276" s="23" t="e">
        <f ca="1">_xludf.BETA.INV(S276,'04_PSA_INPUTS'!H6,'04_PSA_INPUTS'!I6)</f>
        <v>#NAME?</v>
      </c>
      <c r="D276" s="27" t="e">
        <f ca="1">_xludf.GAMMA.INV(T276,'04_PSA_INPUTS'!H7,'04_PSA_INPUTS'!I7)</f>
        <v>#NAME?</v>
      </c>
      <c r="E276" s="27" t="e">
        <f ca="1">_xludf.GAMMA.INV(U276,'04_PSA_INPUTS'!H8,'04_PSA_INPUTS'!I8)</f>
        <v>#NAME?</v>
      </c>
      <c r="F276" s="27" t="e">
        <f ca="1">_xludf.GAMMA.INV(V276,'04_PSA_INPUTS'!H9,'04_PSA_INPUTS'!I9)</f>
        <v>#NAME?</v>
      </c>
      <c r="G276" s="23" t="e">
        <f ca="1">_xludf.BETA.INV(W276,'04_PSA_INPUTS'!H10,'04_PSA_INPUTS'!I10)</f>
        <v>#NAME?</v>
      </c>
      <c r="H276" s="23" t="e">
        <f ca="1">_xludf.BETA.INV(X276,'04_PSA_INPUTS'!H11,'04_PSA_INPUTS'!I11)</f>
        <v>#NAME?</v>
      </c>
      <c r="I276" s="27" t="e">
        <f ca="1">D276+B276*F276+'01_INPUTS'!B20</f>
        <v>#NAME?</v>
      </c>
      <c r="J276" s="27" t="e">
        <f ca="1">E276+C276*F276+'01_INPUTS'!B21</f>
        <v>#NAME?</v>
      </c>
      <c r="K276" s="27" t="e">
        <f t="shared" ca="1" si="24"/>
        <v>#NAME?</v>
      </c>
      <c r="L276" s="23" t="e">
        <f t="shared" ca="1" si="25"/>
        <v>#NAME?</v>
      </c>
      <c r="M276" s="23" t="e">
        <f t="shared" ca="1" si="26"/>
        <v>#NAME?</v>
      </c>
      <c r="N276" s="23" t="e">
        <f t="shared" ca="1" si="27"/>
        <v>#NAME?</v>
      </c>
      <c r="O276" s="27" t="e">
        <f t="shared" ca="1" si="28"/>
        <v>#NAME?</v>
      </c>
      <c r="P276" s="27" t="e">
        <f ca="1">'01_INPUTS'!B9*N276-K276</f>
        <v>#NAME?</v>
      </c>
      <c r="Q276" s="1" t="e">
        <f t="shared" ca="1" si="29"/>
        <v>#NAME?</v>
      </c>
      <c r="R276" s="28">
        <v>0.22269551316276193</v>
      </c>
      <c r="S276" s="28">
        <v>0.1503825297113508</v>
      </c>
      <c r="T276" s="28">
        <v>0.73205654858611524</v>
      </c>
      <c r="U276" s="28">
        <v>0.97970591462217271</v>
      </c>
      <c r="V276" s="28">
        <v>0.21183777251280844</v>
      </c>
      <c r="W276" s="28">
        <v>0.96806299011223018</v>
      </c>
      <c r="X276" s="28">
        <v>0.94972127745859325</v>
      </c>
    </row>
    <row r="277" spans="1:24" ht="13.9">
      <c r="A277" s="1">
        <v>276</v>
      </c>
      <c r="B277" s="23" t="e">
        <f ca="1">_xludf.BETA.INV(R277,'04_PSA_INPUTS'!H5,'04_PSA_INPUTS'!I5)</f>
        <v>#NAME?</v>
      </c>
      <c r="C277" s="23" t="e">
        <f ca="1">_xludf.BETA.INV(S277,'04_PSA_INPUTS'!H6,'04_PSA_INPUTS'!I6)</f>
        <v>#NAME?</v>
      </c>
      <c r="D277" s="27" t="e">
        <f ca="1">_xludf.GAMMA.INV(T277,'04_PSA_INPUTS'!H7,'04_PSA_INPUTS'!I7)</f>
        <v>#NAME?</v>
      </c>
      <c r="E277" s="27" t="e">
        <f ca="1">_xludf.GAMMA.INV(U277,'04_PSA_INPUTS'!H8,'04_PSA_INPUTS'!I8)</f>
        <v>#NAME?</v>
      </c>
      <c r="F277" s="27" t="e">
        <f ca="1">_xludf.GAMMA.INV(V277,'04_PSA_INPUTS'!H9,'04_PSA_INPUTS'!I9)</f>
        <v>#NAME?</v>
      </c>
      <c r="G277" s="23" t="e">
        <f ca="1">_xludf.BETA.INV(W277,'04_PSA_INPUTS'!H10,'04_PSA_INPUTS'!I10)</f>
        <v>#NAME?</v>
      </c>
      <c r="H277" s="23" t="e">
        <f ca="1">_xludf.BETA.INV(X277,'04_PSA_INPUTS'!H11,'04_PSA_INPUTS'!I11)</f>
        <v>#NAME?</v>
      </c>
      <c r="I277" s="27" t="e">
        <f ca="1">D277+B277*F277+'01_INPUTS'!B20</f>
        <v>#NAME?</v>
      </c>
      <c r="J277" s="27" t="e">
        <f ca="1">E277+C277*F277+'01_INPUTS'!B21</f>
        <v>#NAME?</v>
      </c>
      <c r="K277" s="27" t="e">
        <f t="shared" ca="1" si="24"/>
        <v>#NAME?</v>
      </c>
      <c r="L277" s="23" t="e">
        <f t="shared" ca="1" si="25"/>
        <v>#NAME?</v>
      </c>
      <c r="M277" s="23" t="e">
        <f t="shared" ca="1" si="26"/>
        <v>#NAME?</v>
      </c>
      <c r="N277" s="23" t="e">
        <f t="shared" ca="1" si="27"/>
        <v>#NAME?</v>
      </c>
      <c r="O277" s="27" t="e">
        <f t="shared" ca="1" si="28"/>
        <v>#NAME?</v>
      </c>
      <c r="P277" s="27" t="e">
        <f ca="1">'01_INPUTS'!B9*N277-K277</f>
        <v>#NAME?</v>
      </c>
      <c r="Q277" s="1" t="e">
        <f t="shared" ca="1" si="29"/>
        <v>#NAME?</v>
      </c>
      <c r="R277" s="28">
        <v>0.64647152763791382</v>
      </c>
      <c r="S277" s="28">
        <v>0.24918247712776065</v>
      </c>
      <c r="T277" s="28">
        <v>0.74827383295632899</v>
      </c>
      <c r="U277" s="28">
        <v>0.26179537572897971</v>
      </c>
      <c r="V277" s="28">
        <v>9.1956815216690302E-2</v>
      </c>
      <c r="W277" s="28">
        <v>0.69792952062562108</v>
      </c>
      <c r="X277" s="28">
        <v>0.8054046262986958</v>
      </c>
    </row>
    <row r="278" spans="1:24" ht="13.9">
      <c r="A278" s="1">
        <v>277</v>
      </c>
      <c r="B278" s="23" t="e">
        <f ca="1">_xludf.BETA.INV(R278,'04_PSA_INPUTS'!H5,'04_PSA_INPUTS'!I5)</f>
        <v>#NAME?</v>
      </c>
      <c r="C278" s="23" t="e">
        <f ca="1">_xludf.BETA.INV(S278,'04_PSA_INPUTS'!H6,'04_PSA_INPUTS'!I6)</f>
        <v>#NAME?</v>
      </c>
      <c r="D278" s="27" t="e">
        <f ca="1">_xludf.GAMMA.INV(T278,'04_PSA_INPUTS'!H7,'04_PSA_INPUTS'!I7)</f>
        <v>#NAME?</v>
      </c>
      <c r="E278" s="27" t="e">
        <f ca="1">_xludf.GAMMA.INV(U278,'04_PSA_INPUTS'!H8,'04_PSA_INPUTS'!I8)</f>
        <v>#NAME?</v>
      </c>
      <c r="F278" s="27" t="e">
        <f ca="1">_xludf.GAMMA.INV(V278,'04_PSA_INPUTS'!H9,'04_PSA_INPUTS'!I9)</f>
        <v>#NAME?</v>
      </c>
      <c r="G278" s="23" t="e">
        <f ca="1">_xludf.BETA.INV(W278,'04_PSA_INPUTS'!H10,'04_PSA_INPUTS'!I10)</f>
        <v>#NAME?</v>
      </c>
      <c r="H278" s="23" t="e">
        <f ca="1">_xludf.BETA.INV(X278,'04_PSA_INPUTS'!H11,'04_PSA_INPUTS'!I11)</f>
        <v>#NAME?</v>
      </c>
      <c r="I278" s="27" t="e">
        <f ca="1">D278+B278*F278+'01_INPUTS'!B20</f>
        <v>#NAME?</v>
      </c>
      <c r="J278" s="27" t="e">
        <f ca="1">E278+C278*F278+'01_INPUTS'!B21</f>
        <v>#NAME?</v>
      </c>
      <c r="K278" s="27" t="e">
        <f t="shared" ca="1" si="24"/>
        <v>#NAME?</v>
      </c>
      <c r="L278" s="23" t="e">
        <f t="shared" ca="1" si="25"/>
        <v>#NAME?</v>
      </c>
      <c r="M278" s="23" t="e">
        <f t="shared" ca="1" si="26"/>
        <v>#NAME?</v>
      </c>
      <c r="N278" s="23" t="e">
        <f t="shared" ca="1" si="27"/>
        <v>#NAME?</v>
      </c>
      <c r="O278" s="27" t="e">
        <f t="shared" ca="1" si="28"/>
        <v>#NAME?</v>
      </c>
      <c r="P278" s="27" t="e">
        <f ca="1">'01_INPUTS'!B9*N278-K278</f>
        <v>#NAME?</v>
      </c>
      <c r="Q278" s="1" t="e">
        <f t="shared" ca="1" si="29"/>
        <v>#NAME?</v>
      </c>
      <c r="R278" s="28">
        <v>0.15963879134505987</v>
      </c>
      <c r="S278" s="28">
        <v>0.76443498861044645</v>
      </c>
      <c r="T278" s="28">
        <v>0.47275009052827954</v>
      </c>
      <c r="U278" s="28">
        <v>0.95143952243961394</v>
      </c>
      <c r="V278" s="28">
        <v>0.99712548521347344</v>
      </c>
      <c r="W278" s="28">
        <v>0.66109752259217203</v>
      </c>
      <c r="X278" s="28">
        <v>0.95097715896554291</v>
      </c>
    </row>
    <row r="279" spans="1:24" ht="13.9">
      <c r="A279" s="1">
        <v>278</v>
      </c>
      <c r="B279" s="23" t="e">
        <f ca="1">_xludf.BETA.INV(R279,'04_PSA_INPUTS'!H5,'04_PSA_INPUTS'!I5)</f>
        <v>#NAME?</v>
      </c>
      <c r="C279" s="23" t="e">
        <f ca="1">_xludf.BETA.INV(S279,'04_PSA_INPUTS'!H6,'04_PSA_INPUTS'!I6)</f>
        <v>#NAME?</v>
      </c>
      <c r="D279" s="27" t="e">
        <f ca="1">_xludf.GAMMA.INV(T279,'04_PSA_INPUTS'!H7,'04_PSA_INPUTS'!I7)</f>
        <v>#NAME?</v>
      </c>
      <c r="E279" s="27" t="e">
        <f ca="1">_xludf.GAMMA.INV(U279,'04_PSA_INPUTS'!H8,'04_PSA_INPUTS'!I8)</f>
        <v>#NAME?</v>
      </c>
      <c r="F279" s="27" t="e">
        <f ca="1">_xludf.GAMMA.INV(V279,'04_PSA_INPUTS'!H9,'04_PSA_INPUTS'!I9)</f>
        <v>#NAME?</v>
      </c>
      <c r="G279" s="23" t="e">
        <f ca="1">_xludf.BETA.INV(W279,'04_PSA_INPUTS'!H10,'04_PSA_INPUTS'!I10)</f>
        <v>#NAME?</v>
      </c>
      <c r="H279" s="23" t="e">
        <f ca="1">_xludf.BETA.INV(X279,'04_PSA_INPUTS'!H11,'04_PSA_INPUTS'!I11)</f>
        <v>#NAME?</v>
      </c>
      <c r="I279" s="27" t="e">
        <f ca="1">D279+B279*F279+'01_INPUTS'!B20</f>
        <v>#NAME?</v>
      </c>
      <c r="J279" s="27" t="e">
        <f ca="1">E279+C279*F279+'01_INPUTS'!B21</f>
        <v>#NAME?</v>
      </c>
      <c r="K279" s="27" t="e">
        <f t="shared" ca="1" si="24"/>
        <v>#NAME?</v>
      </c>
      <c r="L279" s="23" t="e">
        <f t="shared" ca="1" si="25"/>
        <v>#NAME?</v>
      </c>
      <c r="M279" s="23" t="e">
        <f t="shared" ca="1" si="26"/>
        <v>#NAME?</v>
      </c>
      <c r="N279" s="23" t="e">
        <f t="shared" ca="1" si="27"/>
        <v>#NAME?</v>
      </c>
      <c r="O279" s="27" t="e">
        <f t="shared" ca="1" si="28"/>
        <v>#NAME?</v>
      </c>
      <c r="P279" s="27" t="e">
        <f ca="1">'01_INPUTS'!B9*N279-K279</f>
        <v>#NAME?</v>
      </c>
      <c r="Q279" s="1" t="e">
        <f t="shared" ca="1" si="29"/>
        <v>#NAME?</v>
      </c>
      <c r="R279" s="28">
        <v>8.6356818210333586E-3</v>
      </c>
      <c r="S279" s="28">
        <v>0.72461880650371313</v>
      </c>
      <c r="T279" s="28">
        <v>0.88846526038832963</v>
      </c>
      <c r="U279" s="28">
        <v>0.45005728071555495</v>
      </c>
      <c r="V279" s="28">
        <v>0.60330157727003098</v>
      </c>
      <c r="W279" s="28">
        <v>0.86262874002568424</v>
      </c>
      <c r="X279" s="28">
        <v>0.15540895261801779</v>
      </c>
    </row>
    <row r="280" spans="1:24" ht="13.9">
      <c r="A280" s="1">
        <v>279</v>
      </c>
      <c r="B280" s="23" t="e">
        <f ca="1">_xludf.BETA.INV(R280,'04_PSA_INPUTS'!H5,'04_PSA_INPUTS'!I5)</f>
        <v>#NAME?</v>
      </c>
      <c r="C280" s="23" t="e">
        <f ca="1">_xludf.BETA.INV(S280,'04_PSA_INPUTS'!H6,'04_PSA_INPUTS'!I6)</f>
        <v>#NAME?</v>
      </c>
      <c r="D280" s="27" t="e">
        <f ca="1">_xludf.GAMMA.INV(T280,'04_PSA_INPUTS'!H7,'04_PSA_INPUTS'!I7)</f>
        <v>#NAME?</v>
      </c>
      <c r="E280" s="27" t="e">
        <f ca="1">_xludf.GAMMA.INV(U280,'04_PSA_INPUTS'!H8,'04_PSA_INPUTS'!I8)</f>
        <v>#NAME?</v>
      </c>
      <c r="F280" s="27" t="e">
        <f ca="1">_xludf.GAMMA.INV(V280,'04_PSA_INPUTS'!H9,'04_PSA_INPUTS'!I9)</f>
        <v>#NAME?</v>
      </c>
      <c r="G280" s="23" t="e">
        <f ca="1">_xludf.BETA.INV(W280,'04_PSA_INPUTS'!H10,'04_PSA_INPUTS'!I10)</f>
        <v>#NAME?</v>
      </c>
      <c r="H280" s="23" t="e">
        <f ca="1">_xludf.BETA.INV(X280,'04_PSA_INPUTS'!H11,'04_PSA_INPUTS'!I11)</f>
        <v>#NAME?</v>
      </c>
      <c r="I280" s="27" t="e">
        <f ca="1">D280+B280*F280+'01_INPUTS'!B20</f>
        <v>#NAME?</v>
      </c>
      <c r="J280" s="27" t="e">
        <f ca="1">E280+C280*F280+'01_INPUTS'!B21</f>
        <v>#NAME?</v>
      </c>
      <c r="K280" s="27" t="e">
        <f t="shared" ca="1" si="24"/>
        <v>#NAME?</v>
      </c>
      <c r="L280" s="23" t="e">
        <f t="shared" ca="1" si="25"/>
        <v>#NAME?</v>
      </c>
      <c r="M280" s="23" t="e">
        <f t="shared" ca="1" si="26"/>
        <v>#NAME?</v>
      </c>
      <c r="N280" s="23" t="e">
        <f t="shared" ca="1" si="27"/>
        <v>#NAME?</v>
      </c>
      <c r="O280" s="27" t="e">
        <f t="shared" ca="1" si="28"/>
        <v>#NAME?</v>
      </c>
      <c r="P280" s="27" t="e">
        <f ca="1">'01_INPUTS'!B9*N280-K280</f>
        <v>#NAME?</v>
      </c>
      <c r="Q280" s="1" t="e">
        <f t="shared" ca="1" si="29"/>
        <v>#NAME?</v>
      </c>
      <c r="R280" s="28">
        <v>0.51330084423534572</v>
      </c>
      <c r="S280" s="28">
        <v>0.6080979285761714</v>
      </c>
      <c r="T280" s="28">
        <v>0.1305088612716645</v>
      </c>
      <c r="U280" s="28">
        <v>0.40221077855676413</v>
      </c>
      <c r="V280" s="28">
        <v>0.83322113705798984</v>
      </c>
      <c r="W280" s="28">
        <v>0.22372108488343656</v>
      </c>
      <c r="X280" s="28">
        <v>0.7237251210026443</v>
      </c>
    </row>
    <row r="281" spans="1:24" ht="13.9">
      <c r="A281" s="1">
        <v>280</v>
      </c>
      <c r="B281" s="23" t="e">
        <f ca="1">_xludf.BETA.INV(R281,'04_PSA_INPUTS'!H5,'04_PSA_INPUTS'!I5)</f>
        <v>#NAME?</v>
      </c>
      <c r="C281" s="23" t="e">
        <f ca="1">_xludf.BETA.INV(S281,'04_PSA_INPUTS'!H6,'04_PSA_INPUTS'!I6)</f>
        <v>#NAME?</v>
      </c>
      <c r="D281" s="27" t="e">
        <f ca="1">_xludf.GAMMA.INV(T281,'04_PSA_INPUTS'!H7,'04_PSA_INPUTS'!I7)</f>
        <v>#NAME?</v>
      </c>
      <c r="E281" s="27" t="e">
        <f ca="1">_xludf.GAMMA.INV(U281,'04_PSA_INPUTS'!H8,'04_PSA_INPUTS'!I8)</f>
        <v>#NAME?</v>
      </c>
      <c r="F281" s="27" t="e">
        <f ca="1">_xludf.GAMMA.INV(V281,'04_PSA_INPUTS'!H9,'04_PSA_INPUTS'!I9)</f>
        <v>#NAME?</v>
      </c>
      <c r="G281" s="23" t="e">
        <f ca="1">_xludf.BETA.INV(W281,'04_PSA_INPUTS'!H10,'04_PSA_INPUTS'!I10)</f>
        <v>#NAME?</v>
      </c>
      <c r="H281" s="23" t="e">
        <f ca="1">_xludf.BETA.INV(X281,'04_PSA_INPUTS'!H11,'04_PSA_INPUTS'!I11)</f>
        <v>#NAME?</v>
      </c>
      <c r="I281" s="27" t="e">
        <f ca="1">D281+B281*F281+'01_INPUTS'!B20</f>
        <v>#NAME?</v>
      </c>
      <c r="J281" s="27" t="e">
        <f ca="1">E281+C281*F281+'01_INPUTS'!B21</f>
        <v>#NAME?</v>
      </c>
      <c r="K281" s="27" t="e">
        <f t="shared" ca="1" si="24"/>
        <v>#NAME?</v>
      </c>
      <c r="L281" s="23" t="e">
        <f t="shared" ca="1" si="25"/>
        <v>#NAME?</v>
      </c>
      <c r="M281" s="23" t="e">
        <f t="shared" ca="1" si="26"/>
        <v>#NAME?</v>
      </c>
      <c r="N281" s="23" t="e">
        <f t="shared" ca="1" si="27"/>
        <v>#NAME?</v>
      </c>
      <c r="O281" s="27" t="e">
        <f t="shared" ca="1" si="28"/>
        <v>#NAME?</v>
      </c>
      <c r="P281" s="27" t="e">
        <f ca="1">'01_INPUTS'!B9*N281-K281</f>
        <v>#NAME?</v>
      </c>
      <c r="Q281" s="1" t="e">
        <f t="shared" ca="1" si="29"/>
        <v>#NAME?</v>
      </c>
      <c r="R281" s="28">
        <v>0.69116511847823858</v>
      </c>
      <c r="S281" s="28">
        <v>5.7704532518982887E-2</v>
      </c>
      <c r="T281" s="28">
        <v>0.35210990370251238</v>
      </c>
      <c r="U281" s="28">
        <v>0.99417689186520875</v>
      </c>
      <c r="V281" s="28">
        <v>1.7486790660768747E-2</v>
      </c>
      <c r="W281" s="28">
        <v>0.7797110159881413</v>
      </c>
      <c r="X281" s="28">
        <v>0.26148761366494</v>
      </c>
    </row>
    <row r="282" spans="1:24" ht="13.9">
      <c r="A282" s="1">
        <v>281</v>
      </c>
      <c r="B282" s="23" t="e">
        <f ca="1">_xludf.BETA.INV(R282,'04_PSA_INPUTS'!H5,'04_PSA_INPUTS'!I5)</f>
        <v>#NAME?</v>
      </c>
      <c r="C282" s="23" t="e">
        <f ca="1">_xludf.BETA.INV(S282,'04_PSA_INPUTS'!H6,'04_PSA_INPUTS'!I6)</f>
        <v>#NAME?</v>
      </c>
      <c r="D282" s="27" t="e">
        <f ca="1">_xludf.GAMMA.INV(T282,'04_PSA_INPUTS'!H7,'04_PSA_INPUTS'!I7)</f>
        <v>#NAME?</v>
      </c>
      <c r="E282" s="27" t="e">
        <f ca="1">_xludf.GAMMA.INV(U282,'04_PSA_INPUTS'!H8,'04_PSA_INPUTS'!I8)</f>
        <v>#NAME?</v>
      </c>
      <c r="F282" s="27" t="e">
        <f ca="1">_xludf.GAMMA.INV(V282,'04_PSA_INPUTS'!H9,'04_PSA_INPUTS'!I9)</f>
        <v>#NAME?</v>
      </c>
      <c r="G282" s="23" t="e">
        <f ca="1">_xludf.BETA.INV(W282,'04_PSA_INPUTS'!H10,'04_PSA_INPUTS'!I10)</f>
        <v>#NAME?</v>
      </c>
      <c r="H282" s="23" t="e">
        <f ca="1">_xludf.BETA.INV(X282,'04_PSA_INPUTS'!H11,'04_PSA_INPUTS'!I11)</f>
        <v>#NAME?</v>
      </c>
      <c r="I282" s="27" t="e">
        <f ca="1">D282+B282*F282+'01_INPUTS'!B20</f>
        <v>#NAME?</v>
      </c>
      <c r="J282" s="27" t="e">
        <f ca="1">E282+C282*F282+'01_INPUTS'!B21</f>
        <v>#NAME?</v>
      </c>
      <c r="K282" s="27" t="e">
        <f t="shared" ca="1" si="24"/>
        <v>#NAME?</v>
      </c>
      <c r="L282" s="23" t="e">
        <f t="shared" ca="1" si="25"/>
        <v>#NAME?</v>
      </c>
      <c r="M282" s="23" t="e">
        <f t="shared" ca="1" si="26"/>
        <v>#NAME?</v>
      </c>
      <c r="N282" s="23" t="e">
        <f t="shared" ca="1" si="27"/>
        <v>#NAME?</v>
      </c>
      <c r="O282" s="27" t="e">
        <f t="shared" ca="1" si="28"/>
        <v>#NAME?</v>
      </c>
      <c r="P282" s="27" t="e">
        <f ca="1">'01_INPUTS'!B9*N282-K282</f>
        <v>#NAME?</v>
      </c>
      <c r="Q282" s="1" t="e">
        <f t="shared" ca="1" si="29"/>
        <v>#NAME?</v>
      </c>
      <c r="R282" s="28">
        <v>0.27786567900329828</v>
      </c>
      <c r="S282" s="28">
        <v>9.9307116121053696E-2</v>
      </c>
      <c r="T282" s="28">
        <v>0.46897886670194566</v>
      </c>
      <c r="U282" s="28">
        <v>0.77518745185807347</v>
      </c>
      <c r="V282" s="28">
        <v>0.85770326131023467</v>
      </c>
      <c r="W282" s="28">
        <v>0.95463502919301391</v>
      </c>
      <c r="X282" s="28">
        <v>0.80736616090871394</v>
      </c>
    </row>
    <row r="283" spans="1:24" ht="13.9">
      <c r="A283" s="1">
        <v>282</v>
      </c>
      <c r="B283" s="23" t="e">
        <f ca="1">_xludf.BETA.INV(R283,'04_PSA_INPUTS'!H5,'04_PSA_INPUTS'!I5)</f>
        <v>#NAME?</v>
      </c>
      <c r="C283" s="23" t="e">
        <f ca="1">_xludf.BETA.INV(S283,'04_PSA_INPUTS'!H6,'04_PSA_INPUTS'!I6)</f>
        <v>#NAME?</v>
      </c>
      <c r="D283" s="27" t="e">
        <f ca="1">_xludf.GAMMA.INV(T283,'04_PSA_INPUTS'!H7,'04_PSA_INPUTS'!I7)</f>
        <v>#NAME?</v>
      </c>
      <c r="E283" s="27" t="e">
        <f ca="1">_xludf.GAMMA.INV(U283,'04_PSA_INPUTS'!H8,'04_PSA_INPUTS'!I8)</f>
        <v>#NAME?</v>
      </c>
      <c r="F283" s="27" t="e">
        <f ca="1">_xludf.GAMMA.INV(V283,'04_PSA_INPUTS'!H9,'04_PSA_INPUTS'!I9)</f>
        <v>#NAME?</v>
      </c>
      <c r="G283" s="23" t="e">
        <f ca="1">_xludf.BETA.INV(W283,'04_PSA_INPUTS'!H10,'04_PSA_INPUTS'!I10)</f>
        <v>#NAME?</v>
      </c>
      <c r="H283" s="23" t="e">
        <f ca="1">_xludf.BETA.INV(X283,'04_PSA_INPUTS'!H11,'04_PSA_INPUTS'!I11)</f>
        <v>#NAME?</v>
      </c>
      <c r="I283" s="27" t="e">
        <f ca="1">D283+B283*F283+'01_INPUTS'!B20</f>
        <v>#NAME?</v>
      </c>
      <c r="J283" s="27" t="e">
        <f ca="1">E283+C283*F283+'01_INPUTS'!B21</f>
        <v>#NAME?</v>
      </c>
      <c r="K283" s="27" t="e">
        <f t="shared" ca="1" si="24"/>
        <v>#NAME?</v>
      </c>
      <c r="L283" s="23" t="e">
        <f t="shared" ca="1" si="25"/>
        <v>#NAME?</v>
      </c>
      <c r="M283" s="23" t="e">
        <f t="shared" ca="1" si="26"/>
        <v>#NAME?</v>
      </c>
      <c r="N283" s="23" t="e">
        <f t="shared" ca="1" si="27"/>
        <v>#NAME?</v>
      </c>
      <c r="O283" s="27" t="e">
        <f t="shared" ca="1" si="28"/>
        <v>#NAME?</v>
      </c>
      <c r="P283" s="27" t="e">
        <f ca="1">'01_INPUTS'!B9*N283-K283</f>
        <v>#NAME?</v>
      </c>
      <c r="Q283" s="1" t="e">
        <f t="shared" ca="1" si="29"/>
        <v>#NAME?</v>
      </c>
      <c r="R283" s="28">
        <v>0.32702839025296271</v>
      </c>
      <c r="S283" s="28">
        <v>0.99465115275233984</v>
      </c>
      <c r="T283" s="28">
        <v>0.98955113650299609</v>
      </c>
      <c r="U283" s="28">
        <v>3.3651088830083609E-2</v>
      </c>
      <c r="V283" s="28">
        <v>0.26225673593580723</v>
      </c>
      <c r="W283" s="28">
        <v>1.3466693228110671E-2</v>
      </c>
      <c r="X283" s="28">
        <v>0.92986834072507918</v>
      </c>
    </row>
    <row r="284" spans="1:24" ht="13.9">
      <c r="A284" s="1">
        <v>283</v>
      </c>
      <c r="B284" s="23" t="e">
        <f ca="1">_xludf.BETA.INV(R284,'04_PSA_INPUTS'!H5,'04_PSA_INPUTS'!I5)</f>
        <v>#NAME?</v>
      </c>
      <c r="C284" s="23" t="e">
        <f ca="1">_xludf.BETA.INV(S284,'04_PSA_INPUTS'!H6,'04_PSA_INPUTS'!I6)</f>
        <v>#NAME?</v>
      </c>
      <c r="D284" s="27" t="e">
        <f ca="1">_xludf.GAMMA.INV(T284,'04_PSA_INPUTS'!H7,'04_PSA_INPUTS'!I7)</f>
        <v>#NAME?</v>
      </c>
      <c r="E284" s="27" t="e">
        <f ca="1">_xludf.GAMMA.INV(U284,'04_PSA_INPUTS'!H8,'04_PSA_INPUTS'!I8)</f>
        <v>#NAME?</v>
      </c>
      <c r="F284" s="27" t="e">
        <f ca="1">_xludf.GAMMA.INV(V284,'04_PSA_INPUTS'!H9,'04_PSA_INPUTS'!I9)</f>
        <v>#NAME?</v>
      </c>
      <c r="G284" s="23" t="e">
        <f ca="1">_xludf.BETA.INV(W284,'04_PSA_INPUTS'!H10,'04_PSA_INPUTS'!I10)</f>
        <v>#NAME?</v>
      </c>
      <c r="H284" s="23" t="e">
        <f ca="1">_xludf.BETA.INV(X284,'04_PSA_INPUTS'!H11,'04_PSA_INPUTS'!I11)</f>
        <v>#NAME?</v>
      </c>
      <c r="I284" s="27" t="e">
        <f ca="1">D284+B284*F284+'01_INPUTS'!B20</f>
        <v>#NAME?</v>
      </c>
      <c r="J284" s="27" t="e">
        <f ca="1">E284+C284*F284+'01_INPUTS'!B21</f>
        <v>#NAME?</v>
      </c>
      <c r="K284" s="27" t="e">
        <f t="shared" ca="1" si="24"/>
        <v>#NAME?</v>
      </c>
      <c r="L284" s="23" t="e">
        <f t="shared" ca="1" si="25"/>
        <v>#NAME?</v>
      </c>
      <c r="M284" s="23" t="e">
        <f t="shared" ca="1" si="26"/>
        <v>#NAME?</v>
      </c>
      <c r="N284" s="23" t="e">
        <f t="shared" ca="1" si="27"/>
        <v>#NAME?</v>
      </c>
      <c r="O284" s="27" t="e">
        <f t="shared" ca="1" si="28"/>
        <v>#NAME?</v>
      </c>
      <c r="P284" s="27" t="e">
        <f ca="1">'01_INPUTS'!B9*N284-K284</f>
        <v>#NAME?</v>
      </c>
      <c r="Q284" s="1" t="e">
        <f t="shared" ca="1" si="29"/>
        <v>#NAME?</v>
      </c>
      <c r="R284" s="28">
        <v>1.9610111135989428E-2</v>
      </c>
      <c r="S284" s="28">
        <v>0.76288465899415314</v>
      </c>
      <c r="T284" s="28">
        <v>0.72417641594074667</v>
      </c>
      <c r="U284" s="28">
        <v>0.80452430923469365</v>
      </c>
      <c r="V284" s="28">
        <v>0.61347665032371879</v>
      </c>
      <c r="W284" s="28">
        <v>0.33018268435262144</v>
      </c>
      <c r="X284" s="28">
        <v>0.24369176663458347</v>
      </c>
    </row>
    <row r="285" spans="1:24" ht="13.9">
      <c r="A285" s="1">
        <v>284</v>
      </c>
      <c r="B285" s="23" t="e">
        <f ca="1">_xludf.BETA.INV(R285,'04_PSA_INPUTS'!H5,'04_PSA_INPUTS'!I5)</f>
        <v>#NAME?</v>
      </c>
      <c r="C285" s="23" t="e">
        <f ca="1">_xludf.BETA.INV(S285,'04_PSA_INPUTS'!H6,'04_PSA_INPUTS'!I6)</f>
        <v>#NAME?</v>
      </c>
      <c r="D285" s="27" t="e">
        <f ca="1">_xludf.GAMMA.INV(T285,'04_PSA_INPUTS'!H7,'04_PSA_INPUTS'!I7)</f>
        <v>#NAME?</v>
      </c>
      <c r="E285" s="27" t="e">
        <f ca="1">_xludf.GAMMA.INV(U285,'04_PSA_INPUTS'!H8,'04_PSA_INPUTS'!I8)</f>
        <v>#NAME?</v>
      </c>
      <c r="F285" s="27" t="e">
        <f ca="1">_xludf.GAMMA.INV(V285,'04_PSA_INPUTS'!H9,'04_PSA_INPUTS'!I9)</f>
        <v>#NAME?</v>
      </c>
      <c r="G285" s="23" t="e">
        <f ca="1">_xludf.BETA.INV(W285,'04_PSA_INPUTS'!H10,'04_PSA_INPUTS'!I10)</f>
        <v>#NAME?</v>
      </c>
      <c r="H285" s="23" t="e">
        <f ca="1">_xludf.BETA.INV(X285,'04_PSA_INPUTS'!H11,'04_PSA_INPUTS'!I11)</f>
        <v>#NAME?</v>
      </c>
      <c r="I285" s="27" t="e">
        <f ca="1">D285+B285*F285+'01_INPUTS'!B20</f>
        <v>#NAME?</v>
      </c>
      <c r="J285" s="27" t="e">
        <f ca="1">E285+C285*F285+'01_INPUTS'!B21</f>
        <v>#NAME?</v>
      </c>
      <c r="K285" s="27" t="e">
        <f t="shared" ca="1" si="24"/>
        <v>#NAME?</v>
      </c>
      <c r="L285" s="23" t="e">
        <f t="shared" ca="1" si="25"/>
        <v>#NAME?</v>
      </c>
      <c r="M285" s="23" t="e">
        <f t="shared" ca="1" si="26"/>
        <v>#NAME?</v>
      </c>
      <c r="N285" s="23" t="e">
        <f t="shared" ca="1" si="27"/>
        <v>#NAME?</v>
      </c>
      <c r="O285" s="27" t="e">
        <f t="shared" ca="1" si="28"/>
        <v>#NAME?</v>
      </c>
      <c r="P285" s="27" t="e">
        <f ca="1">'01_INPUTS'!B9*N285-K285</f>
        <v>#NAME?</v>
      </c>
      <c r="Q285" s="1" t="e">
        <f t="shared" ca="1" si="29"/>
        <v>#NAME?</v>
      </c>
      <c r="R285" s="28">
        <v>0.61942470003850758</v>
      </c>
      <c r="S285" s="28">
        <v>0.21332604251801968</v>
      </c>
      <c r="T285" s="28">
        <v>0.86756959743797779</v>
      </c>
      <c r="U285" s="28">
        <v>0.23226461908780038</v>
      </c>
      <c r="V285" s="28">
        <v>0.26539706694893539</v>
      </c>
      <c r="W285" s="28">
        <v>0.78861162299290299</v>
      </c>
      <c r="X285" s="28">
        <v>0.57232371787540615</v>
      </c>
    </row>
    <row r="286" spans="1:24" ht="13.9">
      <c r="A286" s="1">
        <v>285</v>
      </c>
      <c r="B286" s="23" t="e">
        <f ca="1">_xludf.BETA.INV(R286,'04_PSA_INPUTS'!H5,'04_PSA_INPUTS'!I5)</f>
        <v>#NAME?</v>
      </c>
      <c r="C286" s="23" t="e">
        <f ca="1">_xludf.BETA.INV(S286,'04_PSA_INPUTS'!H6,'04_PSA_INPUTS'!I6)</f>
        <v>#NAME?</v>
      </c>
      <c r="D286" s="27" t="e">
        <f ca="1">_xludf.GAMMA.INV(T286,'04_PSA_INPUTS'!H7,'04_PSA_INPUTS'!I7)</f>
        <v>#NAME?</v>
      </c>
      <c r="E286" s="27" t="e">
        <f ca="1">_xludf.GAMMA.INV(U286,'04_PSA_INPUTS'!H8,'04_PSA_INPUTS'!I8)</f>
        <v>#NAME?</v>
      </c>
      <c r="F286" s="27" t="e">
        <f ca="1">_xludf.GAMMA.INV(V286,'04_PSA_INPUTS'!H9,'04_PSA_INPUTS'!I9)</f>
        <v>#NAME?</v>
      </c>
      <c r="G286" s="23" t="e">
        <f ca="1">_xludf.BETA.INV(W286,'04_PSA_INPUTS'!H10,'04_PSA_INPUTS'!I10)</f>
        <v>#NAME?</v>
      </c>
      <c r="H286" s="23" t="e">
        <f ca="1">_xludf.BETA.INV(X286,'04_PSA_INPUTS'!H11,'04_PSA_INPUTS'!I11)</f>
        <v>#NAME?</v>
      </c>
      <c r="I286" s="27" t="e">
        <f ca="1">D286+B286*F286+'01_INPUTS'!B20</f>
        <v>#NAME?</v>
      </c>
      <c r="J286" s="27" t="e">
        <f ca="1">E286+C286*F286+'01_INPUTS'!B21</f>
        <v>#NAME?</v>
      </c>
      <c r="K286" s="27" t="e">
        <f t="shared" ca="1" si="24"/>
        <v>#NAME?</v>
      </c>
      <c r="L286" s="23" t="e">
        <f t="shared" ca="1" si="25"/>
        <v>#NAME?</v>
      </c>
      <c r="M286" s="23" t="e">
        <f t="shared" ca="1" si="26"/>
        <v>#NAME?</v>
      </c>
      <c r="N286" s="23" t="e">
        <f t="shared" ca="1" si="27"/>
        <v>#NAME?</v>
      </c>
      <c r="O286" s="27" t="e">
        <f t="shared" ca="1" si="28"/>
        <v>#NAME?</v>
      </c>
      <c r="P286" s="27" t="e">
        <f ca="1">'01_INPUTS'!B9*N286-K286</f>
        <v>#NAME?</v>
      </c>
      <c r="Q286" s="1" t="e">
        <f t="shared" ca="1" si="29"/>
        <v>#NAME?</v>
      </c>
      <c r="R286" s="28">
        <v>0.28126097866334021</v>
      </c>
      <c r="S286" s="28">
        <v>0.57208894030191004</v>
      </c>
      <c r="T286" s="28">
        <v>0.69822652987204492</v>
      </c>
      <c r="U286" s="28">
        <v>0.23046782333403826</v>
      </c>
      <c r="V286" s="28">
        <v>0.57419486087746918</v>
      </c>
      <c r="W286" s="28">
        <v>0.70302985794842243</v>
      </c>
      <c r="X286" s="28">
        <v>0.5095412612427026</v>
      </c>
    </row>
    <row r="287" spans="1:24" ht="13.9">
      <c r="A287" s="1">
        <v>286</v>
      </c>
      <c r="B287" s="23" t="e">
        <f ca="1">_xludf.BETA.INV(R287,'04_PSA_INPUTS'!H5,'04_PSA_INPUTS'!I5)</f>
        <v>#NAME?</v>
      </c>
      <c r="C287" s="23" t="e">
        <f ca="1">_xludf.BETA.INV(S287,'04_PSA_INPUTS'!H6,'04_PSA_INPUTS'!I6)</f>
        <v>#NAME?</v>
      </c>
      <c r="D287" s="27" t="e">
        <f ca="1">_xludf.GAMMA.INV(T287,'04_PSA_INPUTS'!H7,'04_PSA_INPUTS'!I7)</f>
        <v>#NAME?</v>
      </c>
      <c r="E287" s="27" t="e">
        <f ca="1">_xludf.GAMMA.INV(U287,'04_PSA_INPUTS'!H8,'04_PSA_INPUTS'!I8)</f>
        <v>#NAME?</v>
      </c>
      <c r="F287" s="27" t="e">
        <f ca="1">_xludf.GAMMA.INV(V287,'04_PSA_INPUTS'!H9,'04_PSA_INPUTS'!I9)</f>
        <v>#NAME?</v>
      </c>
      <c r="G287" s="23" t="e">
        <f ca="1">_xludf.BETA.INV(W287,'04_PSA_INPUTS'!H10,'04_PSA_INPUTS'!I10)</f>
        <v>#NAME?</v>
      </c>
      <c r="H287" s="23" t="e">
        <f ca="1">_xludf.BETA.INV(X287,'04_PSA_INPUTS'!H11,'04_PSA_INPUTS'!I11)</f>
        <v>#NAME?</v>
      </c>
      <c r="I287" s="27" t="e">
        <f ca="1">D287+B287*F287+'01_INPUTS'!B20</f>
        <v>#NAME?</v>
      </c>
      <c r="J287" s="27" t="e">
        <f ca="1">E287+C287*F287+'01_INPUTS'!B21</f>
        <v>#NAME?</v>
      </c>
      <c r="K287" s="27" t="e">
        <f t="shared" ca="1" si="24"/>
        <v>#NAME?</v>
      </c>
      <c r="L287" s="23" t="e">
        <f t="shared" ca="1" si="25"/>
        <v>#NAME?</v>
      </c>
      <c r="M287" s="23" t="e">
        <f t="shared" ca="1" si="26"/>
        <v>#NAME?</v>
      </c>
      <c r="N287" s="23" t="e">
        <f t="shared" ca="1" si="27"/>
        <v>#NAME?</v>
      </c>
      <c r="O287" s="27" t="e">
        <f t="shared" ca="1" si="28"/>
        <v>#NAME?</v>
      </c>
      <c r="P287" s="27" t="e">
        <f ca="1">'01_INPUTS'!B9*N287-K287</f>
        <v>#NAME?</v>
      </c>
      <c r="Q287" s="1" t="e">
        <f t="shared" ca="1" si="29"/>
        <v>#NAME?</v>
      </c>
      <c r="R287" s="28">
        <v>0.69316854956559837</v>
      </c>
      <c r="S287" s="28">
        <v>0.92251463234424591</v>
      </c>
      <c r="T287" s="28">
        <v>0.83348599239252508</v>
      </c>
      <c r="U287" s="28">
        <v>0.41497010923922062</v>
      </c>
      <c r="V287" s="28">
        <v>0.91327109979465604</v>
      </c>
      <c r="W287" s="28">
        <v>0.66084622219204903</v>
      </c>
      <c r="X287" s="28">
        <v>8.6866272380575538E-2</v>
      </c>
    </row>
    <row r="288" spans="1:24" ht="13.9">
      <c r="A288" s="1">
        <v>287</v>
      </c>
      <c r="B288" s="23" t="e">
        <f ca="1">_xludf.BETA.INV(R288,'04_PSA_INPUTS'!H5,'04_PSA_INPUTS'!I5)</f>
        <v>#NAME?</v>
      </c>
      <c r="C288" s="23" t="e">
        <f ca="1">_xludf.BETA.INV(S288,'04_PSA_INPUTS'!H6,'04_PSA_INPUTS'!I6)</f>
        <v>#NAME?</v>
      </c>
      <c r="D288" s="27" t="e">
        <f ca="1">_xludf.GAMMA.INV(T288,'04_PSA_INPUTS'!H7,'04_PSA_INPUTS'!I7)</f>
        <v>#NAME?</v>
      </c>
      <c r="E288" s="27" t="e">
        <f ca="1">_xludf.GAMMA.INV(U288,'04_PSA_INPUTS'!H8,'04_PSA_INPUTS'!I8)</f>
        <v>#NAME?</v>
      </c>
      <c r="F288" s="27" t="e">
        <f ca="1">_xludf.GAMMA.INV(V288,'04_PSA_INPUTS'!H9,'04_PSA_INPUTS'!I9)</f>
        <v>#NAME?</v>
      </c>
      <c r="G288" s="23" t="e">
        <f ca="1">_xludf.BETA.INV(W288,'04_PSA_INPUTS'!H10,'04_PSA_INPUTS'!I10)</f>
        <v>#NAME?</v>
      </c>
      <c r="H288" s="23" t="e">
        <f ca="1">_xludf.BETA.INV(X288,'04_PSA_INPUTS'!H11,'04_PSA_INPUTS'!I11)</f>
        <v>#NAME?</v>
      </c>
      <c r="I288" s="27" t="e">
        <f ca="1">D288+B288*F288+'01_INPUTS'!B20</f>
        <v>#NAME?</v>
      </c>
      <c r="J288" s="27" t="e">
        <f ca="1">E288+C288*F288+'01_INPUTS'!B21</f>
        <v>#NAME?</v>
      </c>
      <c r="K288" s="27" t="e">
        <f t="shared" ca="1" si="24"/>
        <v>#NAME?</v>
      </c>
      <c r="L288" s="23" t="e">
        <f t="shared" ca="1" si="25"/>
        <v>#NAME?</v>
      </c>
      <c r="M288" s="23" t="e">
        <f t="shared" ca="1" si="26"/>
        <v>#NAME?</v>
      </c>
      <c r="N288" s="23" t="e">
        <f t="shared" ca="1" si="27"/>
        <v>#NAME?</v>
      </c>
      <c r="O288" s="27" t="e">
        <f t="shared" ca="1" si="28"/>
        <v>#NAME?</v>
      </c>
      <c r="P288" s="27" t="e">
        <f ca="1">'01_INPUTS'!B9*N288-K288</f>
        <v>#NAME?</v>
      </c>
      <c r="Q288" s="1" t="e">
        <f t="shared" ca="1" si="29"/>
        <v>#NAME?</v>
      </c>
      <c r="R288" s="28">
        <v>0.34417631733231246</v>
      </c>
      <c r="S288" s="28">
        <v>0.37601162120699883</v>
      </c>
      <c r="T288" s="28">
        <v>0.81289817788638175</v>
      </c>
      <c r="U288" s="28">
        <v>0.58833756460808218</v>
      </c>
      <c r="V288" s="28">
        <v>0.35599486553110182</v>
      </c>
      <c r="W288" s="28">
        <v>0.63321347557939589</v>
      </c>
      <c r="X288" s="28">
        <v>0.72639001766219735</v>
      </c>
    </row>
    <row r="289" spans="1:24" ht="13.9">
      <c r="A289" s="1">
        <v>288</v>
      </c>
      <c r="B289" s="23" t="e">
        <f ca="1">_xludf.BETA.INV(R289,'04_PSA_INPUTS'!H5,'04_PSA_INPUTS'!I5)</f>
        <v>#NAME?</v>
      </c>
      <c r="C289" s="23" t="e">
        <f ca="1">_xludf.BETA.INV(S289,'04_PSA_INPUTS'!H6,'04_PSA_INPUTS'!I6)</f>
        <v>#NAME?</v>
      </c>
      <c r="D289" s="27" t="e">
        <f ca="1">_xludf.GAMMA.INV(T289,'04_PSA_INPUTS'!H7,'04_PSA_INPUTS'!I7)</f>
        <v>#NAME?</v>
      </c>
      <c r="E289" s="27" t="e">
        <f ca="1">_xludf.GAMMA.INV(U289,'04_PSA_INPUTS'!H8,'04_PSA_INPUTS'!I8)</f>
        <v>#NAME?</v>
      </c>
      <c r="F289" s="27" t="e">
        <f ca="1">_xludf.GAMMA.INV(V289,'04_PSA_INPUTS'!H9,'04_PSA_INPUTS'!I9)</f>
        <v>#NAME?</v>
      </c>
      <c r="G289" s="23" t="e">
        <f ca="1">_xludf.BETA.INV(W289,'04_PSA_INPUTS'!H10,'04_PSA_INPUTS'!I10)</f>
        <v>#NAME?</v>
      </c>
      <c r="H289" s="23" t="e">
        <f ca="1">_xludf.BETA.INV(X289,'04_PSA_INPUTS'!H11,'04_PSA_INPUTS'!I11)</f>
        <v>#NAME?</v>
      </c>
      <c r="I289" s="27" t="e">
        <f ca="1">D289+B289*F289+'01_INPUTS'!B20</f>
        <v>#NAME?</v>
      </c>
      <c r="J289" s="27" t="e">
        <f ca="1">E289+C289*F289+'01_INPUTS'!B21</f>
        <v>#NAME?</v>
      </c>
      <c r="K289" s="27" t="e">
        <f t="shared" ca="1" si="24"/>
        <v>#NAME?</v>
      </c>
      <c r="L289" s="23" t="e">
        <f t="shared" ca="1" si="25"/>
        <v>#NAME?</v>
      </c>
      <c r="M289" s="23" t="e">
        <f t="shared" ca="1" si="26"/>
        <v>#NAME?</v>
      </c>
      <c r="N289" s="23" t="e">
        <f t="shared" ca="1" si="27"/>
        <v>#NAME?</v>
      </c>
      <c r="O289" s="27" t="e">
        <f t="shared" ca="1" si="28"/>
        <v>#NAME?</v>
      </c>
      <c r="P289" s="27" t="e">
        <f ca="1">'01_INPUTS'!B9*N289-K289</f>
        <v>#NAME?</v>
      </c>
      <c r="Q289" s="1" t="e">
        <f t="shared" ca="1" si="29"/>
        <v>#NAME?</v>
      </c>
      <c r="R289" s="28">
        <v>0.31516486429609358</v>
      </c>
      <c r="S289" s="28">
        <v>0.44721303670667112</v>
      </c>
      <c r="T289" s="28">
        <v>0.38907288177870214</v>
      </c>
      <c r="U289" s="28">
        <v>0.48762121261097491</v>
      </c>
      <c r="V289" s="28">
        <v>0.29415258904919028</v>
      </c>
      <c r="W289" s="28">
        <v>3.3099774736911058E-2</v>
      </c>
      <c r="X289" s="28">
        <v>0.53932536044158041</v>
      </c>
    </row>
    <row r="290" spans="1:24" ht="13.9">
      <c r="A290" s="1">
        <v>289</v>
      </c>
      <c r="B290" s="23" t="e">
        <f ca="1">_xludf.BETA.INV(R290,'04_PSA_INPUTS'!H5,'04_PSA_INPUTS'!I5)</f>
        <v>#NAME?</v>
      </c>
      <c r="C290" s="23" t="e">
        <f ca="1">_xludf.BETA.INV(S290,'04_PSA_INPUTS'!H6,'04_PSA_INPUTS'!I6)</f>
        <v>#NAME?</v>
      </c>
      <c r="D290" s="27" t="e">
        <f ca="1">_xludf.GAMMA.INV(T290,'04_PSA_INPUTS'!H7,'04_PSA_INPUTS'!I7)</f>
        <v>#NAME?</v>
      </c>
      <c r="E290" s="27" t="e">
        <f ca="1">_xludf.GAMMA.INV(U290,'04_PSA_INPUTS'!H8,'04_PSA_INPUTS'!I8)</f>
        <v>#NAME?</v>
      </c>
      <c r="F290" s="27" t="e">
        <f ca="1">_xludf.GAMMA.INV(V290,'04_PSA_INPUTS'!H9,'04_PSA_INPUTS'!I9)</f>
        <v>#NAME?</v>
      </c>
      <c r="G290" s="23" t="e">
        <f ca="1">_xludf.BETA.INV(W290,'04_PSA_INPUTS'!H10,'04_PSA_INPUTS'!I10)</f>
        <v>#NAME?</v>
      </c>
      <c r="H290" s="23" t="e">
        <f ca="1">_xludf.BETA.INV(X290,'04_PSA_INPUTS'!H11,'04_PSA_INPUTS'!I11)</f>
        <v>#NAME?</v>
      </c>
      <c r="I290" s="27" t="e">
        <f ca="1">D290+B290*F290+'01_INPUTS'!B20</f>
        <v>#NAME?</v>
      </c>
      <c r="J290" s="27" t="e">
        <f ca="1">E290+C290*F290+'01_INPUTS'!B21</f>
        <v>#NAME?</v>
      </c>
      <c r="K290" s="27" t="e">
        <f t="shared" ca="1" si="24"/>
        <v>#NAME?</v>
      </c>
      <c r="L290" s="23" t="e">
        <f t="shared" ca="1" si="25"/>
        <v>#NAME?</v>
      </c>
      <c r="M290" s="23" t="e">
        <f t="shared" ca="1" si="26"/>
        <v>#NAME?</v>
      </c>
      <c r="N290" s="23" t="e">
        <f t="shared" ca="1" si="27"/>
        <v>#NAME?</v>
      </c>
      <c r="O290" s="27" t="e">
        <f t="shared" ca="1" si="28"/>
        <v>#NAME?</v>
      </c>
      <c r="P290" s="27" t="e">
        <f ca="1">'01_INPUTS'!B9*N290-K290</f>
        <v>#NAME?</v>
      </c>
      <c r="Q290" s="1" t="e">
        <f t="shared" ca="1" si="29"/>
        <v>#NAME?</v>
      </c>
      <c r="R290" s="28">
        <v>1.2413749936968088E-2</v>
      </c>
      <c r="S290" s="28">
        <v>0.78143427846953273</v>
      </c>
      <c r="T290" s="28">
        <v>0.87095325253903866</v>
      </c>
      <c r="U290" s="28">
        <v>0.25107263750396669</v>
      </c>
      <c r="V290" s="28">
        <v>0.41567221027798951</v>
      </c>
      <c r="W290" s="28">
        <v>4.8414956079795957E-2</v>
      </c>
      <c r="X290" s="28">
        <v>0.37725187977775931</v>
      </c>
    </row>
    <row r="291" spans="1:24" ht="13.9">
      <c r="A291" s="1">
        <v>290</v>
      </c>
      <c r="B291" s="23" t="e">
        <f ca="1">_xludf.BETA.INV(R291,'04_PSA_INPUTS'!H5,'04_PSA_INPUTS'!I5)</f>
        <v>#NAME?</v>
      </c>
      <c r="C291" s="23" t="e">
        <f ca="1">_xludf.BETA.INV(S291,'04_PSA_INPUTS'!H6,'04_PSA_INPUTS'!I6)</f>
        <v>#NAME?</v>
      </c>
      <c r="D291" s="27" t="e">
        <f ca="1">_xludf.GAMMA.INV(T291,'04_PSA_INPUTS'!H7,'04_PSA_INPUTS'!I7)</f>
        <v>#NAME?</v>
      </c>
      <c r="E291" s="27" t="e">
        <f ca="1">_xludf.GAMMA.INV(U291,'04_PSA_INPUTS'!H8,'04_PSA_INPUTS'!I8)</f>
        <v>#NAME?</v>
      </c>
      <c r="F291" s="27" t="e">
        <f ca="1">_xludf.GAMMA.INV(V291,'04_PSA_INPUTS'!H9,'04_PSA_INPUTS'!I9)</f>
        <v>#NAME?</v>
      </c>
      <c r="G291" s="23" t="e">
        <f ca="1">_xludf.BETA.INV(W291,'04_PSA_INPUTS'!H10,'04_PSA_INPUTS'!I10)</f>
        <v>#NAME?</v>
      </c>
      <c r="H291" s="23" t="e">
        <f ca="1">_xludf.BETA.INV(X291,'04_PSA_INPUTS'!H11,'04_PSA_INPUTS'!I11)</f>
        <v>#NAME?</v>
      </c>
      <c r="I291" s="27" t="e">
        <f ca="1">D291+B291*F291+'01_INPUTS'!B20</f>
        <v>#NAME?</v>
      </c>
      <c r="J291" s="27" t="e">
        <f ca="1">E291+C291*F291+'01_INPUTS'!B21</f>
        <v>#NAME?</v>
      </c>
      <c r="K291" s="27" t="e">
        <f t="shared" ca="1" si="24"/>
        <v>#NAME?</v>
      </c>
      <c r="L291" s="23" t="e">
        <f t="shared" ca="1" si="25"/>
        <v>#NAME?</v>
      </c>
      <c r="M291" s="23" t="e">
        <f t="shared" ca="1" si="26"/>
        <v>#NAME?</v>
      </c>
      <c r="N291" s="23" t="e">
        <f t="shared" ca="1" si="27"/>
        <v>#NAME?</v>
      </c>
      <c r="O291" s="27" t="e">
        <f t="shared" ca="1" si="28"/>
        <v>#NAME?</v>
      </c>
      <c r="P291" s="27" t="e">
        <f ca="1">'01_INPUTS'!B9*N291-K291</f>
        <v>#NAME?</v>
      </c>
      <c r="Q291" s="1" t="e">
        <f t="shared" ca="1" si="29"/>
        <v>#NAME?</v>
      </c>
      <c r="R291" s="28">
        <v>0.819250104483217</v>
      </c>
      <c r="S291" s="28">
        <v>0.84238861524499953</v>
      </c>
      <c r="T291" s="28">
        <v>0.24019315908662975</v>
      </c>
      <c r="U291" s="28">
        <v>0.15438695903867483</v>
      </c>
      <c r="V291" s="28">
        <v>0.77771868766285479</v>
      </c>
      <c r="W291" s="28">
        <v>0.7383524680044502</v>
      </c>
      <c r="X291" s="28">
        <v>0.87836232059635222</v>
      </c>
    </row>
    <row r="292" spans="1:24" ht="13.9">
      <c r="A292" s="1">
        <v>291</v>
      </c>
      <c r="B292" s="23" t="e">
        <f ca="1">_xludf.BETA.INV(R292,'04_PSA_INPUTS'!H5,'04_PSA_INPUTS'!I5)</f>
        <v>#NAME?</v>
      </c>
      <c r="C292" s="23" t="e">
        <f ca="1">_xludf.BETA.INV(S292,'04_PSA_INPUTS'!H6,'04_PSA_INPUTS'!I6)</f>
        <v>#NAME?</v>
      </c>
      <c r="D292" s="27" t="e">
        <f ca="1">_xludf.GAMMA.INV(T292,'04_PSA_INPUTS'!H7,'04_PSA_INPUTS'!I7)</f>
        <v>#NAME?</v>
      </c>
      <c r="E292" s="27" t="e">
        <f ca="1">_xludf.GAMMA.INV(U292,'04_PSA_INPUTS'!H8,'04_PSA_INPUTS'!I8)</f>
        <v>#NAME?</v>
      </c>
      <c r="F292" s="27" t="e">
        <f ca="1">_xludf.GAMMA.INV(V292,'04_PSA_INPUTS'!H9,'04_PSA_INPUTS'!I9)</f>
        <v>#NAME?</v>
      </c>
      <c r="G292" s="23" t="e">
        <f ca="1">_xludf.BETA.INV(W292,'04_PSA_INPUTS'!H10,'04_PSA_INPUTS'!I10)</f>
        <v>#NAME?</v>
      </c>
      <c r="H292" s="23" t="e">
        <f ca="1">_xludf.BETA.INV(X292,'04_PSA_INPUTS'!H11,'04_PSA_INPUTS'!I11)</f>
        <v>#NAME?</v>
      </c>
      <c r="I292" s="27" t="e">
        <f ca="1">D292+B292*F292+'01_INPUTS'!B20</f>
        <v>#NAME?</v>
      </c>
      <c r="J292" s="27" t="e">
        <f ca="1">E292+C292*F292+'01_INPUTS'!B21</f>
        <v>#NAME?</v>
      </c>
      <c r="K292" s="27" t="e">
        <f t="shared" ca="1" si="24"/>
        <v>#NAME?</v>
      </c>
      <c r="L292" s="23" t="e">
        <f t="shared" ca="1" si="25"/>
        <v>#NAME?</v>
      </c>
      <c r="M292" s="23" t="e">
        <f t="shared" ca="1" si="26"/>
        <v>#NAME?</v>
      </c>
      <c r="N292" s="23" t="e">
        <f t="shared" ca="1" si="27"/>
        <v>#NAME?</v>
      </c>
      <c r="O292" s="27" t="e">
        <f t="shared" ca="1" si="28"/>
        <v>#NAME?</v>
      </c>
      <c r="P292" s="27" t="e">
        <f ca="1">'01_INPUTS'!B9*N292-K292</f>
        <v>#NAME?</v>
      </c>
      <c r="Q292" s="1" t="e">
        <f t="shared" ca="1" si="29"/>
        <v>#NAME?</v>
      </c>
      <c r="R292" s="28">
        <v>0.3871714377310127</v>
      </c>
      <c r="S292" s="28">
        <v>0.22119410219602287</v>
      </c>
      <c r="T292" s="28">
        <v>0.89732663589529693</v>
      </c>
      <c r="U292" s="28">
        <v>0.10781304794363678</v>
      </c>
      <c r="V292" s="28">
        <v>0.33691480848938227</v>
      </c>
      <c r="W292" s="28">
        <v>0.69477605610154569</v>
      </c>
      <c r="X292" s="28">
        <v>0.16983796702697873</v>
      </c>
    </row>
    <row r="293" spans="1:24" ht="13.9">
      <c r="A293" s="1">
        <v>292</v>
      </c>
      <c r="B293" s="23" t="e">
        <f ca="1">_xludf.BETA.INV(R293,'04_PSA_INPUTS'!H5,'04_PSA_INPUTS'!I5)</f>
        <v>#NAME?</v>
      </c>
      <c r="C293" s="23" t="e">
        <f ca="1">_xludf.BETA.INV(S293,'04_PSA_INPUTS'!H6,'04_PSA_INPUTS'!I6)</f>
        <v>#NAME?</v>
      </c>
      <c r="D293" s="27" t="e">
        <f ca="1">_xludf.GAMMA.INV(T293,'04_PSA_INPUTS'!H7,'04_PSA_INPUTS'!I7)</f>
        <v>#NAME?</v>
      </c>
      <c r="E293" s="27" t="e">
        <f ca="1">_xludf.GAMMA.INV(U293,'04_PSA_INPUTS'!H8,'04_PSA_INPUTS'!I8)</f>
        <v>#NAME?</v>
      </c>
      <c r="F293" s="27" t="e">
        <f ca="1">_xludf.GAMMA.INV(V293,'04_PSA_INPUTS'!H9,'04_PSA_INPUTS'!I9)</f>
        <v>#NAME?</v>
      </c>
      <c r="G293" s="23" t="e">
        <f ca="1">_xludf.BETA.INV(W293,'04_PSA_INPUTS'!H10,'04_PSA_INPUTS'!I10)</f>
        <v>#NAME?</v>
      </c>
      <c r="H293" s="23" t="e">
        <f ca="1">_xludf.BETA.INV(X293,'04_PSA_INPUTS'!H11,'04_PSA_INPUTS'!I11)</f>
        <v>#NAME?</v>
      </c>
      <c r="I293" s="27" t="e">
        <f ca="1">D293+B293*F293+'01_INPUTS'!B20</f>
        <v>#NAME?</v>
      </c>
      <c r="J293" s="27" t="e">
        <f ca="1">E293+C293*F293+'01_INPUTS'!B21</f>
        <v>#NAME?</v>
      </c>
      <c r="K293" s="27" t="e">
        <f t="shared" ca="1" si="24"/>
        <v>#NAME?</v>
      </c>
      <c r="L293" s="23" t="e">
        <f t="shared" ca="1" si="25"/>
        <v>#NAME?</v>
      </c>
      <c r="M293" s="23" t="e">
        <f t="shared" ca="1" si="26"/>
        <v>#NAME?</v>
      </c>
      <c r="N293" s="23" t="e">
        <f t="shared" ca="1" si="27"/>
        <v>#NAME?</v>
      </c>
      <c r="O293" s="27" t="e">
        <f t="shared" ca="1" si="28"/>
        <v>#NAME?</v>
      </c>
      <c r="P293" s="27" t="e">
        <f ca="1">'01_INPUTS'!B9*N293-K293</f>
        <v>#NAME?</v>
      </c>
      <c r="Q293" s="1" t="e">
        <f t="shared" ca="1" si="29"/>
        <v>#NAME?</v>
      </c>
      <c r="R293" s="28">
        <v>0.43296490632928908</v>
      </c>
      <c r="S293" s="28">
        <v>0.80639531929045916</v>
      </c>
      <c r="T293" s="28">
        <v>0.57204761146567762</v>
      </c>
      <c r="U293" s="28">
        <v>0.15050195343792439</v>
      </c>
      <c r="V293" s="28">
        <v>0.73045225092209876</v>
      </c>
      <c r="W293" s="28">
        <v>0.23120873607695103</v>
      </c>
      <c r="X293" s="28">
        <v>9.5921976258978248E-2</v>
      </c>
    </row>
    <row r="294" spans="1:24" ht="13.9">
      <c r="A294" s="1">
        <v>293</v>
      </c>
      <c r="B294" s="23" t="e">
        <f ca="1">_xludf.BETA.INV(R294,'04_PSA_INPUTS'!H5,'04_PSA_INPUTS'!I5)</f>
        <v>#NAME?</v>
      </c>
      <c r="C294" s="23" t="e">
        <f ca="1">_xludf.BETA.INV(S294,'04_PSA_INPUTS'!H6,'04_PSA_INPUTS'!I6)</f>
        <v>#NAME?</v>
      </c>
      <c r="D294" s="27" t="e">
        <f ca="1">_xludf.GAMMA.INV(T294,'04_PSA_INPUTS'!H7,'04_PSA_INPUTS'!I7)</f>
        <v>#NAME?</v>
      </c>
      <c r="E294" s="27" t="e">
        <f ca="1">_xludf.GAMMA.INV(U294,'04_PSA_INPUTS'!H8,'04_PSA_INPUTS'!I8)</f>
        <v>#NAME?</v>
      </c>
      <c r="F294" s="27" t="e">
        <f ca="1">_xludf.GAMMA.INV(V294,'04_PSA_INPUTS'!H9,'04_PSA_INPUTS'!I9)</f>
        <v>#NAME?</v>
      </c>
      <c r="G294" s="23" t="e">
        <f ca="1">_xludf.BETA.INV(W294,'04_PSA_INPUTS'!H10,'04_PSA_INPUTS'!I10)</f>
        <v>#NAME?</v>
      </c>
      <c r="H294" s="23" t="e">
        <f ca="1">_xludf.BETA.INV(X294,'04_PSA_INPUTS'!H11,'04_PSA_INPUTS'!I11)</f>
        <v>#NAME?</v>
      </c>
      <c r="I294" s="27" t="e">
        <f ca="1">D294+B294*F294+'01_INPUTS'!B20</f>
        <v>#NAME?</v>
      </c>
      <c r="J294" s="27" t="e">
        <f ca="1">E294+C294*F294+'01_INPUTS'!B21</f>
        <v>#NAME?</v>
      </c>
      <c r="K294" s="27" t="e">
        <f t="shared" ca="1" si="24"/>
        <v>#NAME?</v>
      </c>
      <c r="L294" s="23" t="e">
        <f t="shared" ca="1" si="25"/>
        <v>#NAME?</v>
      </c>
      <c r="M294" s="23" t="e">
        <f t="shared" ca="1" si="26"/>
        <v>#NAME?</v>
      </c>
      <c r="N294" s="23" t="e">
        <f t="shared" ca="1" si="27"/>
        <v>#NAME?</v>
      </c>
      <c r="O294" s="27" t="e">
        <f t="shared" ca="1" si="28"/>
        <v>#NAME?</v>
      </c>
      <c r="P294" s="27" t="e">
        <f ca="1">'01_INPUTS'!B9*N294-K294</f>
        <v>#NAME?</v>
      </c>
      <c r="Q294" s="1" t="e">
        <f t="shared" ca="1" si="29"/>
        <v>#NAME?</v>
      </c>
      <c r="R294" s="28">
        <v>0.89982679556123912</v>
      </c>
      <c r="S294" s="28">
        <v>0.18823473062366247</v>
      </c>
      <c r="T294" s="28">
        <v>0.68563094129785895</v>
      </c>
      <c r="U294" s="28">
        <v>0.11140428925864398</v>
      </c>
      <c r="V294" s="28">
        <v>0.87256871652789414</v>
      </c>
      <c r="W294" s="28">
        <v>0.39173961733467877</v>
      </c>
      <c r="X294" s="28">
        <v>0.88555397861637175</v>
      </c>
    </row>
    <row r="295" spans="1:24" ht="13.9">
      <c r="A295" s="1">
        <v>294</v>
      </c>
      <c r="B295" s="23" t="e">
        <f ca="1">_xludf.BETA.INV(R295,'04_PSA_INPUTS'!H5,'04_PSA_INPUTS'!I5)</f>
        <v>#NAME?</v>
      </c>
      <c r="C295" s="23" t="e">
        <f ca="1">_xludf.BETA.INV(S295,'04_PSA_INPUTS'!H6,'04_PSA_INPUTS'!I6)</f>
        <v>#NAME?</v>
      </c>
      <c r="D295" s="27" t="e">
        <f ca="1">_xludf.GAMMA.INV(T295,'04_PSA_INPUTS'!H7,'04_PSA_INPUTS'!I7)</f>
        <v>#NAME?</v>
      </c>
      <c r="E295" s="27" t="e">
        <f ca="1">_xludf.GAMMA.INV(U295,'04_PSA_INPUTS'!H8,'04_PSA_INPUTS'!I8)</f>
        <v>#NAME?</v>
      </c>
      <c r="F295" s="27" t="e">
        <f ca="1">_xludf.GAMMA.INV(V295,'04_PSA_INPUTS'!H9,'04_PSA_INPUTS'!I9)</f>
        <v>#NAME?</v>
      </c>
      <c r="G295" s="23" t="e">
        <f ca="1">_xludf.BETA.INV(W295,'04_PSA_INPUTS'!H10,'04_PSA_INPUTS'!I10)</f>
        <v>#NAME?</v>
      </c>
      <c r="H295" s="23" t="e">
        <f ca="1">_xludf.BETA.INV(X295,'04_PSA_INPUTS'!H11,'04_PSA_INPUTS'!I11)</f>
        <v>#NAME?</v>
      </c>
      <c r="I295" s="27" t="e">
        <f ca="1">D295+B295*F295+'01_INPUTS'!B20</f>
        <v>#NAME?</v>
      </c>
      <c r="J295" s="27" t="e">
        <f ca="1">E295+C295*F295+'01_INPUTS'!B21</f>
        <v>#NAME?</v>
      </c>
      <c r="K295" s="27" t="e">
        <f t="shared" ca="1" si="24"/>
        <v>#NAME?</v>
      </c>
      <c r="L295" s="23" t="e">
        <f t="shared" ca="1" si="25"/>
        <v>#NAME?</v>
      </c>
      <c r="M295" s="23" t="e">
        <f t="shared" ca="1" si="26"/>
        <v>#NAME?</v>
      </c>
      <c r="N295" s="23" t="e">
        <f t="shared" ca="1" si="27"/>
        <v>#NAME?</v>
      </c>
      <c r="O295" s="27" t="e">
        <f t="shared" ca="1" si="28"/>
        <v>#NAME?</v>
      </c>
      <c r="P295" s="27" t="e">
        <f ca="1">'01_INPUTS'!B9*N295-K295</f>
        <v>#NAME?</v>
      </c>
      <c r="Q295" s="1" t="e">
        <f t="shared" ca="1" si="29"/>
        <v>#NAME?</v>
      </c>
      <c r="R295" s="28">
        <v>0.3687689604703337</v>
      </c>
      <c r="S295" s="28">
        <v>0.98997705825604498</v>
      </c>
      <c r="T295" s="28">
        <v>0.79265276319347322</v>
      </c>
      <c r="U295" s="28">
        <v>0.44043704262003303</v>
      </c>
      <c r="V295" s="28">
        <v>0.60836162650957704</v>
      </c>
      <c r="W295" s="28">
        <v>0.79632476647384465</v>
      </c>
      <c r="X295" s="28">
        <v>0.53928387025371194</v>
      </c>
    </row>
    <row r="296" spans="1:24" ht="13.9">
      <c r="A296" s="1">
        <v>295</v>
      </c>
      <c r="B296" s="23" t="e">
        <f ca="1">_xludf.BETA.INV(R296,'04_PSA_INPUTS'!H5,'04_PSA_INPUTS'!I5)</f>
        <v>#NAME?</v>
      </c>
      <c r="C296" s="23" t="e">
        <f ca="1">_xludf.BETA.INV(S296,'04_PSA_INPUTS'!H6,'04_PSA_INPUTS'!I6)</f>
        <v>#NAME?</v>
      </c>
      <c r="D296" s="27" t="e">
        <f ca="1">_xludf.GAMMA.INV(T296,'04_PSA_INPUTS'!H7,'04_PSA_INPUTS'!I7)</f>
        <v>#NAME?</v>
      </c>
      <c r="E296" s="27" t="e">
        <f ca="1">_xludf.GAMMA.INV(U296,'04_PSA_INPUTS'!H8,'04_PSA_INPUTS'!I8)</f>
        <v>#NAME?</v>
      </c>
      <c r="F296" s="27" t="e">
        <f ca="1">_xludf.GAMMA.INV(V296,'04_PSA_INPUTS'!H9,'04_PSA_INPUTS'!I9)</f>
        <v>#NAME?</v>
      </c>
      <c r="G296" s="23" t="e">
        <f ca="1">_xludf.BETA.INV(W296,'04_PSA_INPUTS'!H10,'04_PSA_INPUTS'!I10)</f>
        <v>#NAME?</v>
      </c>
      <c r="H296" s="23" t="e">
        <f ca="1">_xludf.BETA.INV(X296,'04_PSA_INPUTS'!H11,'04_PSA_INPUTS'!I11)</f>
        <v>#NAME?</v>
      </c>
      <c r="I296" s="27" t="e">
        <f ca="1">D296+B296*F296+'01_INPUTS'!B20</f>
        <v>#NAME?</v>
      </c>
      <c r="J296" s="27" t="e">
        <f ca="1">E296+C296*F296+'01_INPUTS'!B21</f>
        <v>#NAME?</v>
      </c>
      <c r="K296" s="27" t="e">
        <f t="shared" ca="1" si="24"/>
        <v>#NAME?</v>
      </c>
      <c r="L296" s="23" t="e">
        <f t="shared" ca="1" si="25"/>
        <v>#NAME?</v>
      </c>
      <c r="M296" s="23" t="e">
        <f t="shared" ca="1" si="26"/>
        <v>#NAME?</v>
      </c>
      <c r="N296" s="23" t="e">
        <f t="shared" ca="1" si="27"/>
        <v>#NAME?</v>
      </c>
      <c r="O296" s="27" t="e">
        <f t="shared" ca="1" si="28"/>
        <v>#NAME?</v>
      </c>
      <c r="P296" s="27" t="e">
        <f ca="1">'01_INPUTS'!B9*N296-K296</f>
        <v>#NAME?</v>
      </c>
      <c r="Q296" s="1" t="e">
        <f t="shared" ca="1" si="29"/>
        <v>#NAME?</v>
      </c>
      <c r="R296" s="28">
        <v>0.1515167139004916</v>
      </c>
      <c r="S296" s="28">
        <v>0.14367073238827288</v>
      </c>
      <c r="T296" s="28">
        <v>0.35343910194933414</v>
      </c>
      <c r="U296" s="28">
        <v>0.24445203994400799</v>
      </c>
      <c r="V296" s="28">
        <v>0.8537355400621891</v>
      </c>
      <c r="W296" s="28">
        <v>1.8927338067442179E-2</v>
      </c>
      <c r="X296" s="28">
        <v>3.0792097793892026E-2</v>
      </c>
    </row>
    <row r="297" spans="1:24" ht="13.9">
      <c r="A297" s="1">
        <v>296</v>
      </c>
      <c r="B297" s="23" t="e">
        <f ca="1">_xludf.BETA.INV(R297,'04_PSA_INPUTS'!H5,'04_PSA_INPUTS'!I5)</f>
        <v>#NAME?</v>
      </c>
      <c r="C297" s="23" t="e">
        <f ca="1">_xludf.BETA.INV(S297,'04_PSA_INPUTS'!H6,'04_PSA_INPUTS'!I6)</f>
        <v>#NAME?</v>
      </c>
      <c r="D297" s="27" t="e">
        <f ca="1">_xludf.GAMMA.INV(T297,'04_PSA_INPUTS'!H7,'04_PSA_INPUTS'!I7)</f>
        <v>#NAME?</v>
      </c>
      <c r="E297" s="27" t="e">
        <f ca="1">_xludf.GAMMA.INV(U297,'04_PSA_INPUTS'!H8,'04_PSA_INPUTS'!I8)</f>
        <v>#NAME?</v>
      </c>
      <c r="F297" s="27" t="e">
        <f ca="1">_xludf.GAMMA.INV(V297,'04_PSA_INPUTS'!H9,'04_PSA_INPUTS'!I9)</f>
        <v>#NAME?</v>
      </c>
      <c r="G297" s="23" t="e">
        <f ca="1">_xludf.BETA.INV(W297,'04_PSA_INPUTS'!H10,'04_PSA_INPUTS'!I10)</f>
        <v>#NAME?</v>
      </c>
      <c r="H297" s="23" t="e">
        <f ca="1">_xludf.BETA.INV(X297,'04_PSA_INPUTS'!H11,'04_PSA_INPUTS'!I11)</f>
        <v>#NAME?</v>
      </c>
      <c r="I297" s="27" t="e">
        <f ca="1">D297+B297*F297+'01_INPUTS'!B20</f>
        <v>#NAME?</v>
      </c>
      <c r="J297" s="27" t="e">
        <f ca="1">E297+C297*F297+'01_INPUTS'!B21</f>
        <v>#NAME?</v>
      </c>
      <c r="K297" s="27" t="e">
        <f t="shared" ca="1" si="24"/>
        <v>#NAME?</v>
      </c>
      <c r="L297" s="23" t="e">
        <f t="shared" ca="1" si="25"/>
        <v>#NAME?</v>
      </c>
      <c r="M297" s="23" t="e">
        <f t="shared" ca="1" si="26"/>
        <v>#NAME?</v>
      </c>
      <c r="N297" s="23" t="e">
        <f t="shared" ca="1" si="27"/>
        <v>#NAME?</v>
      </c>
      <c r="O297" s="27" t="e">
        <f t="shared" ca="1" si="28"/>
        <v>#NAME?</v>
      </c>
      <c r="P297" s="27" t="e">
        <f ca="1">'01_INPUTS'!B9*N297-K297</f>
        <v>#NAME?</v>
      </c>
      <c r="Q297" s="1" t="e">
        <f t="shared" ca="1" si="29"/>
        <v>#NAME?</v>
      </c>
      <c r="R297" s="28">
        <v>0.5967729426920414</v>
      </c>
      <c r="S297" s="28">
        <v>0.21075873216614127</v>
      </c>
      <c r="T297" s="28">
        <v>0.43247362179681659</v>
      </c>
      <c r="U297" s="28">
        <v>0.95444209035485983</v>
      </c>
      <c r="V297" s="28">
        <v>0.24808684992603958</v>
      </c>
      <c r="W297" s="28">
        <v>0.75128276436589658</v>
      </c>
      <c r="X297" s="28">
        <v>0.11960945487953722</v>
      </c>
    </row>
    <row r="298" spans="1:24" ht="13.9">
      <c r="A298" s="1">
        <v>297</v>
      </c>
      <c r="B298" s="23" t="e">
        <f ca="1">_xludf.BETA.INV(R298,'04_PSA_INPUTS'!H5,'04_PSA_INPUTS'!I5)</f>
        <v>#NAME?</v>
      </c>
      <c r="C298" s="23" t="e">
        <f ca="1">_xludf.BETA.INV(S298,'04_PSA_INPUTS'!H6,'04_PSA_INPUTS'!I6)</f>
        <v>#NAME?</v>
      </c>
      <c r="D298" s="27" t="e">
        <f ca="1">_xludf.GAMMA.INV(T298,'04_PSA_INPUTS'!H7,'04_PSA_INPUTS'!I7)</f>
        <v>#NAME?</v>
      </c>
      <c r="E298" s="27" t="e">
        <f ca="1">_xludf.GAMMA.INV(U298,'04_PSA_INPUTS'!H8,'04_PSA_INPUTS'!I8)</f>
        <v>#NAME?</v>
      </c>
      <c r="F298" s="27" t="e">
        <f ca="1">_xludf.GAMMA.INV(V298,'04_PSA_INPUTS'!H9,'04_PSA_INPUTS'!I9)</f>
        <v>#NAME?</v>
      </c>
      <c r="G298" s="23" t="e">
        <f ca="1">_xludf.BETA.INV(W298,'04_PSA_INPUTS'!H10,'04_PSA_INPUTS'!I10)</f>
        <v>#NAME?</v>
      </c>
      <c r="H298" s="23" t="e">
        <f ca="1">_xludf.BETA.INV(X298,'04_PSA_INPUTS'!H11,'04_PSA_INPUTS'!I11)</f>
        <v>#NAME?</v>
      </c>
      <c r="I298" s="27" t="e">
        <f ca="1">D298+B298*F298+'01_INPUTS'!B20</f>
        <v>#NAME?</v>
      </c>
      <c r="J298" s="27" t="e">
        <f ca="1">E298+C298*F298+'01_INPUTS'!B21</f>
        <v>#NAME?</v>
      </c>
      <c r="K298" s="27" t="e">
        <f t="shared" ca="1" si="24"/>
        <v>#NAME?</v>
      </c>
      <c r="L298" s="23" t="e">
        <f t="shared" ca="1" si="25"/>
        <v>#NAME?</v>
      </c>
      <c r="M298" s="23" t="e">
        <f t="shared" ca="1" si="26"/>
        <v>#NAME?</v>
      </c>
      <c r="N298" s="23" t="e">
        <f t="shared" ca="1" si="27"/>
        <v>#NAME?</v>
      </c>
      <c r="O298" s="27" t="e">
        <f t="shared" ca="1" si="28"/>
        <v>#NAME?</v>
      </c>
      <c r="P298" s="27" t="e">
        <f ca="1">'01_INPUTS'!B9*N298-K298</f>
        <v>#NAME?</v>
      </c>
      <c r="Q298" s="1" t="e">
        <f t="shared" ca="1" si="29"/>
        <v>#NAME?</v>
      </c>
      <c r="R298" s="28">
        <v>0.13815491134300828</v>
      </c>
      <c r="S298" s="28">
        <v>0.10923110484145582</v>
      </c>
      <c r="T298" s="28">
        <v>0.93486892594955862</v>
      </c>
      <c r="U298" s="28">
        <v>0.52073889528401196</v>
      </c>
      <c r="V298" s="28">
        <v>0.39997260645031929</v>
      </c>
      <c r="W298" s="28">
        <v>0.6886522863060236</v>
      </c>
      <c r="X298" s="28">
        <v>0.74747101170942187</v>
      </c>
    </row>
    <row r="299" spans="1:24" ht="13.9">
      <c r="A299" s="1">
        <v>298</v>
      </c>
      <c r="B299" s="23" t="e">
        <f ca="1">_xludf.BETA.INV(R299,'04_PSA_INPUTS'!H5,'04_PSA_INPUTS'!I5)</f>
        <v>#NAME?</v>
      </c>
      <c r="C299" s="23" t="e">
        <f ca="1">_xludf.BETA.INV(S299,'04_PSA_INPUTS'!H6,'04_PSA_INPUTS'!I6)</f>
        <v>#NAME?</v>
      </c>
      <c r="D299" s="27" t="e">
        <f ca="1">_xludf.GAMMA.INV(T299,'04_PSA_INPUTS'!H7,'04_PSA_INPUTS'!I7)</f>
        <v>#NAME?</v>
      </c>
      <c r="E299" s="27" t="e">
        <f ca="1">_xludf.GAMMA.INV(U299,'04_PSA_INPUTS'!H8,'04_PSA_INPUTS'!I8)</f>
        <v>#NAME?</v>
      </c>
      <c r="F299" s="27" t="e">
        <f ca="1">_xludf.GAMMA.INV(V299,'04_PSA_INPUTS'!H9,'04_PSA_INPUTS'!I9)</f>
        <v>#NAME?</v>
      </c>
      <c r="G299" s="23" t="e">
        <f ca="1">_xludf.BETA.INV(W299,'04_PSA_INPUTS'!H10,'04_PSA_INPUTS'!I10)</f>
        <v>#NAME?</v>
      </c>
      <c r="H299" s="23" t="e">
        <f ca="1">_xludf.BETA.INV(X299,'04_PSA_INPUTS'!H11,'04_PSA_INPUTS'!I11)</f>
        <v>#NAME?</v>
      </c>
      <c r="I299" s="27" t="e">
        <f ca="1">D299+B299*F299+'01_INPUTS'!B20</f>
        <v>#NAME?</v>
      </c>
      <c r="J299" s="27" t="e">
        <f ca="1">E299+C299*F299+'01_INPUTS'!B21</f>
        <v>#NAME?</v>
      </c>
      <c r="K299" s="27" t="e">
        <f t="shared" ca="1" si="24"/>
        <v>#NAME?</v>
      </c>
      <c r="L299" s="23" t="e">
        <f t="shared" ca="1" si="25"/>
        <v>#NAME?</v>
      </c>
      <c r="M299" s="23" t="e">
        <f t="shared" ca="1" si="26"/>
        <v>#NAME?</v>
      </c>
      <c r="N299" s="23" t="e">
        <f t="shared" ca="1" si="27"/>
        <v>#NAME?</v>
      </c>
      <c r="O299" s="27" t="e">
        <f t="shared" ca="1" si="28"/>
        <v>#NAME?</v>
      </c>
      <c r="P299" s="27" t="e">
        <f ca="1">'01_INPUTS'!B9*N299-K299</f>
        <v>#NAME?</v>
      </c>
      <c r="Q299" s="1" t="e">
        <f t="shared" ca="1" si="29"/>
        <v>#NAME?</v>
      </c>
      <c r="R299" s="28">
        <v>0.90173151437193155</v>
      </c>
      <c r="S299" s="28">
        <v>0.57696106238290668</v>
      </c>
      <c r="T299" s="28">
        <v>0.44302538130432367</v>
      </c>
      <c r="U299" s="28">
        <v>8.4772586822509766E-2</v>
      </c>
      <c r="V299" s="28">
        <v>0.67100394726730883</v>
      </c>
      <c r="W299" s="28">
        <v>0.67924227751791477</v>
      </c>
      <c r="X299" s="28">
        <v>0.20413230801932514</v>
      </c>
    </row>
    <row r="300" spans="1:24" ht="13.9">
      <c r="A300" s="1">
        <v>299</v>
      </c>
      <c r="B300" s="23" t="e">
        <f ca="1">_xludf.BETA.INV(R300,'04_PSA_INPUTS'!H5,'04_PSA_INPUTS'!I5)</f>
        <v>#NAME?</v>
      </c>
      <c r="C300" s="23" t="e">
        <f ca="1">_xludf.BETA.INV(S300,'04_PSA_INPUTS'!H6,'04_PSA_INPUTS'!I6)</f>
        <v>#NAME?</v>
      </c>
      <c r="D300" s="27" t="e">
        <f ca="1">_xludf.GAMMA.INV(T300,'04_PSA_INPUTS'!H7,'04_PSA_INPUTS'!I7)</f>
        <v>#NAME?</v>
      </c>
      <c r="E300" s="27" t="e">
        <f ca="1">_xludf.GAMMA.INV(U300,'04_PSA_INPUTS'!H8,'04_PSA_INPUTS'!I8)</f>
        <v>#NAME?</v>
      </c>
      <c r="F300" s="27" t="e">
        <f ca="1">_xludf.GAMMA.INV(V300,'04_PSA_INPUTS'!H9,'04_PSA_INPUTS'!I9)</f>
        <v>#NAME?</v>
      </c>
      <c r="G300" s="23" t="e">
        <f ca="1">_xludf.BETA.INV(W300,'04_PSA_INPUTS'!H10,'04_PSA_INPUTS'!I10)</f>
        <v>#NAME?</v>
      </c>
      <c r="H300" s="23" t="e">
        <f ca="1">_xludf.BETA.INV(X300,'04_PSA_INPUTS'!H11,'04_PSA_INPUTS'!I11)</f>
        <v>#NAME?</v>
      </c>
      <c r="I300" s="27" t="e">
        <f ca="1">D300+B300*F300+'01_INPUTS'!B20</f>
        <v>#NAME?</v>
      </c>
      <c r="J300" s="27" t="e">
        <f ca="1">E300+C300*F300+'01_INPUTS'!B21</f>
        <v>#NAME?</v>
      </c>
      <c r="K300" s="27" t="e">
        <f t="shared" ca="1" si="24"/>
        <v>#NAME?</v>
      </c>
      <c r="L300" s="23" t="e">
        <f t="shared" ca="1" si="25"/>
        <v>#NAME?</v>
      </c>
      <c r="M300" s="23" t="e">
        <f t="shared" ca="1" si="26"/>
        <v>#NAME?</v>
      </c>
      <c r="N300" s="23" t="e">
        <f t="shared" ca="1" si="27"/>
        <v>#NAME?</v>
      </c>
      <c r="O300" s="27" t="e">
        <f t="shared" ca="1" si="28"/>
        <v>#NAME?</v>
      </c>
      <c r="P300" s="27" t="e">
        <f ca="1">'01_INPUTS'!B9*N300-K300</f>
        <v>#NAME?</v>
      </c>
      <c r="Q300" s="1" t="e">
        <f t="shared" ca="1" si="29"/>
        <v>#NAME?</v>
      </c>
      <c r="R300" s="28">
        <v>0.13990334491245449</v>
      </c>
      <c r="S300" s="28">
        <v>0.16933754598721862</v>
      </c>
      <c r="T300" s="28">
        <v>0.666320048738271</v>
      </c>
      <c r="U300" s="28">
        <v>0.59428910841234028</v>
      </c>
      <c r="V300" s="28">
        <v>0.82849538209848106</v>
      </c>
      <c r="W300" s="28">
        <v>0.20622595516033471</v>
      </c>
      <c r="X300" s="28">
        <v>0.54010654310695827</v>
      </c>
    </row>
    <row r="301" spans="1:24" ht="13.9">
      <c r="A301" s="1">
        <v>300</v>
      </c>
      <c r="B301" s="23" t="e">
        <f ca="1">_xludf.BETA.INV(R301,'04_PSA_INPUTS'!H5,'04_PSA_INPUTS'!I5)</f>
        <v>#NAME?</v>
      </c>
      <c r="C301" s="23" t="e">
        <f ca="1">_xludf.BETA.INV(S301,'04_PSA_INPUTS'!H6,'04_PSA_INPUTS'!I6)</f>
        <v>#NAME?</v>
      </c>
      <c r="D301" s="27" t="e">
        <f ca="1">_xludf.GAMMA.INV(T301,'04_PSA_INPUTS'!H7,'04_PSA_INPUTS'!I7)</f>
        <v>#NAME?</v>
      </c>
      <c r="E301" s="27" t="e">
        <f ca="1">_xludf.GAMMA.INV(U301,'04_PSA_INPUTS'!H8,'04_PSA_INPUTS'!I8)</f>
        <v>#NAME?</v>
      </c>
      <c r="F301" s="27" t="e">
        <f ca="1">_xludf.GAMMA.INV(V301,'04_PSA_INPUTS'!H9,'04_PSA_INPUTS'!I9)</f>
        <v>#NAME?</v>
      </c>
      <c r="G301" s="23" t="e">
        <f ca="1">_xludf.BETA.INV(W301,'04_PSA_INPUTS'!H10,'04_PSA_INPUTS'!I10)</f>
        <v>#NAME?</v>
      </c>
      <c r="H301" s="23" t="e">
        <f ca="1">_xludf.BETA.INV(X301,'04_PSA_INPUTS'!H11,'04_PSA_INPUTS'!I11)</f>
        <v>#NAME?</v>
      </c>
      <c r="I301" s="27" t="e">
        <f ca="1">D301+B301*F301+'01_INPUTS'!B20</f>
        <v>#NAME?</v>
      </c>
      <c r="J301" s="27" t="e">
        <f ca="1">E301+C301*F301+'01_INPUTS'!B21</f>
        <v>#NAME?</v>
      </c>
      <c r="K301" s="27" t="e">
        <f t="shared" ca="1" si="24"/>
        <v>#NAME?</v>
      </c>
      <c r="L301" s="23" t="e">
        <f t="shared" ca="1" si="25"/>
        <v>#NAME?</v>
      </c>
      <c r="M301" s="23" t="e">
        <f t="shared" ca="1" si="26"/>
        <v>#NAME?</v>
      </c>
      <c r="N301" s="23" t="e">
        <f t="shared" ca="1" si="27"/>
        <v>#NAME?</v>
      </c>
      <c r="O301" s="27" t="e">
        <f t="shared" ca="1" si="28"/>
        <v>#NAME?</v>
      </c>
      <c r="P301" s="27" t="e">
        <f ca="1">'01_INPUTS'!B9*N301-K301</f>
        <v>#NAME?</v>
      </c>
      <c r="Q301" s="1" t="e">
        <f t="shared" ca="1" si="29"/>
        <v>#NAME?</v>
      </c>
      <c r="R301" s="28">
        <v>0.28097708406858146</v>
      </c>
      <c r="S301" s="28">
        <v>0.82139148283749819</v>
      </c>
      <c r="T301" s="28">
        <v>0.29564577201381326</v>
      </c>
      <c r="U301" s="28">
        <v>0.73641398572362959</v>
      </c>
      <c r="V301" s="28">
        <v>0.5787918334826827</v>
      </c>
      <c r="W301" s="28">
        <v>0.55008913273923099</v>
      </c>
      <c r="X301" s="28">
        <v>8.2356931641697884E-2</v>
      </c>
    </row>
    <row r="302" spans="1:24" ht="13.9">
      <c r="A302" s="1">
        <v>301</v>
      </c>
      <c r="B302" s="23" t="e">
        <f ca="1">_xludf.BETA.INV(R302,'04_PSA_INPUTS'!H5,'04_PSA_INPUTS'!I5)</f>
        <v>#NAME?</v>
      </c>
      <c r="C302" s="23" t="e">
        <f ca="1">_xludf.BETA.INV(S302,'04_PSA_INPUTS'!H6,'04_PSA_INPUTS'!I6)</f>
        <v>#NAME?</v>
      </c>
      <c r="D302" s="27" t="e">
        <f ca="1">_xludf.GAMMA.INV(T302,'04_PSA_INPUTS'!H7,'04_PSA_INPUTS'!I7)</f>
        <v>#NAME?</v>
      </c>
      <c r="E302" s="27" t="e">
        <f ca="1">_xludf.GAMMA.INV(U302,'04_PSA_INPUTS'!H8,'04_PSA_INPUTS'!I8)</f>
        <v>#NAME?</v>
      </c>
      <c r="F302" s="27" t="e">
        <f ca="1">_xludf.GAMMA.INV(V302,'04_PSA_INPUTS'!H9,'04_PSA_INPUTS'!I9)</f>
        <v>#NAME?</v>
      </c>
      <c r="G302" s="23" t="e">
        <f ca="1">_xludf.BETA.INV(W302,'04_PSA_INPUTS'!H10,'04_PSA_INPUTS'!I10)</f>
        <v>#NAME?</v>
      </c>
      <c r="H302" s="23" t="e">
        <f ca="1">_xludf.BETA.INV(X302,'04_PSA_INPUTS'!H11,'04_PSA_INPUTS'!I11)</f>
        <v>#NAME?</v>
      </c>
      <c r="I302" s="27" t="e">
        <f ca="1">D302+B302*F302+'01_INPUTS'!B20</f>
        <v>#NAME?</v>
      </c>
      <c r="J302" s="27" t="e">
        <f ca="1">E302+C302*F302+'01_INPUTS'!B21</f>
        <v>#NAME?</v>
      </c>
      <c r="K302" s="27" t="e">
        <f t="shared" ca="1" si="24"/>
        <v>#NAME?</v>
      </c>
      <c r="L302" s="23" t="e">
        <f t="shared" ca="1" si="25"/>
        <v>#NAME?</v>
      </c>
      <c r="M302" s="23" t="e">
        <f t="shared" ca="1" si="26"/>
        <v>#NAME?</v>
      </c>
      <c r="N302" s="23" t="e">
        <f t="shared" ca="1" si="27"/>
        <v>#NAME?</v>
      </c>
      <c r="O302" s="27" t="e">
        <f t="shared" ca="1" si="28"/>
        <v>#NAME?</v>
      </c>
      <c r="P302" s="27" t="e">
        <f ca="1">'01_INPUTS'!B9*N302-K302</f>
        <v>#NAME?</v>
      </c>
      <c r="Q302" s="1" t="e">
        <f t="shared" ca="1" si="29"/>
        <v>#NAME?</v>
      </c>
      <c r="R302" s="28">
        <v>0.61835614428855479</v>
      </c>
      <c r="S302" s="28">
        <v>0.36644434300251305</v>
      </c>
      <c r="T302" s="28">
        <v>0.28047065832652152</v>
      </c>
      <c r="U302" s="28">
        <v>0.30145984957925975</v>
      </c>
      <c r="V302" s="28">
        <v>0.58875917596742511</v>
      </c>
      <c r="W302" s="28">
        <v>0.25449421722441912</v>
      </c>
      <c r="X302" s="28">
        <v>0.23372354381717741</v>
      </c>
    </row>
    <row r="303" spans="1:24" ht="13.9">
      <c r="A303" s="1">
        <v>302</v>
      </c>
      <c r="B303" s="23" t="e">
        <f ca="1">_xludf.BETA.INV(R303,'04_PSA_INPUTS'!H5,'04_PSA_INPUTS'!I5)</f>
        <v>#NAME?</v>
      </c>
      <c r="C303" s="23" t="e">
        <f ca="1">_xludf.BETA.INV(S303,'04_PSA_INPUTS'!H6,'04_PSA_INPUTS'!I6)</f>
        <v>#NAME?</v>
      </c>
      <c r="D303" s="27" t="e">
        <f ca="1">_xludf.GAMMA.INV(T303,'04_PSA_INPUTS'!H7,'04_PSA_INPUTS'!I7)</f>
        <v>#NAME?</v>
      </c>
      <c r="E303" s="27" t="e">
        <f ca="1">_xludf.GAMMA.INV(U303,'04_PSA_INPUTS'!H8,'04_PSA_INPUTS'!I8)</f>
        <v>#NAME?</v>
      </c>
      <c r="F303" s="27" t="e">
        <f ca="1">_xludf.GAMMA.INV(V303,'04_PSA_INPUTS'!H9,'04_PSA_INPUTS'!I9)</f>
        <v>#NAME?</v>
      </c>
      <c r="G303" s="23" t="e">
        <f ca="1">_xludf.BETA.INV(W303,'04_PSA_INPUTS'!H10,'04_PSA_INPUTS'!I10)</f>
        <v>#NAME?</v>
      </c>
      <c r="H303" s="23" t="e">
        <f ca="1">_xludf.BETA.INV(X303,'04_PSA_INPUTS'!H11,'04_PSA_INPUTS'!I11)</f>
        <v>#NAME?</v>
      </c>
      <c r="I303" s="27" t="e">
        <f ca="1">D303+B303*F303+'01_INPUTS'!B20</f>
        <v>#NAME?</v>
      </c>
      <c r="J303" s="27" t="e">
        <f ca="1">E303+C303*F303+'01_INPUTS'!B21</f>
        <v>#NAME?</v>
      </c>
      <c r="K303" s="27" t="e">
        <f t="shared" ca="1" si="24"/>
        <v>#NAME?</v>
      </c>
      <c r="L303" s="23" t="e">
        <f t="shared" ca="1" si="25"/>
        <v>#NAME?</v>
      </c>
      <c r="M303" s="23" t="e">
        <f t="shared" ca="1" si="26"/>
        <v>#NAME?</v>
      </c>
      <c r="N303" s="23" t="e">
        <f t="shared" ca="1" si="27"/>
        <v>#NAME?</v>
      </c>
      <c r="O303" s="27" t="e">
        <f t="shared" ca="1" si="28"/>
        <v>#NAME?</v>
      </c>
      <c r="P303" s="27" t="e">
        <f ca="1">'01_INPUTS'!B9*N303-K303</f>
        <v>#NAME?</v>
      </c>
      <c r="Q303" s="1" t="e">
        <f t="shared" ca="1" si="29"/>
        <v>#NAME?</v>
      </c>
      <c r="R303" s="28">
        <v>6.2538429629057646E-3</v>
      </c>
      <c r="S303" s="28">
        <v>0.1272815412376076</v>
      </c>
      <c r="T303" s="28">
        <v>0.56353326793760061</v>
      </c>
      <c r="U303" s="28">
        <v>0.90323768462985754</v>
      </c>
      <c r="V303" s="28">
        <v>0.59733530809171498</v>
      </c>
      <c r="W303" s="28">
        <v>0.39522427832707763</v>
      </c>
      <c r="X303" s="28">
        <v>2.629722305573523E-2</v>
      </c>
    </row>
    <row r="304" spans="1:24" ht="13.9">
      <c r="A304" s="1">
        <v>303</v>
      </c>
      <c r="B304" s="23" t="e">
        <f ca="1">_xludf.BETA.INV(R304,'04_PSA_INPUTS'!H5,'04_PSA_INPUTS'!I5)</f>
        <v>#NAME?</v>
      </c>
      <c r="C304" s="23" t="e">
        <f ca="1">_xludf.BETA.INV(S304,'04_PSA_INPUTS'!H6,'04_PSA_INPUTS'!I6)</f>
        <v>#NAME?</v>
      </c>
      <c r="D304" s="27" t="e">
        <f ca="1">_xludf.GAMMA.INV(T304,'04_PSA_INPUTS'!H7,'04_PSA_INPUTS'!I7)</f>
        <v>#NAME?</v>
      </c>
      <c r="E304" s="27" t="e">
        <f ca="1">_xludf.GAMMA.INV(U304,'04_PSA_INPUTS'!H8,'04_PSA_INPUTS'!I8)</f>
        <v>#NAME?</v>
      </c>
      <c r="F304" s="27" t="e">
        <f ca="1">_xludf.GAMMA.INV(V304,'04_PSA_INPUTS'!H9,'04_PSA_INPUTS'!I9)</f>
        <v>#NAME?</v>
      </c>
      <c r="G304" s="23" t="e">
        <f ca="1">_xludf.BETA.INV(W304,'04_PSA_INPUTS'!H10,'04_PSA_INPUTS'!I10)</f>
        <v>#NAME?</v>
      </c>
      <c r="H304" s="23" t="e">
        <f ca="1">_xludf.BETA.INV(X304,'04_PSA_INPUTS'!H11,'04_PSA_INPUTS'!I11)</f>
        <v>#NAME?</v>
      </c>
      <c r="I304" s="27" t="e">
        <f ca="1">D304+B304*F304+'01_INPUTS'!B20</f>
        <v>#NAME?</v>
      </c>
      <c r="J304" s="27" t="e">
        <f ca="1">E304+C304*F304+'01_INPUTS'!B21</f>
        <v>#NAME?</v>
      </c>
      <c r="K304" s="27" t="e">
        <f t="shared" ca="1" si="24"/>
        <v>#NAME?</v>
      </c>
      <c r="L304" s="23" t="e">
        <f t="shared" ca="1" si="25"/>
        <v>#NAME?</v>
      </c>
      <c r="M304" s="23" t="e">
        <f t="shared" ca="1" si="26"/>
        <v>#NAME?</v>
      </c>
      <c r="N304" s="23" t="e">
        <f t="shared" ca="1" si="27"/>
        <v>#NAME?</v>
      </c>
      <c r="O304" s="27" t="e">
        <f t="shared" ca="1" si="28"/>
        <v>#NAME?</v>
      </c>
      <c r="P304" s="27" t="e">
        <f ca="1">'01_INPUTS'!B9*N304-K304</f>
        <v>#NAME?</v>
      </c>
      <c r="Q304" s="1" t="e">
        <f t="shared" ca="1" si="29"/>
        <v>#NAME?</v>
      </c>
      <c r="R304" s="28">
        <v>0.99008422112092376</v>
      </c>
      <c r="S304" s="28">
        <v>0.81565513671375811</v>
      </c>
      <c r="T304" s="28">
        <v>0.67000298434868455</v>
      </c>
      <c r="U304" s="28">
        <v>0.62085752561688423</v>
      </c>
      <c r="V304" s="28">
        <v>4.6994945965707302E-2</v>
      </c>
      <c r="W304" s="28">
        <v>0.25025144661776721</v>
      </c>
      <c r="X304" s="28">
        <v>0.519829141208902</v>
      </c>
    </row>
    <row r="305" spans="1:24" ht="13.9">
      <c r="A305" s="1">
        <v>304</v>
      </c>
      <c r="B305" s="23" t="e">
        <f ca="1">_xludf.BETA.INV(R305,'04_PSA_INPUTS'!H5,'04_PSA_INPUTS'!I5)</f>
        <v>#NAME?</v>
      </c>
      <c r="C305" s="23" t="e">
        <f ca="1">_xludf.BETA.INV(S305,'04_PSA_INPUTS'!H6,'04_PSA_INPUTS'!I6)</f>
        <v>#NAME?</v>
      </c>
      <c r="D305" s="27" t="e">
        <f ca="1">_xludf.GAMMA.INV(T305,'04_PSA_INPUTS'!H7,'04_PSA_INPUTS'!I7)</f>
        <v>#NAME?</v>
      </c>
      <c r="E305" s="27" t="e">
        <f ca="1">_xludf.GAMMA.INV(U305,'04_PSA_INPUTS'!H8,'04_PSA_INPUTS'!I8)</f>
        <v>#NAME?</v>
      </c>
      <c r="F305" s="27" t="e">
        <f ca="1">_xludf.GAMMA.INV(V305,'04_PSA_INPUTS'!H9,'04_PSA_INPUTS'!I9)</f>
        <v>#NAME?</v>
      </c>
      <c r="G305" s="23" t="e">
        <f ca="1">_xludf.BETA.INV(W305,'04_PSA_INPUTS'!H10,'04_PSA_INPUTS'!I10)</f>
        <v>#NAME?</v>
      </c>
      <c r="H305" s="23" t="e">
        <f ca="1">_xludf.BETA.INV(X305,'04_PSA_INPUTS'!H11,'04_PSA_INPUTS'!I11)</f>
        <v>#NAME?</v>
      </c>
      <c r="I305" s="27" t="e">
        <f ca="1">D305+B305*F305+'01_INPUTS'!B20</f>
        <v>#NAME?</v>
      </c>
      <c r="J305" s="27" t="e">
        <f ca="1">E305+C305*F305+'01_INPUTS'!B21</f>
        <v>#NAME?</v>
      </c>
      <c r="K305" s="27" t="e">
        <f t="shared" ca="1" si="24"/>
        <v>#NAME?</v>
      </c>
      <c r="L305" s="23" t="e">
        <f t="shared" ca="1" si="25"/>
        <v>#NAME?</v>
      </c>
      <c r="M305" s="23" t="e">
        <f t="shared" ca="1" si="26"/>
        <v>#NAME?</v>
      </c>
      <c r="N305" s="23" t="e">
        <f t="shared" ca="1" si="27"/>
        <v>#NAME?</v>
      </c>
      <c r="O305" s="27" t="e">
        <f t="shared" ca="1" si="28"/>
        <v>#NAME?</v>
      </c>
      <c r="P305" s="27" t="e">
        <f ca="1">'01_INPUTS'!B9*N305-K305</f>
        <v>#NAME?</v>
      </c>
      <c r="Q305" s="1" t="e">
        <f t="shared" ca="1" si="29"/>
        <v>#NAME?</v>
      </c>
      <c r="R305" s="28">
        <v>0.8420455171726644</v>
      </c>
      <c r="S305" s="28">
        <v>0.39556436939164996</v>
      </c>
      <c r="T305" s="28">
        <v>0.46458616387099028</v>
      </c>
      <c r="U305" s="28">
        <v>0.91804956505075097</v>
      </c>
      <c r="V305" s="28">
        <v>0.65448569250293076</v>
      </c>
      <c r="W305" s="28">
        <v>0.33318136516027153</v>
      </c>
      <c r="X305" s="28">
        <v>0.46310316165909171</v>
      </c>
    </row>
    <row r="306" spans="1:24" ht="13.9">
      <c r="A306" s="1">
        <v>305</v>
      </c>
      <c r="B306" s="23" t="e">
        <f ca="1">_xludf.BETA.INV(R306,'04_PSA_INPUTS'!H5,'04_PSA_INPUTS'!I5)</f>
        <v>#NAME?</v>
      </c>
      <c r="C306" s="23" t="e">
        <f ca="1">_xludf.BETA.INV(S306,'04_PSA_INPUTS'!H6,'04_PSA_INPUTS'!I6)</f>
        <v>#NAME?</v>
      </c>
      <c r="D306" s="27" t="e">
        <f ca="1">_xludf.GAMMA.INV(T306,'04_PSA_INPUTS'!H7,'04_PSA_INPUTS'!I7)</f>
        <v>#NAME?</v>
      </c>
      <c r="E306" s="27" t="e">
        <f ca="1">_xludf.GAMMA.INV(U306,'04_PSA_INPUTS'!H8,'04_PSA_INPUTS'!I8)</f>
        <v>#NAME?</v>
      </c>
      <c r="F306" s="27" t="e">
        <f ca="1">_xludf.GAMMA.INV(V306,'04_PSA_INPUTS'!H9,'04_PSA_INPUTS'!I9)</f>
        <v>#NAME?</v>
      </c>
      <c r="G306" s="23" t="e">
        <f ca="1">_xludf.BETA.INV(W306,'04_PSA_INPUTS'!H10,'04_PSA_INPUTS'!I10)</f>
        <v>#NAME?</v>
      </c>
      <c r="H306" s="23" t="e">
        <f ca="1">_xludf.BETA.INV(X306,'04_PSA_INPUTS'!H11,'04_PSA_INPUTS'!I11)</f>
        <v>#NAME?</v>
      </c>
      <c r="I306" s="27" t="e">
        <f ca="1">D306+B306*F306+'01_INPUTS'!B20</f>
        <v>#NAME?</v>
      </c>
      <c r="J306" s="27" t="e">
        <f ca="1">E306+C306*F306+'01_INPUTS'!B21</f>
        <v>#NAME?</v>
      </c>
      <c r="K306" s="27" t="e">
        <f t="shared" ca="1" si="24"/>
        <v>#NAME?</v>
      </c>
      <c r="L306" s="23" t="e">
        <f t="shared" ca="1" si="25"/>
        <v>#NAME?</v>
      </c>
      <c r="M306" s="23" t="e">
        <f t="shared" ca="1" si="26"/>
        <v>#NAME?</v>
      </c>
      <c r="N306" s="23" t="e">
        <f t="shared" ca="1" si="27"/>
        <v>#NAME?</v>
      </c>
      <c r="O306" s="27" t="e">
        <f t="shared" ca="1" si="28"/>
        <v>#NAME?</v>
      </c>
      <c r="P306" s="27" t="e">
        <f ca="1">'01_INPUTS'!B9*N306-K306</f>
        <v>#NAME?</v>
      </c>
      <c r="Q306" s="1" t="e">
        <f t="shared" ca="1" si="29"/>
        <v>#NAME?</v>
      </c>
      <c r="R306" s="28">
        <v>0.4364394701551646</v>
      </c>
      <c r="S306" s="28">
        <v>0.26367754209786654</v>
      </c>
      <c r="T306" s="28">
        <v>0.84706894680857658</v>
      </c>
      <c r="U306" s="28">
        <v>0.47347402642481029</v>
      </c>
      <c r="V306" s="28">
        <v>0.95197640988044441</v>
      </c>
      <c r="W306" s="28">
        <v>9.9083304172381759E-2</v>
      </c>
      <c r="X306" s="28">
        <v>0.8244121300522238</v>
      </c>
    </row>
    <row r="307" spans="1:24" ht="13.9">
      <c r="A307" s="1">
        <v>306</v>
      </c>
      <c r="B307" s="23" t="e">
        <f ca="1">_xludf.BETA.INV(R307,'04_PSA_INPUTS'!H5,'04_PSA_INPUTS'!I5)</f>
        <v>#NAME?</v>
      </c>
      <c r="C307" s="23" t="e">
        <f ca="1">_xludf.BETA.INV(S307,'04_PSA_INPUTS'!H6,'04_PSA_INPUTS'!I6)</f>
        <v>#NAME?</v>
      </c>
      <c r="D307" s="27" t="e">
        <f ca="1">_xludf.GAMMA.INV(T307,'04_PSA_INPUTS'!H7,'04_PSA_INPUTS'!I7)</f>
        <v>#NAME?</v>
      </c>
      <c r="E307" s="27" t="e">
        <f ca="1">_xludf.GAMMA.INV(U307,'04_PSA_INPUTS'!H8,'04_PSA_INPUTS'!I8)</f>
        <v>#NAME?</v>
      </c>
      <c r="F307" s="27" t="e">
        <f ca="1">_xludf.GAMMA.INV(V307,'04_PSA_INPUTS'!H9,'04_PSA_INPUTS'!I9)</f>
        <v>#NAME?</v>
      </c>
      <c r="G307" s="23" t="e">
        <f ca="1">_xludf.BETA.INV(W307,'04_PSA_INPUTS'!H10,'04_PSA_INPUTS'!I10)</f>
        <v>#NAME?</v>
      </c>
      <c r="H307" s="23" t="e">
        <f ca="1">_xludf.BETA.INV(X307,'04_PSA_INPUTS'!H11,'04_PSA_INPUTS'!I11)</f>
        <v>#NAME?</v>
      </c>
      <c r="I307" s="27" t="e">
        <f ca="1">D307+B307*F307+'01_INPUTS'!B20</f>
        <v>#NAME?</v>
      </c>
      <c r="J307" s="27" t="e">
        <f ca="1">E307+C307*F307+'01_INPUTS'!B21</f>
        <v>#NAME?</v>
      </c>
      <c r="K307" s="27" t="e">
        <f t="shared" ca="1" si="24"/>
        <v>#NAME?</v>
      </c>
      <c r="L307" s="23" t="e">
        <f t="shared" ca="1" si="25"/>
        <v>#NAME?</v>
      </c>
      <c r="M307" s="23" t="e">
        <f t="shared" ca="1" si="26"/>
        <v>#NAME?</v>
      </c>
      <c r="N307" s="23" t="e">
        <f t="shared" ca="1" si="27"/>
        <v>#NAME?</v>
      </c>
      <c r="O307" s="27" t="e">
        <f t="shared" ca="1" si="28"/>
        <v>#NAME?</v>
      </c>
      <c r="P307" s="27" t="e">
        <f ca="1">'01_INPUTS'!B9*N307-K307</f>
        <v>#NAME?</v>
      </c>
      <c r="Q307" s="1" t="e">
        <f t="shared" ca="1" si="29"/>
        <v>#NAME?</v>
      </c>
      <c r="R307" s="28">
        <v>0.51643221895210445</v>
      </c>
      <c r="S307" s="28">
        <v>0.50664921570569277</v>
      </c>
      <c r="T307" s="28">
        <v>0.75901311868801713</v>
      </c>
      <c r="U307" s="28">
        <v>0.94365226640366018</v>
      </c>
      <c r="V307" s="28">
        <v>0.3067426432389766</v>
      </c>
      <c r="W307" s="28">
        <v>0.13565366645343602</v>
      </c>
      <c r="X307" s="28">
        <v>0.87291513616219163</v>
      </c>
    </row>
    <row r="308" spans="1:24" ht="13.9">
      <c r="A308" s="1">
        <v>307</v>
      </c>
      <c r="B308" s="23" t="e">
        <f ca="1">_xludf.BETA.INV(R308,'04_PSA_INPUTS'!H5,'04_PSA_INPUTS'!I5)</f>
        <v>#NAME?</v>
      </c>
      <c r="C308" s="23" t="e">
        <f ca="1">_xludf.BETA.INV(S308,'04_PSA_INPUTS'!H6,'04_PSA_INPUTS'!I6)</f>
        <v>#NAME?</v>
      </c>
      <c r="D308" s="27" t="e">
        <f ca="1">_xludf.GAMMA.INV(T308,'04_PSA_INPUTS'!H7,'04_PSA_INPUTS'!I7)</f>
        <v>#NAME?</v>
      </c>
      <c r="E308" s="27" t="e">
        <f ca="1">_xludf.GAMMA.INV(U308,'04_PSA_INPUTS'!H8,'04_PSA_INPUTS'!I8)</f>
        <v>#NAME?</v>
      </c>
      <c r="F308" s="27" t="e">
        <f ca="1">_xludf.GAMMA.INV(V308,'04_PSA_INPUTS'!H9,'04_PSA_INPUTS'!I9)</f>
        <v>#NAME?</v>
      </c>
      <c r="G308" s="23" t="e">
        <f ca="1">_xludf.BETA.INV(W308,'04_PSA_INPUTS'!H10,'04_PSA_INPUTS'!I10)</f>
        <v>#NAME?</v>
      </c>
      <c r="H308" s="23" t="e">
        <f ca="1">_xludf.BETA.INV(X308,'04_PSA_INPUTS'!H11,'04_PSA_INPUTS'!I11)</f>
        <v>#NAME?</v>
      </c>
      <c r="I308" s="27" t="e">
        <f ca="1">D308+B308*F308+'01_INPUTS'!B20</f>
        <v>#NAME?</v>
      </c>
      <c r="J308" s="27" t="e">
        <f ca="1">E308+C308*F308+'01_INPUTS'!B21</f>
        <v>#NAME?</v>
      </c>
      <c r="K308" s="27" t="e">
        <f t="shared" ca="1" si="24"/>
        <v>#NAME?</v>
      </c>
      <c r="L308" s="23" t="e">
        <f t="shared" ca="1" si="25"/>
        <v>#NAME?</v>
      </c>
      <c r="M308" s="23" t="e">
        <f t="shared" ca="1" si="26"/>
        <v>#NAME?</v>
      </c>
      <c r="N308" s="23" t="e">
        <f t="shared" ca="1" si="27"/>
        <v>#NAME?</v>
      </c>
      <c r="O308" s="27" t="e">
        <f t="shared" ca="1" si="28"/>
        <v>#NAME?</v>
      </c>
      <c r="P308" s="27" t="e">
        <f ca="1">'01_INPUTS'!B9*N308-K308</f>
        <v>#NAME?</v>
      </c>
      <c r="Q308" s="1" t="e">
        <f t="shared" ca="1" si="29"/>
        <v>#NAME?</v>
      </c>
      <c r="R308" s="28">
        <v>0.19225694215856493</v>
      </c>
      <c r="S308" s="28">
        <v>0.84903998393565416</v>
      </c>
      <c r="T308" s="28">
        <v>0.4664254633244127</v>
      </c>
      <c r="U308" s="28">
        <v>0.45382060017436743</v>
      </c>
      <c r="V308" s="28">
        <v>0.56487804814241827</v>
      </c>
      <c r="W308" s="28">
        <v>0.65450234827585518</v>
      </c>
      <c r="X308" s="28">
        <v>0.8915540121961385</v>
      </c>
    </row>
    <row r="309" spans="1:24" ht="13.9">
      <c r="A309" s="1">
        <v>308</v>
      </c>
      <c r="B309" s="23" t="e">
        <f ca="1">_xludf.BETA.INV(R309,'04_PSA_INPUTS'!H5,'04_PSA_INPUTS'!I5)</f>
        <v>#NAME?</v>
      </c>
      <c r="C309" s="23" t="e">
        <f ca="1">_xludf.BETA.INV(S309,'04_PSA_INPUTS'!H6,'04_PSA_INPUTS'!I6)</f>
        <v>#NAME?</v>
      </c>
      <c r="D309" s="27" t="e">
        <f ca="1">_xludf.GAMMA.INV(T309,'04_PSA_INPUTS'!H7,'04_PSA_INPUTS'!I7)</f>
        <v>#NAME?</v>
      </c>
      <c r="E309" s="27" t="e">
        <f ca="1">_xludf.GAMMA.INV(U309,'04_PSA_INPUTS'!H8,'04_PSA_INPUTS'!I8)</f>
        <v>#NAME?</v>
      </c>
      <c r="F309" s="27" t="e">
        <f ca="1">_xludf.GAMMA.INV(V309,'04_PSA_INPUTS'!H9,'04_PSA_INPUTS'!I9)</f>
        <v>#NAME?</v>
      </c>
      <c r="G309" s="23" t="e">
        <f ca="1">_xludf.BETA.INV(W309,'04_PSA_INPUTS'!H10,'04_PSA_INPUTS'!I10)</f>
        <v>#NAME?</v>
      </c>
      <c r="H309" s="23" t="e">
        <f ca="1">_xludf.BETA.INV(X309,'04_PSA_INPUTS'!H11,'04_PSA_INPUTS'!I11)</f>
        <v>#NAME?</v>
      </c>
      <c r="I309" s="27" t="e">
        <f ca="1">D309+B309*F309+'01_INPUTS'!B20</f>
        <v>#NAME?</v>
      </c>
      <c r="J309" s="27" t="e">
        <f ca="1">E309+C309*F309+'01_INPUTS'!B21</f>
        <v>#NAME?</v>
      </c>
      <c r="K309" s="27" t="e">
        <f t="shared" ca="1" si="24"/>
        <v>#NAME?</v>
      </c>
      <c r="L309" s="23" t="e">
        <f t="shared" ca="1" si="25"/>
        <v>#NAME?</v>
      </c>
      <c r="M309" s="23" t="e">
        <f t="shared" ca="1" si="26"/>
        <v>#NAME?</v>
      </c>
      <c r="N309" s="23" t="e">
        <f t="shared" ca="1" si="27"/>
        <v>#NAME?</v>
      </c>
      <c r="O309" s="27" t="e">
        <f t="shared" ca="1" si="28"/>
        <v>#NAME?</v>
      </c>
      <c r="P309" s="27" t="e">
        <f ca="1">'01_INPUTS'!B9*N309-K309</f>
        <v>#NAME?</v>
      </c>
      <c r="Q309" s="1" t="e">
        <f t="shared" ca="1" si="29"/>
        <v>#NAME?</v>
      </c>
      <c r="R309" s="28">
        <v>0.75292017217725515</v>
      </c>
      <c r="S309" s="28">
        <v>0.26556099322624505</v>
      </c>
      <c r="T309" s="28">
        <v>2.8951119398698211E-2</v>
      </c>
      <c r="U309" s="28">
        <v>0.33785603265278041</v>
      </c>
      <c r="V309" s="28">
        <v>0.83863270608708262</v>
      </c>
      <c r="W309" s="28">
        <v>0.31269934610463679</v>
      </c>
      <c r="X309" s="28">
        <v>0.19880246464163065</v>
      </c>
    </row>
    <row r="310" spans="1:24" ht="13.9">
      <c r="A310" s="1">
        <v>309</v>
      </c>
      <c r="B310" s="23" t="e">
        <f ca="1">_xludf.BETA.INV(R310,'04_PSA_INPUTS'!H5,'04_PSA_INPUTS'!I5)</f>
        <v>#NAME?</v>
      </c>
      <c r="C310" s="23" t="e">
        <f ca="1">_xludf.BETA.INV(S310,'04_PSA_INPUTS'!H6,'04_PSA_INPUTS'!I6)</f>
        <v>#NAME?</v>
      </c>
      <c r="D310" s="27" t="e">
        <f ca="1">_xludf.GAMMA.INV(T310,'04_PSA_INPUTS'!H7,'04_PSA_INPUTS'!I7)</f>
        <v>#NAME?</v>
      </c>
      <c r="E310" s="27" t="e">
        <f ca="1">_xludf.GAMMA.INV(U310,'04_PSA_INPUTS'!H8,'04_PSA_INPUTS'!I8)</f>
        <v>#NAME?</v>
      </c>
      <c r="F310" s="27" t="e">
        <f ca="1">_xludf.GAMMA.INV(V310,'04_PSA_INPUTS'!H9,'04_PSA_INPUTS'!I9)</f>
        <v>#NAME?</v>
      </c>
      <c r="G310" s="23" t="e">
        <f ca="1">_xludf.BETA.INV(W310,'04_PSA_INPUTS'!H10,'04_PSA_INPUTS'!I10)</f>
        <v>#NAME?</v>
      </c>
      <c r="H310" s="23" t="e">
        <f ca="1">_xludf.BETA.INV(X310,'04_PSA_INPUTS'!H11,'04_PSA_INPUTS'!I11)</f>
        <v>#NAME?</v>
      </c>
      <c r="I310" s="27" t="e">
        <f ca="1">D310+B310*F310+'01_INPUTS'!B20</f>
        <v>#NAME?</v>
      </c>
      <c r="J310" s="27" t="e">
        <f ca="1">E310+C310*F310+'01_INPUTS'!B21</f>
        <v>#NAME?</v>
      </c>
      <c r="K310" s="27" t="e">
        <f t="shared" ca="1" si="24"/>
        <v>#NAME?</v>
      </c>
      <c r="L310" s="23" t="e">
        <f t="shared" ca="1" si="25"/>
        <v>#NAME?</v>
      </c>
      <c r="M310" s="23" t="e">
        <f t="shared" ca="1" si="26"/>
        <v>#NAME?</v>
      </c>
      <c r="N310" s="23" t="e">
        <f t="shared" ca="1" si="27"/>
        <v>#NAME?</v>
      </c>
      <c r="O310" s="27" t="e">
        <f t="shared" ca="1" si="28"/>
        <v>#NAME?</v>
      </c>
      <c r="P310" s="27" t="e">
        <f ca="1">'01_INPUTS'!B9*N310-K310</f>
        <v>#NAME?</v>
      </c>
      <c r="Q310" s="1" t="e">
        <f t="shared" ca="1" si="29"/>
        <v>#NAME?</v>
      </c>
      <c r="R310" s="28">
        <v>0.19185160775668919</v>
      </c>
      <c r="S310" s="28">
        <v>0.63588468544185162</v>
      </c>
      <c r="T310" s="28">
        <v>0.65952408686280251</v>
      </c>
      <c r="U310" s="28">
        <v>0.87362135318107903</v>
      </c>
      <c r="V310" s="28">
        <v>0.88038932415656745</v>
      </c>
      <c r="W310" s="28">
        <v>0.66878976696170866</v>
      </c>
      <c r="X310" s="28">
        <v>0.63054722151719034</v>
      </c>
    </row>
    <row r="311" spans="1:24" ht="13.9">
      <c r="A311" s="1">
        <v>310</v>
      </c>
      <c r="B311" s="23" t="e">
        <f ca="1">_xludf.BETA.INV(R311,'04_PSA_INPUTS'!H5,'04_PSA_INPUTS'!I5)</f>
        <v>#NAME?</v>
      </c>
      <c r="C311" s="23" t="e">
        <f ca="1">_xludf.BETA.INV(S311,'04_PSA_INPUTS'!H6,'04_PSA_INPUTS'!I6)</f>
        <v>#NAME?</v>
      </c>
      <c r="D311" s="27" t="e">
        <f ca="1">_xludf.GAMMA.INV(T311,'04_PSA_INPUTS'!H7,'04_PSA_INPUTS'!I7)</f>
        <v>#NAME?</v>
      </c>
      <c r="E311" s="27" t="e">
        <f ca="1">_xludf.GAMMA.INV(U311,'04_PSA_INPUTS'!H8,'04_PSA_INPUTS'!I8)</f>
        <v>#NAME?</v>
      </c>
      <c r="F311" s="27" t="e">
        <f ca="1">_xludf.GAMMA.INV(V311,'04_PSA_INPUTS'!H9,'04_PSA_INPUTS'!I9)</f>
        <v>#NAME?</v>
      </c>
      <c r="G311" s="23" t="e">
        <f ca="1">_xludf.BETA.INV(W311,'04_PSA_INPUTS'!H10,'04_PSA_INPUTS'!I10)</f>
        <v>#NAME?</v>
      </c>
      <c r="H311" s="23" t="e">
        <f ca="1">_xludf.BETA.INV(X311,'04_PSA_INPUTS'!H11,'04_PSA_INPUTS'!I11)</f>
        <v>#NAME?</v>
      </c>
      <c r="I311" s="27" t="e">
        <f ca="1">D311+B311*F311+'01_INPUTS'!B20</f>
        <v>#NAME?</v>
      </c>
      <c r="J311" s="27" t="e">
        <f ca="1">E311+C311*F311+'01_INPUTS'!B21</f>
        <v>#NAME?</v>
      </c>
      <c r="K311" s="27" t="e">
        <f t="shared" ca="1" si="24"/>
        <v>#NAME?</v>
      </c>
      <c r="L311" s="23" t="e">
        <f t="shared" ca="1" si="25"/>
        <v>#NAME?</v>
      </c>
      <c r="M311" s="23" t="e">
        <f t="shared" ca="1" si="26"/>
        <v>#NAME?</v>
      </c>
      <c r="N311" s="23" t="e">
        <f t="shared" ca="1" si="27"/>
        <v>#NAME?</v>
      </c>
      <c r="O311" s="27" t="e">
        <f t="shared" ca="1" si="28"/>
        <v>#NAME?</v>
      </c>
      <c r="P311" s="27" t="e">
        <f ca="1">'01_INPUTS'!B9*N311-K311</f>
        <v>#NAME?</v>
      </c>
      <c r="Q311" s="1" t="e">
        <f t="shared" ca="1" si="29"/>
        <v>#NAME?</v>
      </c>
      <c r="R311" s="28">
        <v>0.87740867771208286</v>
      </c>
      <c r="S311" s="28">
        <v>0.64046356151811779</v>
      </c>
      <c r="T311" s="28">
        <v>0.16890344396233559</v>
      </c>
      <c r="U311" s="28">
        <v>0.29781531379558146</v>
      </c>
      <c r="V311" s="28">
        <v>0.89428909495472908</v>
      </c>
      <c r="W311" s="28">
        <v>0.45343079045414925</v>
      </c>
      <c r="X311" s="28">
        <v>0.67137905326671898</v>
      </c>
    </row>
    <row r="312" spans="1:24" ht="13.9">
      <c r="A312" s="1">
        <v>311</v>
      </c>
      <c r="B312" s="23" t="e">
        <f ca="1">_xludf.BETA.INV(R312,'04_PSA_INPUTS'!H5,'04_PSA_INPUTS'!I5)</f>
        <v>#NAME?</v>
      </c>
      <c r="C312" s="23" t="e">
        <f ca="1">_xludf.BETA.INV(S312,'04_PSA_INPUTS'!H6,'04_PSA_INPUTS'!I6)</f>
        <v>#NAME?</v>
      </c>
      <c r="D312" s="27" t="e">
        <f ca="1">_xludf.GAMMA.INV(T312,'04_PSA_INPUTS'!H7,'04_PSA_INPUTS'!I7)</f>
        <v>#NAME?</v>
      </c>
      <c r="E312" s="27" t="e">
        <f ca="1">_xludf.GAMMA.INV(U312,'04_PSA_INPUTS'!H8,'04_PSA_INPUTS'!I8)</f>
        <v>#NAME?</v>
      </c>
      <c r="F312" s="27" t="e">
        <f ca="1">_xludf.GAMMA.INV(V312,'04_PSA_INPUTS'!H9,'04_PSA_INPUTS'!I9)</f>
        <v>#NAME?</v>
      </c>
      <c r="G312" s="23" t="e">
        <f ca="1">_xludf.BETA.INV(W312,'04_PSA_INPUTS'!H10,'04_PSA_INPUTS'!I10)</f>
        <v>#NAME?</v>
      </c>
      <c r="H312" s="23" t="e">
        <f ca="1">_xludf.BETA.INV(X312,'04_PSA_INPUTS'!H11,'04_PSA_INPUTS'!I11)</f>
        <v>#NAME?</v>
      </c>
      <c r="I312" s="27" t="e">
        <f ca="1">D312+B312*F312+'01_INPUTS'!B20</f>
        <v>#NAME?</v>
      </c>
      <c r="J312" s="27" t="e">
        <f ca="1">E312+C312*F312+'01_INPUTS'!B21</f>
        <v>#NAME?</v>
      </c>
      <c r="K312" s="27" t="e">
        <f t="shared" ca="1" si="24"/>
        <v>#NAME?</v>
      </c>
      <c r="L312" s="23" t="e">
        <f t="shared" ca="1" si="25"/>
        <v>#NAME?</v>
      </c>
      <c r="M312" s="23" t="e">
        <f t="shared" ca="1" si="26"/>
        <v>#NAME?</v>
      </c>
      <c r="N312" s="23" t="e">
        <f t="shared" ca="1" si="27"/>
        <v>#NAME?</v>
      </c>
      <c r="O312" s="27" t="e">
        <f t="shared" ca="1" si="28"/>
        <v>#NAME?</v>
      </c>
      <c r="P312" s="27" t="e">
        <f ca="1">'01_INPUTS'!B9*N312-K312</f>
        <v>#NAME?</v>
      </c>
      <c r="Q312" s="1" t="e">
        <f t="shared" ca="1" si="29"/>
        <v>#NAME?</v>
      </c>
      <c r="R312" s="28">
        <v>0.97871144604869187</v>
      </c>
      <c r="S312" s="28">
        <v>0.10316501068882644</v>
      </c>
      <c r="T312" s="28">
        <v>0.42596439179033041</v>
      </c>
      <c r="U312" s="28">
        <v>0.95328855025582016</v>
      </c>
      <c r="V312" s="28">
        <v>0.49299672292545438</v>
      </c>
      <c r="W312" s="28">
        <v>0.45500044664368033</v>
      </c>
      <c r="X312" s="28">
        <v>0.73401397443376482</v>
      </c>
    </row>
    <row r="313" spans="1:24" ht="13.9">
      <c r="A313" s="1">
        <v>312</v>
      </c>
      <c r="B313" s="23" t="e">
        <f ca="1">_xludf.BETA.INV(R313,'04_PSA_INPUTS'!H5,'04_PSA_INPUTS'!I5)</f>
        <v>#NAME?</v>
      </c>
      <c r="C313" s="23" t="e">
        <f ca="1">_xludf.BETA.INV(S313,'04_PSA_INPUTS'!H6,'04_PSA_INPUTS'!I6)</f>
        <v>#NAME?</v>
      </c>
      <c r="D313" s="27" t="e">
        <f ca="1">_xludf.GAMMA.INV(T313,'04_PSA_INPUTS'!H7,'04_PSA_INPUTS'!I7)</f>
        <v>#NAME?</v>
      </c>
      <c r="E313" s="27" t="e">
        <f ca="1">_xludf.GAMMA.INV(U313,'04_PSA_INPUTS'!H8,'04_PSA_INPUTS'!I8)</f>
        <v>#NAME?</v>
      </c>
      <c r="F313" s="27" t="e">
        <f ca="1">_xludf.GAMMA.INV(V313,'04_PSA_INPUTS'!H9,'04_PSA_INPUTS'!I9)</f>
        <v>#NAME?</v>
      </c>
      <c r="G313" s="23" t="e">
        <f ca="1">_xludf.BETA.INV(W313,'04_PSA_INPUTS'!H10,'04_PSA_INPUTS'!I10)</f>
        <v>#NAME?</v>
      </c>
      <c r="H313" s="23" t="e">
        <f ca="1">_xludf.BETA.INV(X313,'04_PSA_INPUTS'!H11,'04_PSA_INPUTS'!I11)</f>
        <v>#NAME?</v>
      </c>
      <c r="I313" s="27" t="e">
        <f ca="1">D313+B313*F313+'01_INPUTS'!B20</f>
        <v>#NAME?</v>
      </c>
      <c r="J313" s="27" t="e">
        <f ca="1">E313+C313*F313+'01_INPUTS'!B21</f>
        <v>#NAME?</v>
      </c>
      <c r="K313" s="27" t="e">
        <f t="shared" ca="1" si="24"/>
        <v>#NAME?</v>
      </c>
      <c r="L313" s="23" t="e">
        <f t="shared" ca="1" si="25"/>
        <v>#NAME?</v>
      </c>
      <c r="M313" s="23" t="e">
        <f t="shared" ca="1" si="26"/>
        <v>#NAME?</v>
      </c>
      <c r="N313" s="23" t="e">
        <f t="shared" ca="1" si="27"/>
        <v>#NAME?</v>
      </c>
      <c r="O313" s="27" t="e">
        <f t="shared" ca="1" si="28"/>
        <v>#NAME?</v>
      </c>
      <c r="P313" s="27" t="e">
        <f ca="1">'01_INPUTS'!B9*N313-K313</f>
        <v>#NAME?</v>
      </c>
      <c r="Q313" s="1" t="e">
        <f t="shared" ca="1" si="29"/>
        <v>#NAME?</v>
      </c>
      <c r="R313" s="28">
        <v>0.48746064491569996</v>
      </c>
      <c r="S313" s="28">
        <v>0.70630902424454689</v>
      </c>
      <c r="T313" s="28">
        <v>0.8562633809633553</v>
      </c>
      <c r="U313" s="28">
        <v>0.37517970916815102</v>
      </c>
      <c r="V313" s="28">
        <v>0.38335788738913834</v>
      </c>
      <c r="W313" s="28">
        <v>0.58540324168279767</v>
      </c>
      <c r="X313" s="28">
        <v>0.55146655719727278</v>
      </c>
    </row>
    <row r="314" spans="1:24" ht="13.9">
      <c r="A314" s="1">
        <v>313</v>
      </c>
      <c r="B314" s="23" t="e">
        <f ca="1">_xludf.BETA.INV(R314,'04_PSA_INPUTS'!H5,'04_PSA_INPUTS'!I5)</f>
        <v>#NAME?</v>
      </c>
      <c r="C314" s="23" t="e">
        <f ca="1">_xludf.BETA.INV(S314,'04_PSA_INPUTS'!H6,'04_PSA_INPUTS'!I6)</f>
        <v>#NAME?</v>
      </c>
      <c r="D314" s="27" t="e">
        <f ca="1">_xludf.GAMMA.INV(T314,'04_PSA_INPUTS'!H7,'04_PSA_INPUTS'!I7)</f>
        <v>#NAME?</v>
      </c>
      <c r="E314" s="27" t="e">
        <f ca="1">_xludf.GAMMA.INV(U314,'04_PSA_INPUTS'!H8,'04_PSA_INPUTS'!I8)</f>
        <v>#NAME?</v>
      </c>
      <c r="F314" s="27" t="e">
        <f ca="1">_xludf.GAMMA.INV(V314,'04_PSA_INPUTS'!H9,'04_PSA_INPUTS'!I9)</f>
        <v>#NAME?</v>
      </c>
      <c r="G314" s="23" t="e">
        <f ca="1">_xludf.BETA.INV(W314,'04_PSA_INPUTS'!H10,'04_PSA_INPUTS'!I10)</f>
        <v>#NAME?</v>
      </c>
      <c r="H314" s="23" t="e">
        <f ca="1">_xludf.BETA.INV(X314,'04_PSA_INPUTS'!H11,'04_PSA_INPUTS'!I11)</f>
        <v>#NAME?</v>
      </c>
      <c r="I314" s="27" t="e">
        <f ca="1">D314+B314*F314+'01_INPUTS'!B20</f>
        <v>#NAME?</v>
      </c>
      <c r="J314" s="27" t="e">
        <f ca="1">E314+C314*F314+'01_INPUTS'!B21</f>
        <v>#NAME?</v>
      </c>
      <c r="K314" s="27" t="e">
        <f t="shared" ca="1" si="24"/>
        <v>#NAME?</v>
      </c>
      <c r="L314" s="23" t="e">
        <f t="shared" ca="1" si="25"/>
        <v>#NAME?</v>
      </c>
      <c r="M314" s="23" t="e">
        <f t="shared" ca="1" si="26"/>
        <v>#NAME?</v>
      </c>
      <c r="N314" s="23" t="e">
        <f t="shared" ca="1" si="27"/>
        <v>#NAME?</v>
      </c>
      <c r="O314" s="27" t="e">
        <f t="shared" ca="1" si="28"/>
        <v>#NAME?</v>
      </c>
      <c r="P314" s="27" t="e">
        <f ca="1">'01_INPUTS'!B9*N314-K314</f>
        <v>#NAME?</v>
      </c>
      <c r="Q314" s="1" t="e">
        <f t="shared" ca="1" si="29"/>
        <v>#NAME?</v>
      </c>
      <c r="R314" s="28">
        <v>0.25675492407754064</v>
      </c>
      <c r="S314" s="28">
        <v>0.69768618908710778</v>
      </c>
      <c r="T314" s="28">
        <v>0.87611071299761534</v>
      </c>
      <c r="U314" s="28">
        <v>0.4845469044521451</v>
      </c>
      <c r="V314" s="28">
        <v>0.11892692022956908</v>
      </c>
      <c r="W314" s="28">
        <v>4.7751184087246656E-2</v>
      </c>
      <c r="X314" s="28">
        <v>0.3585947691462934</v>
      </c>
    </row>
    <row r="315" spans="1:24" ht="13.9">
      <c r="A315" s="1">
        <v>314</v>
      </c>
      <c r="B315" s="23" t="e">
        <f ca="1">_xludf.BETA.INV(R315,'04_PSA_INPUTS'!H5,'04_PSA_INPUTS'!I5)</f>
        <v>#NAME?</v>
      </c>
      <c r="C315" s="23" t="e">
        <f ca="1">_xludf.BETA.INV(S315,'04_PSA_INPUTS'!H6,'04_PSA_INPUTS'!I6)</f>
        <v>#NAME?</v>
      </c>
      <c r="D315" s="27" t="e">
        <f ca="1">_xludf.GAMMA.INV(T315,'04_PSA_INPUTS'!H7,'04_PSA_INPUTS'!I7)</f>
        <v>#NAME?</v>
      </c>
      <c r="E315" s="27" t="e">
        <f ca="1">_xludf.GAMMA.INV(U315,'04_PSA_INPUTS'!H8,'04_PSA_INPUTS'!I8)</f>
        <v>#NAME?</v>
      </c>
      <c r="F315" s="27" t="e">
        <f ca="1">_xludf.GAMMA.INV(V315,'04_PSA_INPUTS'!H9,'04_PSA_INPUTS'!I9)</f>
        <v>#NAME?</v>
      </c>
      <c r="G315" s="23" t="e">
        <f ca="1">_xludf.BETA.INV(W315,'04_PSA_INPUTS'!H10,'04_PSA_INPUTS'!I10)</f>
        <v>#NAME?</v>
      </c>
      <c r="H315" s="23" t="e">
        <f ca="1">_xludf.BETA.INV(X315,'04_PSA_INPUTS'!H11,'04_PSA_INPUTS'!I11)</f>
        <v>#NAME?</v>
      </c>
      <c r="I315" s="27" t="e">
        <f ca="1">D315+B315*F315+'01_INPUTS'!B20</f>
        <v>#NAME?</v>
      </c>
      <c r="J315" s="27" t="e">
        <f ca="1">E315+C315*F315+'01_INPUTS'!B21</f>
        <v>#NAME?</v>
      </c>
      <c r="K315" s="27" t="e">
        <f t="shared" ca="1" si="24"/>
        <v>#NAME?</v>
      </c>
      <c r="L315" s="23" t="e">
        <f t="shared" ca="1" si="25"/>
        <v>#NAME?</v>
      </c>
      <c r="M315" s="23" t="e">
        <f t="shared" ca="1" si="26"/>
        <v>#NAME?</v>
      </c>
      <c r="N315" s="23" t="e">
        <f t="shared" ca="1" si="27"/>
        <v>#NAME?</v>
      </c>
      <c r="O315" s="27" t="e">
        <f t="shared" ca="1" si="28"/>
        <v>#NAME?</v>
      </c>
      <c r="P315" s="27" t="e">
        <f ca="1">'01_INPUTS'!B9*N315-K315</f>
        <v>#NAME?</v>
      </c>
      <c r="Q315" s="1" t="e">
        <f t="shared" ca="1" si="29"/>
        <v>#NAME?</v>
      </c>
      <c r="R315" s="28">
        <v>0.82173549989238381</v>
      </c>
      <c r="S315" s="28">
        <v>0.42624347051605582</v>
      </c>
      <c r="T315" s="28">
        <v>0.69184256694279611</v>
      </c>
      <c r="U315" s="28">
        <v>0.84599329810589552</v>
      </c>
      <c r="V315" s="28">
        <v>0.3652233500033617</v>
      </c>
      <c r="W315" s="28">
        <v>0.4625201947055757</v>
      </c>
      <c r="X315" s="28">
        <v>0.52902497327886522</v>
      </c>
    </row>
    <row r="316" spans="1:24" ht="13.9">
      <c r="A316" s="1">
        <v>315</v>
      </c>
      <c r="B316" s="23" t="e">
        <f ca="1">_xludf.BETA.INV(R316,'04_PSA_INPUTS'!H5,'04_PSA_INPUTS'!I5)</f>
        <v>#NAME?</v>
      </c>
      <c r="C316" s="23" t="e">
        <f ca="1">_xludf.BETA.INV(S316,'04_PSA_INPUTS'!H6,'04_PSA_INPUTS'!I6)</f>
        <v>#NAME?</v>
      </c>
      <c r="D316" s="27" t="e">
        <f ca="1">_xludf.GAMMA.INV(T316,'04_PSA_INPUTS'!H7,'04_PSA_INPUTS'!I7)</f>
        <v>#NAME?</v>
      </c>
      <c r="E316" s="27" t="e">
        <f ca="1">_xludf.GAMMA.INV(U316,'04_PSA_INPUTS'!H8,'04_PSA_INPUTS'!I8)</f>
        <v>#NAME?</v>
      </c>
      <c r="F316" s="27" t="e">
        <f ca="1">_xludf.GAMMA.INV(V316,'04_PSA_INPUTS'!H9,'04_PSA_INPUTS'!I9)</f>
        <v>#NAME?</v>
      </c>
      <c r="G316" s="23" t="e">
        <f ca="1">_xludf.BETA.INV(W316,'04_PSA_INPUTS'!H10,'04_PSA_INPUTS'!I10)</f>
        <v>#NAME?</v>
      </c>
      <c r="H316" s="23" t="e">
        <f ca="1">_xludf.BETA.INV(X316,'04_PSA_INPUTS'!H11,'04_PSA_INPUTS'!I11)</f>
        <v>#NAME?</v>
      </c>
      <c r="I316" s="27" t="e">
        <f ca="1">D316+B316*F316+'01_INPUTS'!B20</f>
        <v>#NAME?</v>
      </c>
      <c r="J316" s="27" t="e">
        <f ca="1">E316+C316*F316+'01_INPUTS'!B21</f>
        <v>#NAME?</v>
      </c>
      <c r="K316" s="27" t="e">
        <f t="shared" ca="1" si="24"/>
        <v>#NAME?</v>
      </c>
      <c r="L316" s="23" t="e">
        <f t="shared" ca="1" si="25"/>
        <v>#NAME?</v>
      </c>
      <c r="M316" s="23" t="e">
        <f t="shared" ca="1" si="26"/>
        <v>#NAME?</v>
      </c>
      <c r="N316" s="23" t="e">
        <f t="shared" ca="1" si="27"/>
        <v>#NAME?</v>
      </c>
      <c r="O316" s="27" t="e">
        <f t="shared" ca="1" si="28"/>
        <v>#NAME?</v>
      </c>
      <c r="P316" s="27" t="e">
        <f ca="1">'01_INPUTS'!B9*N316-K316</f>
        <v>#NAME?</v>
      </c>
      <c r="Q316" s="1" t="e">
        <f t="shared" ca="1" si="29"/>
        <v>#NAME?</v>
      </c>
      <c r="R316" s="28">
        <v>0.77183626918122172</v>
      </c>
      <c r="S316" s="28">
        <v>0.50687928032130003</v>
      </c>
      <c r="T316" s="28">
        <v>2.9989196918904781E-2</v>
      </c>
      <c r="U316" s="28">
        <v>0.87608152371831238</v>
      </c>
      <c r="V316" s="28">
        <v>0.28823792678304017</v>
      </c>
      <c r="W316" s="28">
        <v>0.5161316548474133</v>
      </c>
      <c r="X316" s="28">
        <v>0.44234359730035067</v>
      </c>
    </row>
    <row r="317" spans="1:24" ht="13.9">
      <c r="A317" s="1">
        <v>316</v>
      </c>
      <c r="B317" s="23" t="e">
        <f ca="1">_xludf.BETA.INV(R317,'04_PSA_INPUTS'!H5,'04_PSA_INPUTS'!I5)</f>
        <v>#NAME?</v>
      </c>
      <c r="C317" s="23" t="e">
        <f ca="1">_xludf.BETA.INV(S317,'04_PSA_INPUTS'!H6,'04_PSA_INPUTS'!I6)</f>
        <v>#NAME?</v>
      </c>
      <c r="D317" s="27" t="e">
        <f ca="1">_xludf.GAMMA.INV(T317,'04_PSA_INPUTS'!H7,'04_PSA_INPUTS'!I7)</f>
        <v>#NAME?</v>
      </c>
      <c r="E317" s="27" t="e">
        <f ca="1">_xludf.GAMMA.INV(U317,'04_PSA_INPUTS'!H8,'04_PSA_INPUTS'!I8)</f>
        <v>#NAME?</v>
      </c>
      <c r="F317" s="27" t="e">
        <f ca="1">_xludf.GAMMA.INV(V317,'04_PSA_INPUTS'!H9,'04_PSA_INPUTS'!I9)</f>
        <v>#NAME?</v>
      </c>
      <c r="G317" s="23" t="e">
        <f ca="1">_xludf.BETA.INV(W317,'04_PSA_INPUTS'!H10,'04_PSA_INPUTS'!I10)</f>
        <v>#NAME?</v>
      </c>
      <c r="H317" s="23" t="e">
        <f ca="1">_xludf.BETA.INV(X317,'04_PSA_INPUTS'!H11,'04_PSA_INPUTS'!I11)</f>
        <v>#NAME?</v>
      </c>
      <c r="I317" s="27" t="e">
        <f ca="1">D317+B317*F317+'01_INPUTS'!B20</f>
        <v>#NAME?</v>
      </c>
      <c r="J317" s="27" t="e">
        <f ca="1">E317+C317*F317+'01_INPUTS'!B21</f>
        <v>#NAME?</v>
      </c>
      <c r="K317" s="27" t="e">
        <f t="shared" ca="1" si="24"/>
        <v>#NAME?</v>
      </c>
      <c r="L317" s="23" t="e">
        <f t="shared" ca="1" si="25"/>
        <v>#NAME?</v>
      </c>
      <c r="M317" s="23" t="e">
        <f t="shared" ca="1" si="26"/>
        <v>#NAME?</v>
      </c>
      <c r="N317" s="23" t="e">
        <f t="shared" ca="1" si="27"/>
        <v>#NAME?</v>
      </c>
      <c r="O317" s="27" t="e">
        <f t="shared" ca="1" si="28"/>
        <v>#NAME?</v>
      </c>
      <c r="P317" s="27" t="e">
        <f ca="1">'01_INPUTS'!B9*N317-K317</f>
        <v>#NAME?</v>
      </c>
      <c r="Q317" s="1" t="e">
        <f t="shared" ca="1" si="29"/>
        <v>#NAME?</v>
      </c>
      <c r="R317" s="28">
        <v>0.82251570466905832</v>
      </c>
      <c r="S317" s="28">
        <v>0.990844497224316</v>
      </c>
      <c r="T317" s="28">
        <v>0.46247685421258211</v>
      </c>
      <c r="U317" s="28">
        <v>0.17845525429584086</v>
      </c>
      <c r="V317" s="28">
        <v>0.89514112658798695</v>
      </c>
      <c r="W317" s="28">
        <v>0.39914198708720505</v>
      </c>
      <c r="X317" s="28">
        <v>0.98015501559711993</v>
      </c>
    </row>
    <row r="318" spans="1:24" ht="13.9">
      <c r="A318" s="1">
        <v>317</v>
      </c>
      <c r="B318" s="23" t="e">
        <f ca="1">_xludf.BETA.INV(R318,'04_PSA_INPUTS'!H5,'04_PSA_INPUTS'!I5)</f>
        <v>#NAME?</v>
      </c>
      <c r="C318" s="23" t="e">
        <f ca="1">_xludf.BETA.INV(S318,'04_PSA_INPUTS'!H6,'04_PSA_INPUTS'!I6)</f>
        <v>#NAME?</v>
      </c>
      <c r="D318" s="27" t="e">
        <f ca="1">_xludf.GAMMA.INV(T318,'04_PSA_INPUTS'!H7,'04_PSA_INPUTS'!I7)</f>
        <v>#NAME?</v>
      </c>
      <c r="E318" s="27" t="e">
        <f ca="1">_xludf.GAMMA.INV(U318,'04_PSA_INPUTS'!H8,'04_PSA_INPUTS'!I8)</f>
        <v>#NAME?</v>
      </c>
      <c r="F318" s="27" t="e">
        <f ca="1">_xludf.GAMMA.INV(V318,'04_PSA_INPUTS'!H9,'04_PSA_INPUTS'!I9)</f>
        <v>#NAME?</v>
      </c>
      <c r="G318" s="23" t="e">
        <f ca="1">_xludf.BETA.INV(W318,'04_PSA_INPUTS'!H10,'04_PSA_INPUTS'!I10)</f>
        <v>#NAME?</v>
      </c>
      <c r="H318" s="23" t="e">
        <f ca="1">_xludf.BETA.INV(X318,'04_PSA_INPUTS'!H11,'04_PSA_INPUTS'!I11)</f>
        <v>#NAME?</v>
      </c>
      <c r="I318" s="27" t="e">
        <f ca="1">D318+B318*F318+'01_INPUTS'!B20</f>
        <v>#NAME?</v>
      </c>
      <c r="J318" s="27" t="e">
        <f ca="1">E318+C318*F318+'01_INPUTS'!B21</f>
        <v>#NAME?</v>
      </c>
      <c r="K318" s="27" t="e">
        <f t="shared" ca="1" si="24"/>
        <v>#NAME?</v>
      </c>
      <c r="L318" s="23" t="e">
        <f t="shared" ca="1" si="25"/>
        <v>#NAME?</v>
      </c>
      <c r="M318" s="23" t="e">
        <f t="shared" ca="1" si="26"/>
        <v>#NAME?</v>
      </c>
      <c r="N318" s="23" t="e">
        <f t="shared" ca="1" si="27"/>
        <v>#NAME?</v>
      </c>
      <c r="O318" s="27" t="e">
        <f t="shared" ca="1" si="28"/>
        <v>#NAME?</v>
      </c>
      <c r="P318" s="27" t="e">
        <f ca="1">'01_INPUTS'!B9*N318-K318</f>
        <v>#NAME?</v>
      </c>
      <c r="Q318" s="1" t="e">
        <f t="shared" ca="1" si="29"/>
        <v>#NAME?</v>
      </c>
      <c r="R318" s="28">
        <v>0.59465431142598391</v>
      </c>
      <c r="S318" s="28">
        <v>0.34681685012765229</v>
      </c>
      <c r="T318" s="28">
        <v>3.9184191497042775E-2</v>
      </c>
      <c r="U318" s="28">
        <v>7.162965415045619E-2</v>
      </c>
      <c r="V318" s="28">
        <v>0.570171621395275</v>
      </c>
      <c r="W318" s="28">
        <v>0.33368392405100167</v>
      </c>
      <c r="X318" s="28">
        <v>0.64799040975049138</v>
      </c>
    </row>
    <row r="319" spans="1:24" ht="13.9">
      <c r="A319" s="1">
        <v>318</v>
      </c>
      <c r="B319" s="23" t="e">
        <f ca="1">_xludf.BETA.INV(R319,'04_PSA_INPUTS'!H5,'04_PSA_INPUTS'!I5)</f>
        <v>#NAME?</v>
      </c>
      <c r="C319" s="23" t="e">
        <f ca="1">_xludf.BETA.INV(S319,'04_PSA_INPUTS'!H6,'04_PSA_INPUTS'!I6)</f>
        <v>#NAME?</v>
      </c>
      <c r="D319" s="27" t="e">
        <f ca="1">_xludf.GAMMA.INV(T319,'04_PSA_INPUTS'!H7,'04_PSA_INPUTS'!I7)</f>
        <v>#NAME?</v>
      </c>
      <c r="E319" s="27" t="e">
        <f ca="1">_xludf.GAMMA.INV(U319,'04_PSA_INPUTS'!H8,'04_PSA_INPUTS'!I8)</f>
        <v>#NAME?</v>
      </c>
      <c r="F319" s="27" t="e">
        <f ca="1">_xludf.GAMMA.INV(V319,'04_PSA_INPUTS'!H9,'04_PSA_INPUTS'!I9)</f>
        <v>#NAME?</v>
      </c>
      <c r="G319" s="23" t="e">
        <f ca="1">_xludf.BETA.INV(W319,'04_PSA_INPUTS'!H10,'04_PSA_INPUTS'!I10)</f>
        <v>#NAME?</v>
      </c>
      <c r="H319" s="23" t="e">
        <f ca="1">_xludf.BETA.INV(X319,'04_PSA_INPUTS'!H11,'04_PSA_INPUTS'!I11)</f>
        <v>#NAME?</v>
      </c>
      <c r="I319" s="27" t="e">
        <f ca="1">D319+B319*F319+'01_INPUTS'!B20</f>
        <v>#NAME?</v>
      </c>
      <c r="J319" s="27" t="e">
        <f ca="1">E319+C319*F319+'01_INPUTS'!B21</f>
        <v>#NAME?</v>
      </c>
      <c r="K319" s="27" t="e">
        <f t="shared" ca="1" si="24"/>
        <v>#NAME?</v>
      </c>
      <c r="L319" s="23" t="e">
        <f t="shared" ca="1" si="25"/>
        <v>#NAME?</v>
      </c>
      <c r="M319" s="23" t="e">
        <f t="shared" ca="1" si="26"/>
        <v>#NAME?</v>
      </c>
      <c r="N319" s="23" t="e">
        <f t="shared" ca="1" si="27"/>
        <v>#NAME?</v>
      </c>
      <c r="O319" s="27" t="e">
        <f t="shared" ca="1" si="28"/>
        <v>#NAME?</v>
      </c>
      <c r="P319" s="27" t="e">
        <f ca="1">'01_INPUTS'!B9*N319-K319</f>
        <v>#NAME?</v>
      </c>
      <c r="Q319" s="1" t="e">
        <f t="shared" ca="1" si="29"/>
        <v>#NAME?</v>
      </c>
      <c r="R319" s="28">
        <v>0.4086140759754926</v>
      </c>
      <c r="S319" s="28">
        <v>0.82223388645797968</v>
      </c>
      <c r="T319" s="28">
        <v>0.90843361103907228</v>
      </c>
      <c r="U319" s="28">
        <v>0.11013401113450527</v>
      </c>
      <c r="V319" s="28">
        <v>0.32753364695236087</v>
      </c>
      <c r="W319" s="28">
        <v>0.95283022848889232</v>
      </c>
      <c r="X319" s="28">
        <v>0.94251604378223419</v>
      </c>
    </row>
    <row r="320" spans="1:24" ht="13.9">
      <c r="A320" s="1">
        <v>319</v>
      </c>
      <c r="B320" s="23" t="e">
        <f ca="1">_xludf.BETA.INV(R320,'04_PSA_INPUTS'!H5,'04_PSA_INPUTS'!I5)</f>
        <v>#NAME?</v>
      </c>
      <c r="C320" s="23" t="e">
        <f ca="1">_xludf.BETA.INV(S320,'04_PSA_INPUTS'!H6,'04_PSA_INPUTS'!I6)</f>
        <v>#NAME?</v>
      </c>
      <c r="D320" s="27" t="e">
        <f ca="1">_xludf.GAMMA.INV(T320,'04_PSA_INPUTS'!H7,'04_PSA_INPUTS'!I7)</f>
        <v>#NAME?</v>
      </c>
      <c r="E320" s="27" t="e">
        <f ca="1">_xludf.GAMMA.INV(U320,'04_PSA_INPUTS'!H8,'04_PSA_INPUTS'!I8)</f>
        <v>#NAME?</v>
      </c>
      <c r="F320" s="27" t="e">
        <f ca="1">_xludf.GAMMA.INV(V320,'04_PSA_INPUTS'!H9,'04_PSA_INPUTS'!I9)</f>
        <v>#NAME?</v>
      </c>
      <c r="G320" s="23" t="e">
        <f ca="1">_xludf.BETA.INV(W320,'04_PSA_INPUTS'!H10,'04_PSA_INPUTS'!I10)</f>
        <v>#NAME?</v>
      </c>
      <c r="H320" s="23" t="e">
        <f ca="1">_xludf.BETA.INV(X320,'04_PSA_INPUTS'!H11,'04_PSA_INPUTS'!I11)</f>
        <v>#NAME?</v>
      </c>
      <c r="I320" s="27" t="e">
        <f ca="1">D320+B320*F320+'01_INPUTS'!B20</f>
        <v>#NAME?</v>
      </c>
      <c r="J320" s="27" t="e">
        <f ca="1">E320+C320*F320+'01_INPUTS'!B21</f>
        <v>#NAME?</v>
      </c>
      <c r="K320" s="27" t="e">
        <f t="shared" ca="1" si="24"/>
        <v>#NAME?</v>
      </c>
      <c r="L320" s="23" t="e">
        <f t="shared" ca="1" si="25"/>
        <v>#NAME?</v>
      </c>
      <c r="M320" s="23" t="e">
        <f t="shared" ca="1" si="26"/>
        <v>#NAME?</v>
      </c>
      <c r="N320" s="23" t="e">
        <f t="shared" ca="1" si="27"/>
        <v>#NAME?</v>
      </c>
      <c r="O320" s="27" t="e">
        <f t="shared" ca="1" si="28"/>
        <v>#NAME?</v>
      </c>
      <c r="P320" s="27" t="e">
        <f ca="1">'01_INPUTS'!B9*N320-K320</f>
        <v>#NAME?</v>
      </c>
      <c r="Q320" s="1" t="e">
        <f t="shared" ca="1" si="29"/>
        <v>#NAME?</v>
      </c>
      <c r="R320" s="28">
        <v>0.9961550438310951</v>
      </c>
      <c r="S320" s="28">
        <v>0.94579669483937323</v>
      </c>
      <c r="T320" s="28">
        <v>0.44747192156501114</v>
      </c>
      <c r="U320" s="28">
        <v>0.65309747774153948</v>
      </c>
      <c r="V320" s="28">
        <v>0.90828007250092924</v>
      </c>
      <c r="W320" s="28">
        <v>0.41320333583280444</v>
      </c>
      <c r="X320" s="28">
        <v>0.67834977549500763</v>
      </c>
    </row>
    <row r="321" spans="1:24" ht="13.9">
      <c r="A321" s="1">
        <v>320</v>
      </c>
      <c r="B321" s="23" t="e">
        <f ca="1">_xludf.BETA.INV(R321,'04_PSA_INPUTS'!H5,'04_PSA_INPUTS'!I5)</f>
        <v>#NAME?</v>
      </c>
      <c r="C321" s="23" t="e">
        <f ca="1">_xludf.BETA.INV(S321,'04_PSA_INPUTS'!H6,'04_PSA_INPUTS'!I6)</f>
        <v>#NAME?</v>
      </c>
      <c r="D321" s="27" t="e">
        <f ca="1">_xludf.GAMMA.INV(T321,'04_PSA_INPUTS'!H7,'04_PSA_INPUTS'!I7)</f>
        <v>#NAME?</v>
      </c>
      <c r="E321" s="27" t="e">
        <f ca="1">_xludf.GAMMA.INV(U321,'04_PSA_INPUTS'!H8,'04_PSA_INPUTS'!I8)</f>
        <v>#NAME?</v>
      </c>
      <c r="F321" s="27" t="e">
        <f ca="1">_xludf.GAMMA.INV(V321,'04_PSA_INPUTS'!H9,'04_PSA_INPUTS'!I9)</f>
        <v>#NAME?</v>
      </c>
      <c r="G321" s="23" t="e">
        <f ca="1">_xludf.BETA.INV(W321,'04_PSA_INPUTS'!H10,'04_PSA_INPUTS'!I10)</f>
        <v>#NAME?</v>
      </c>
      <c r="H321" s="23" t="e">
        <f ca="1">_xludf.BETA.INV(X321,'04_PSA_INPUTS'!H11,'04_PSA_INPUTS'!I11)</f>
        <v>#NAME?</v>
      </c>
      <c r="I321" s="27" t="e">
        <f ca="1">D321+B321*F321+'01_INPUTS'!B20</f>
        <v>#NAME?</v>
      </c>
      <c r="J321" s="27" t="e">
        <f ca="1">E321+C321*F321+'01_INPUTS'!B21</f>
        <v>#NAME?</v>
      </c>
      <c r="K321" s="27" t="e">
        <f t="shared" ca="1" si="24"/>
        <v>#NAME?</v>
      </c>
      <c r="L321" s="23" t="e">
        <f t="shared" ca="1" si="25"/>
        <v>#NAME?</v>
      </c>
      <c r="M321" s="23" t="e">
        <f t="shared" ca="1" si="26"/>
        <v>#NAME?</v>
      </c>
      <c r="N321" s="23" t="e">
        <f t="shared" ca="1" si="27"/>
        <v>#NAME?</v>
      </c>
      <c r="O321" s="27" t="e">
        <f t="shared" ca="1" si="28"/>
        <v>#NAME?</v>
      </c>
      <c r="P321" s="27" t="e">
        <f ca="1">'01_INPUTS'!B9*N321-K321</f>
        <v>#NAME?</v>
      </c>
      <c r="Q321" s="1" t="e">
        <f t="shared" ca="1" si="29"/>
        <v>#NAME?</v>
      </c>
      <c r="R321" s="28">
        <v>0.20810114778578281</v>
      </c>
      <c r="S321" s="28">
        <v>0.66749340738169849</v>
      </c>
      <c r="T321" s="28">
        <v>0.88222050620242953</v>
      </c>
      <c r="U321" s="28">
        <v>0.82444652286358178</v>
      </c>
      <c r="V321" s="28">
        <v>0.24144905642606318</v>
      </c>
      <c r="W321" s="28">
        <v>0.57240089983679354</v>
      </c>
      <c r="X321" s="28">
        <v>0.47167242434807122</v>
      </c>
    </row>
    <row r="322" spans="1:24" ht="13.9">
      <c r="A322" s="1">
        <v>321</v>
      </c>
      <c r="B322" s="23" t="e">
        <f ca="1">_xludf.BETA.INV(R322,'04_PSA_INPUTS'!H5,'04_PSA_INPUTS'!I5)</f>
        <v>#NAME?</v>
      </c>
      <c r="C322" s="23" t="e">
        <f ca="1">_xludf.BETA.INV(S322,'04_PSA_INPUTS'!H6,'04_PSA_INPUTS'!I6)</f>
        <v>#NAME?</v>
      </c>
      <c r="D322" s="27" t="e">
        <f ca="1">_xludf.GAMMA.INV(T322,'04_PSA_INPUTS'!H7,'04_PSA_INPUTS'!I7)</f>
        <v>#NAME?</v>
      </c>
      <c r="E322" s="27" t="e">
        <f ca="1">_xludf.GAMMA.INV(U322,'04_PSA_INPUTS'!H8,'04_PSA_INPUTS'!I8)</f>
        <v>#NAME?</v>
      </c>
      <c r="F322" s="27" t="e">
        <f ca="1">_xludf.GAMMA.INV(V322,'04_PSA_INPUTS'!H9,'04_PSA_INPUTS'!I9)</f>
        <v>#NAME?</v>
      </c>
      <c r="G322" s="23" t="e">
        <f ca="1">_xludf.BETA.INV(W322,'04_PSA_INPUTS'!H10,'04_PSA_INPUTS'!I10)</f>
        <v>#NAME?</v>
      </c>
      <c r="H322" s="23" t="e">
        <f ca="1">_xludf.BETA.INV(X322,'04_PSA_INPUTS'!H11,'04_PSA_INPUTS'!I11)</f>
        <v>#NAME?</v>
      </c>
      <c r="I322" s="27" t="e">
        <f ca="1">D322+B322*F322+'01_INPUTS'!B20</f>
        <v>#NAME?</v>
      </c>
      <c r="J322" s="27" t="e">
        <f ca="1">E322+C322*F322+'01_INPUTS'!B21</f>
        <v>#NAME?</v>
      </c>
      <c r="K322" s="27" t="e">
        <f t="shared" ref="K322:K385" ca="1" si="30">I322-J322</f>
        <v>#NAME?</v>
      </c>
      <c r="L322" s="23" t="e">
        <f t="shared" ref="L322:L385" ca="1" si="31">G322-B322*H322</f>
        <v>#NAME?</v>
      </c>
      <c r="M322" s="23" t="e">
        <f t="shared" ref="M322:M385" ca="1" si="32">G322-C322*H322</f>
        <v>#NAME?</v>
      </c>
      <c r="N322" s="23" t="e">
        <f t="shared" ref="N322:N385" ca="1" si="33">L322-M322</f>
        <v>#NAME?</v>
      </c>
      <c r="O322" s="27" t="e">
        <f t="shared" ref="O322:O385" ca="1" si="34">IF(N322=0,"",K322/N322)</f>
        <v>#NAME?</v>
      </c>
      <c r="P322" s="27" t="e">
        <f ca="1">'01_INPUTS'!B9*N322-K322</f>
        <v>#NAME?</v>
      </c>
      <c r="Q322" s="1" t="e">
        <f t="shared" ref="Q322:Q385" ca="1" si="35">IF(P322&gt;0,1,0)</f>
        <v>#NAME?</v>
      </c>
      <c r="R322" s="28">
        <v>0.75609967019408941</v>
      </c>
      <c r="S322" s="28">
        <v>0.62222490343265235</v>
      </c>
      <c r="T322" s="28">
        <v>0.7214618728030473</v>
      </c>
      <c r="U322" s="28">
        <v>0.19961125799454749</v>
      </c>
      <c r="V322" s="28">
        <v>0.69152453332208097</v>
      </c>
      <c r="W322" s="28">
        <v>0.12002107035368681</v>
      </c>
      <c r="X322" s="28">
        <v>0.64716262766160071</v>
      </c>
    </row>
    <row r="323" spans="1:24" ht="13.9">
      <c r="A323" s="1">
        <v>322</v>
      </c>
      <c r="B323" s="23" t="e">
        <f ca="1">_xludf.BETA.INV(R323,'04_PSA_INPUTS'!H5,'04_PSA_INPUTS'!I5)</f>
        <v>#NAME?</v>
      </c>
      <c r="C323" s="23" t="e">
        <f ca="1">_xludf.BETA.INV(S323,'04_PSA_INPUTS'!H6,'04_PSA_INPUTS'!I6)</f>
        <v>#NAME?</v>
      </c>
      <c r="D323" s="27" t="e">
        <f ca="1">_xludf.GAMMA.INV(T323,'04_PSA_INPUTS'!H7,'04_PSA_INPUTS'!I7)</f>
        <v>#NAME?</v>
      </c>
      <c r="E323" s="27" t="e">
        <f ca="1">_xludf.GAMMA.INV(U323,'04_PSA_INPUTS'!H8,'04_PSA_INPUTS'!I8)</f>
        <v>#NAME?</v>
      </c>
      <c r="F323" s="27" t="e">
        <f ca="1">_xludf.GAMMA.INV(V323,'04_PSA_INPUTS'!H9,'04_PSA_INPUTS'!I9)</f>
        <v>#NAME?</v>
      </c>
      <c r="G323" s="23" t="e">
        <f ca="1">_xludf.BETA.INV(W323,'04_PSA_INPUTS'!H10,'04_PSA_INPUTS'!I10)</f>
        <v>#NAME?</v>
      </c>
      <c r="H323" s="23" t="e">
        <f ca="1">_xludf.BETA.INV(X323,'04_PSA_INPUTS'!H11,'04_PSA_INPUTS'!I11)</f>
        <v>#NAME?</v>
      </c>
      <c r="I323" s="27" t="e">
        <f ca="1">D323+B323*F323+'01_INPUTS'!B20</f>
        <v>#NAME?</v>
      </c>
      <c r="J323" s="27" t="e">
        <f ca="1">E323+C323*F323+'01_INPUTS'!B21</f>
        <v>#NAME?</v>
      </c>
      <c r="K323" s="27" t="e">
        <f t="shared" ca="1" si="30"/>
        <v>#NAME?</v>
      </c>
      <c r="L323" s="23" t="e">
        <f t="shared" ca="1" si="31"/>
        <v>#NAME?</v>
      </c>
      <c r="M323" s="23" t="e">
        <f t="shared" ca="1" si="32"/>
        <v>#NAME?</v>
      </c>
      <c r="N323" s="23" t="e">
        <f t="shared" ca="1" si="33"/>
        <v>#NAME?</v>
      </c>
      <c r="O323" s="27" t="e">
        <f t="shared" ca="1" si="34"/>
        <v>#NAME?</v>
      </c>
      <c r="P323" s="27" t="e">
        <f ca="1">'01_INPUTS'!B9*N323-K323</f>
        <v>#NAME?</v>
      </c>
      <c r="Q323" s="1" t="e">
        <f t="shared" ca="1" si="35"/>
        <v>#NAME?</v>
      </c>
      <c r="R323" s="28">
        <v>0.52137271733954549</v>
      </c>
      <c r="S323" s="28">
        <v>0.53112226887606084</v>
      </c>
      <c r="T323" s="28">
        <v>0.44420370715670288</v>
      </c>
      <c r="U323" s="28">
        <v>0.85320297605358064</v>
      </c>
      <c r="V323" s="28">
        <v>0.59112538071349263</v>
      </c>
      <c r="W323" s="28">
        <v>0.59959453600458801</v>
      </c>
      <c r="X323" s="28">
        <v>0.19448455772362649</v>
      </c>
    </row>
    <row r="324" spans="1:24" ht="13.9">
      <c r="A324" s="1">
        <v>323</v>
      </c>
      <c r="B324" s="23" t="e">
        <f ca="1">_xludf.BETA.INV(R324,'04_PSA_INPUTS'!H5,'04_PSA_INPUTS'!I5)</f>
        <v>#NAME?</v>
      </c>
      <c r="C324" s="23" t="e">
        <f ca="1">_xludf.BETA.INV(S324,'04_PSA_INPUTS'!H6,'04_PSA_INPUTS'!I6)</f>
        <v>#NAME?</v>
      </c>
      <c r="D324" s="27" t="e">
        <f ca="1">_xludf.GAMMA.INV(T324,'04_PSA_INPUTS'!H7,'04_PSA_INPUTS'!I7)</f>
        <v>#NAME?</v>
      </c>
      <c r="E324" s="27" t="e">
        <f ca="1">_xludf.GAMMA.INV(U324,'04_PSA_INPUTS'!H8,'04_PSA_INPUTS'!I8)</f>
        <v>#NAME?</v>
      </c>
      <c r="F324" s="27" t="e">
        <f ca="1">_xludf.GAMMA.INV(V324,'04_PSA_INPUTS'!H9,'04_PSA_INPUTS'!I9)</f>
        <v>#NAME?</v>
      </c>
      <c r="G324" s="23" t="e">
        <f ca="1">_xludf.BETA.INV(W324,'04_PSA_INPUTS'!H10,'04_PSA_INPUTS'!I10)</f>
        <v>#NAME?</v>
      </c>
      <c r="H324" s="23" t="e">
        <f ca="1">_xludf.BETA.INV(X324,'04_PSA_INPUTS'!H11,'04_PSA_INPUTS'!I11)</f>
        <v>#NAME?</v>
      </c>
      <c r="I324" s="27" t="e">
        <f ca="1">D324+B324*F324+'01_INPUTS'!B20</f>
        <v>#NAME?</v>
      </c>
      <c r="J324" s="27" t="e">
        <f ca="1">E324+C324*F324+'01_INPUTS'!B21</f>
        <v>#NAME?</v>
      </c>
      <c r="K324" s="27" t="e">
        <f t="shared" ca="1" si="30"/>
        <v>#NAME?</v>
      </c>
      <c r="L324" s="23" t="e">
        <f t="shared" ca="1" si="31"/>
        <v>#NAME?</v>
      </c>
      <c r="M324" s="23" t="e">
        <f t="shared" ca="1" si="32"/>
        <v>#NAME?</v>
      </c>
      <c r="N324" s="23" t="e">
        <f t="shared" ca="1" si="33"/>
        <v>#NAME?</v>
      </c>
      <c r="O324" s="27" t="e">
        <f t="shared" ca="1" si="34"/>
        <v>#NAME?</v>
      </c>
      <c r="P324" s="27" t="e">
        <f ca="1">'01_INPUTS'!B9*N324-K324</f>
        <v>#NAME?</v>
      </c>
      <c r="Q324" s="1" t="e">
        <f t="shared" ca="1" si="35"/>
        <v>#NAME?</v>
      </c>
      <c r="R324" s="28">
        <v>0.83396295737475157</v>
      </c>
      <c r="S324" s="28">
        <v>0.64592477213591337</v>
      </c>
      <c r="T324" s="28">
        <v>0.18076426186598837</v>
      </c>
      <c r="U324" s="28">
        <v>0.42856641695834696</v>
      </c>
      <c r="V324" s="28">
        <v>0.68232110398821533</v>
      </c>
      <c r="W324" s="28">
        <v>0.83816644991748035</v>
      </c>
      <c r="X324" s="28">
        <v>0.86210407898761332</v>
      </c>
    </row>
    <row r="325" spans="1:24" ht="13.9">
      <c r="A325" s="1">
        <v>324</v>
      </c>
      <c r="B325" s="23" t="e">
        <f ca="1">_xludf.BETA.INV(R325,'04_PSA_INPUTS'!H5,'04_PSA_INPUTS'!I5)</f>
        <v>#NAME?</v>
      </c>
      <c r="C325" s="23" t="e">
        <f ca="1">_xludf.BETA.INV(S325,'04_PSA_INPUTS'!H6,'04_PSA_INPUTS'!I6)</f>
        <v>#NAME?</v>
      </c>
      <c r="D325" s="27" t="e">
        <f ca="1">_xludf.GAMMA.INV(T325,'04_PSA_INPUTS'!H7,'04_PSA_INPUTS'!I7)</f>
        <v>#NAME?</v>
      </c>
      <c r="E325" s="27" t="e">
        <f ca="1">_xludf.GAMMA.INV(U325,'04_PSA_INPUTS'!H8,'04_PSA_INPUTS'!I8)</f>
        <v>#NAME?</v>
      </c>
      <c r="F325" s="27" t="e">
        <f ca="1">_xludf.GAMMA.INV(V325,'04_PSA_INPUTS'!H9,'04_PSA_INPUTS'!I9)</f>
        <v>#NAME?</v>
      </c>
      <c r="G325" s="23" t="e">
        <f ca="1">_xludf.BETA.INV(W325,'04_PSA_INPUTS'!H10,'04_PSA_INPUTS'!I10)</f>
        <v>#NAME?</v>
      </c>
      <c r="H325" s="23" t="e">
        <f ca="1">_xludf.BETA.INV(X325,'04_PSA_INPUTS'!H11,'04_PSA_INPUTS'!I11)</f>
        <v>#NAME?</v>
      </c>
      <c r="I325" s="27" t="e">
        <f ca="1">D325+B325*F325+'01_INPUTS'!B20</f>
        <v>#NAME?</v>
      </c>
      <c r="J325" s="27" t="e">
        <f ca="1">E325+C325*F325+'01_INPUTS'!B21</f>
        <v>#NAME?</v>
      </c>
      <c r="K325" s="27" t="e">
        <f t="shared" ca="1" si="30"/>
        <v>#NAME?</v>
      </c>
      <c r="L325" s="23" t="e">
        <f t="shared" ca="1" si="31"/>
        <v>#NAME?</v>
      </c>
      <c r="M325" s="23" t="e">
        <f t="shared" ca="1" si="32"/>
        <v>#NAME?</v>
      </c>
      <c r="N325" s="23" t="e">
        <f t="shared" ca="1" si="33"/>
        <v>#NAME?</v>
      </c>
      <c r="O325" s="27" t="e">
        <f t="shared" ca="1" si="34"/>
        <v>#NAME?</v>
      </c>
      <c r="P325" s="27" t="e">
        <f ca="1">'01_INPUTS'!B9*N325-K325</f>
        <v>#NAME?</v>
      </c>
      <c r="Q325" s="1" t="e">
        <f t="shared" ca="1" si="35"/>
        <v>#NAME?</v>
      </c>
      <c r="R325" s="28">
        <v>0.22958858776837587</v>
      </c>
      <c r="S325" s="28">
        <v>0.52806830778717995</v>
      </c>
      <c r="T325" s="28">
        <v>0.68998136697337031</v>
      </c>
      <c r="U325" s="28">
        <v>0.6718990767840296</v>
      </c>
      <c r="V325" s="28">
        <v>0.36416952451691031</v>
      </c>
      <c r="W325" s="28">
        <v>0.91186719038523734</v>
      </c>
      <c r="X325" s="28">
        <v>0.44384225900284946</v>
      </c>
    </row>
    <row r="326" spans="1:24" ht="13.9">
      <c r="A326" s="1">
        <v>325</v>
      </c>
      <c r="B326" s="23" t="e">
        <f ca="1">_xludf.BETA.INV(R326,'04_PSA_INPUTS'!H5,'04_PSA_INPUTS'!I5)</f>
        <v>#NAME?</v>
      </c>
      <c r="C326" s="23" t="e">
        <f ca="1">_xludf.BETA.INV(S326,'04_PSA_INPUTS'!H6,'04_PSA_INPUTS'!I6)</f>
        <v>#NAME?</v>
      </c>
      <c r="D326" s="27" t="e">
        <f ca="1">_xludf.GAMMA.INV(T326,'04_PSA_INPUTS'!H7,'04_PSA_INPUTS'!I7)</f>
        <v>#NAME?</v>
      </c>
      <c r="E326" s="27" t="e">
        <f ca="1">_xludf.GAMMA.INV(U326,'04_PSA_INPUTS'!H8,'04_PSA_INPUTS'!I8)</f>
        <v>#NAME?</v>
      </c>
      <c r="F326" s="27" t="e">
        <f ca="1">_xludf.GAMMA.INV(V326,'04_PSA_INPUTS'!H9,'04_PSA_INPUTS'!I9)</f>
        <v>#NAME?</v>
      </c>
      <c r="G326" s="23" t="e">
        <f ca="1">_xludf.BETA.INV(W326,'04_PSA_INPUTS'!H10,'04_PSA_INPUTS'!I10)</f>
        <v>#NAME?</v>
      </c>
      <c r="H326" s="23" t="e">
        <f ca="1">_xludf.BETA.INV(X326,'04_PSA_INPUTS'!H11,'04_PSA_INPUTS'!I11)</f>
        <v>#NAME?</v>
      </c>
      <c r="I326" s="27" t="e">
        <f ca="1">D326+B326*F326+'01_INPUTS'!B20</f>
        <v>#NAME?</v>
      </c>
      <c r="J326" s="27" t="e">
        <f ca="1">E326+C326*F326+'01_INPUTS'!B21</f>
        <v>#NAME?</v>
      </c>
      <c r="K326" s="27" t="e">
        <f t="shared" ca="1" si="30"/>
        <v>#NAME?</v>
      </c>
      <c r="L326" s="23" t="e">
        <f t="shared" ca="1" si="31"/>
        <v>#NAME?</v>
      </c>
      <c r="M326" s="23" t="e">
        <f t="shared" ca="1" si="32"/>
        <v>#NAME?</v>
      </c>
      <c r="N326" s="23" t="e">
        <f t="shared" ca="1" si="33"/>
        <v>#NAME?</v>
      </c>
      <c r="O326" s="27" t="e">
        <f t="shared" ca="1" si="34"/>
        <v>#NAME?</v>
      </c>
      <c r="P326" s="27" t="e">
        <f ca="1">'01_INPUTS'!B9*N326-K326</f>
        <v>#NAME?</v>
      </c>
      <c r="Q326" s="1" t="e">
        <f t="shared" ca="1" si="35"/>
        <v>#NAME?</v>
      </c>
      <c r="R326" s="28">
        <v>0.34809557860717177</v>
      </c>
      <c r="S326" s="28">
        <v>0.59240669175051153</v>
      </c>
      <c r="T326" s="28">
        <v>0.74111064872704446</v>
      </c>
      <c r="U326" s="28">
        <v>0.17243134812451899</v>
      </c>
      <c r="V326" s="28">
        <v>0.70088551798835397</v>
      </c>
      <c r="W326" s="28">
        <v>0.2698841686360538</v>
      </c>
      <c r="X326" s="28">
        <v>0.76794037851504982</v>
      </c>
    </row>
    <row r="327" spans="1:24" ht="13.9">
      <c r="A327" s="1">
        <v>326</v>
      </c>
      <c r="B327" s="23" t="e">
        <f ca="1">_xludf.BETA.INV(R327,'04_PSA_INPUTS'!H5,'04_PSA_INPUTS'!I5)</f>
        <v>#NAME?</v>
      </c>
      <c r="C327" s="23" t="e">
        <f ca="1">_xludf.BETA.INV(S327,'04_PSA_INPUTS'!H6,'04_PSA_INPUTS'!I6)</f>
        <v>#NAME?</v>
      </c>
      <c r="D327" s="27" t="e">
        <f ca="1">_xludf.GAMMA.INV(T327,'04_PSA_INPUTS'!H7,'04_PSA_INPUTS'!I7)</f>
        <v>#NAME?</v>
      </c>
      <c r="E327" s="27" t="e">
        <f ca="1">_xludf.GAMMA.INV(U327,'04_PSA_INPUTS'!H8,'04_PSA_INPUTS'!I8)</f>
        <v>#NAME?</v>
      </c>
      <c r="F327" s="27" t="e">
        <f ca="1">_xludf.GAMMA.INV(V327,'04_PSA_INPUTS'!H9,'04_PSA_INPUTS'!I9)</f>
        <v>#NAME?</v>
      </c>
      <c r="G327" s="23" t="e">
        <f ca="1">_xludf.BETA.INV(W327,'04_PSA_INPUTS'!H10,'04_PSA_INPUTS'!I10)</f>
        <v>#NAME?</v>
      </c>
      <c r="H327" s="23" t="e">
        <f ca="1">_xludf.BETA.INV(X327,'04_PSA_INPUTS'!H11,'04_PSA_INPUTS'!I11)</f>
        <v>#NAME?</v>
      </c>
      <c r="I327" s="27" t="e">
        <f ca="1">D327+B327*F327+'01_INPUTS'!B20</f>
        <v>#NAME?</v>
      </c>
      <c r="J327" s="27" t="e">
        <f ca="1">E327+C327*F327+'01_INPUTS'!B21</f>
        <v>#NAME?</v>
      </c>
      <c r="K327" s="27" t="e">
        <f t="shared" ca="1" si="30"/>
        <v>#NAME?</v>
      </c>
      <c r="L327" s="23" t="e">
        <f t="shared" ca="1" si="31"/>
        <v>#NAME?</v>
      </c>
      <c r="M327" s="23" t="e">
        <f t="shared" ca="1" si="32"/>
        <v>#NAME?</v>
      </c>
      <c r="N327" s="23" t="e">
        <f t="shared" ca="1" si="33"/>
        <v>#NAME?</v>
      </c>
      <c r="O327" s="27" t="e">
        <f t="shared" ca="1" si="34"/>
        <v>#NAME?</v>
      </c>
      <c r="P327" s="27" t="e">
        <f ca="1">'01_INPUTS'!B9*N327-K327</f>
        <v>#NAME?</v>
      </c>
      <c r="Q327" s="1" t="e">
        <f t="shared" ca="1" si="35"/>
        <v>#NAME?</v>
      </c>
      <c r="R327" s="28">
        <v>0.16835766797885299</v>
      </c>
      <c r="S327" s="28">
        <v>0.87509036436676979</v>
      </c>
      <c r="T327" s="28">
        <v>0.25110902939923108</v>
      </c>
      <c r="U327" s="28">
        <v>0.41990946163423359</v>
      </c>
      <c r="V327" s="28">
        <v>0.3639650009572506</v>
      </c>
      <c r="W327" s="28">
        <v>0.81040054466575384</v>
      </c>
      <c r="X327" s="28">
        <v>0.15914807934314013</v>
      </c>
    </row>
    <row r="328" spans="1:24" ht="13.9">
      <c r="A328" s="1">
        <v>327</v>
      </c>
      <c r="B328" s="23" t="e">
        <f ca="1">_xludf.BETA.INV(R328,'04_PSA_INPUTS'!H5,'04_PSA_INPUTS'!I5)</f>
        <v>#NAME?</v>
      </c>
      <c r="C328" s="23" t="e">
        <f ca="1">_xludf.BETA.INV(S328,'04_PSA_INPUTS'!H6,'04_PSA_INPUTS'!I6)</f>
        <v>#NAME?</v>
      </c>
      <c r="D328" s="27" t="e">
        <f ca="1">_xludf.GAMMA.INV(T328,'04_PSA_INPUTS'!H7,'04_PSA_INPUTS'!I7)</f>
        <v>#NAME?</v>
      </c>
      <c r="E328" s="27" t="e">
        <f ca="1">_xludf.GAMMA.INV(U328,'04_PSA_INPUTS'!H8,'04_PSA_INPUTS'!I8)</f>
        <v>#NAME?</v>
      </c>
      <c r="F328" s="27" t="e">
        <f ca="1">_xludf.GAMMA.INV(V328,'04_PSA_INPUTS'!H9,'04_PSA_INPUTS'!I9)</f>
        <v>#NAME?</v>
      </c>
      <c r="G328" s="23" t="e">
        <f ca="1">_xludf.BETA.INV(W328,'04_PSA_INPUTS'!H10,'04_PSA_INPUTS'!I10)</f>
        <v>#NAME?</v>
      </c>
      <c r="H328" s="23" t="e">
        <f ca="1">_xludf.BETA.INV(X328,'04_PSA_INPUTS'!H11,'04_PSA_INPUTS'!I11)</f>
        <v>#NAME?</v>
      </c>
      <c r="I328" s="27" t="e">
        <f ca="1">D328+B328*F328+'01_INPUTS'!B20</f>
        <v>#NAME?</v>
      </c>
      <c r="J328" s="27" t="e">
        <f ca="1">E328+C328*F328+'01_INPUTS'!B21</f>
        <v>#NAME?</v>
      </c>
      <c r="K328" s="27" t="e">
        <f t="shared" ca="1" si="30"/>
        <v>#NAME?</v>
      </c>
      <c r="L328" s="23" t="e">
        <f t="shared" ca="1" si="31"/>
        <v>#NAME?</v>
      </c>
      <c r="M328" s="23" t="e">
        <f t="shared" ca="1" si="32"/>
        <v>#NAME?</v>
      </c>
      <c r="N328" s="23" t="e">
        <f t="shared" ca="1" si="33"/>
        <v>#NAME?</v>
      </c>
      <c r="O328" s="27" t="e">
        <f t="shared" ca="1" si="34"/>
        <v>#NAME?</v>
      </c>
      <c r="P328" s="27" t="e">
        <f ca="1">'01_INPUTS'!B9*N328-K328</f>
        <v>#NAME?</v>
      </c>
      <c r="Q328" s="1" t="e">
        <f t="shared" ca="1" si="35"/>
        <v>#NAME?</v>
      </c>
      <c r="R328" s="28">
        <v>0.30074844229966402</v>
      </c>
      <c r="S328" s="28">
        <v>0.40188230271451175</v>
      </c>
      <c r="T328" s="28">
        <v>0.30426903557963669</v>
      </c>
      <c r="U328" s="28">
        <v>0.84025694732554257</v>
      </c>
      <c r="V328" s="28">
        <v>0.96670787292532623</v>
      </c>
      <c r="W328" s="28">
        <v>0.45339271705597639</v>
      </c>
      <c r="X328" s="28">
        <v>0.95711779128760099</v>
      </c>
    </row>
    <row r="329" spans="1:24" ht="13.9">
      <c r="A329" s="1">
        <v>328</v>
      </c>
      <c r="B329" s="23" t="e">
        <f ca="1">_xludf.BETA.INV(R329,'04_PSA_INPUTS'!H5,'04_PSA_INPUTS'!I5)</f>
        <v>#NAME?</v>
      </c>
      <c r="C329" s="23" t="e">
        <f ca="1">_xludf.BETA.INV(S329,'04_PSA_INPUTS'!H6,'04_PSA_INPUTS'!I6)</f>
        <v>#NAME?</v>
      </c>
      <c r="D329" s="27" t="e">
        <f ca="1">_xludf.GAMMA.INV(T329,'04_PSA_INPUTS'!H7,'04_PSA_INPUTS'!I7)</f>
        <v>#NAME?</v>
      </c>
      <c r="E329" s="27" t="e">
        <f ca="1">_xludf.GAMMA.INV(U329,'04_PSA_INPUTS'!H8,'04_PSA_INPUTS'!I8)</f>
        <v>#NAME?</v>
      </c>
      <c r="F329" s="27" t="e">
        <f ca="1">_xludf.GAMMA.INV(V329,'04_PSA_INPUTS'!H9,'04_PSA_INPUTS'!I9)</f>
        <v>#NAME?</v>
      </c>
      <c r="G329" s="23" t="e">
        <f ca="1">_xludf.BETA.INV(W329,'04_PSA_INPUTS'!H10,'04_PSA_INPUTS'!I10)</f>
        <v>#NAME?</v>
      </c>
      <c r="H329" s="23" t="e">
        <f ca="1">_xludf.BETA.INV(X329,'04_PSA_INPUTS'!H11,'04_PSA_INPUTS'!I11)</f>
        <v>#NAME?</v>
      </c>
      <c r="I329" s="27" t="e">
        <f ca="1">D329+B329*F329+'01_INPUTS'!B20</f>
        <v>#NAME?</v>
      </c>
      <c r="J329" s="27" t="e">
        <f ca="1">E329+C329*F329+'01_INPUTS'!B21</f>
        <v>#NAME?</v>
      </c>
      <c r="K329" s="27" t="e">
        <f t="shared" ca="1" si="30"/>
        <v>#NAME?</v>
      </c>
      <c r="L329" s="23" t="e">
        <f t="shared" ca="1" si="31"/>
        <v>#NAME?</v>
      </c>
      <c r="M329" s="23" t="e">
        <f t="shared" ca="1" si="32"/>
        <v>#NAME?</v>
      </c>
      <c r="N329" s="23" t="e">
        <f t="shared" ca="1" si="33"/>
        <v>#NAME?</v>
      </c>
      <c r="O329" s="27" t="e">
        <f t="shared" ca="1" si="34"/>
        <v>#NAME?</v>
      </c>
      <c r="P329" s="27" t="e">
        <f ca="1">'01_INPUTS'!B9*N329-K329</f>
        <v>#NAME?</v>
      </c>
      <c r="Q329" s="1" t="e">
        <f t="shared" ca="1" si="35"/>
        <v>#NAME?</v>
      </c>
      <c r="R329" s="28">
        <v>3.9176204707473516E-2</v>
      </c>
      <c r="S329" s="28">
        <v>5.5204709060490131E-3</v>
      </c>
      <c r="T329" s="28">
        <v>0.1194433004129678</v>
      </c>
      <c r="U329" s="28">
        <v>0.28241355554200709</v>
      </c>
      <c r="V329" s="28">
        <v>0.66444760886952281</v>
      </c>
      <c r="W329" s="28">
        <v>0.76451197220012546</v>
      </c>
      <c r="X329" s="28">
        <v>5.8491755044087768E-2</v>
      </c>
    </row>
    <row r="330" spans="1:24" ht="13.9">
      <c r="A330" s="1">
        <v>329</v>
      </c>
      <c r="B330" s="23" t="e">
        <f ca="1">_xludf.BETA.INV(R330,'04_PSA_INPUTS'!H5,'04_PSA_INPUTS'!I5)</f>
        <v>#NAME?</v>
      </c>
      <c r="C330" s="23" t="e">
        <f ca="1">_xludf.BETA.INV(S330,'04_PSA_INPUTS'!H6,'04_PSA_INPUTS'!I6)</f>
        <v>#NAME?</v>
      </c>
      <c r="D330" s="27" t="e">
        <f ca="1">_xludf.GAMMA.INV(T330,'04_PSA_INPUTS'!H7,'04_PSA_INPUTS'!I7)</f>
        <v>#NAME?</v>
      </c>
      <c r="E330" s="27" t="e">
        <f ca="1">_xludf.GAMMA.INV(U330,'04_PSA_INPUTS'!H8,'04_PSA_INPUTS'!I8)</f>
        <v>#NAME?</v>
      </c>
      <c r="F330" s="27" t="e">
        <f ca="1">_xludf.GAMMA.INV(V330,'04_PSA_INPUTS'!H9,'04_PSA_INPUTS'!I9)</f>
        <v>#NAME?</v>
      </c>
      <c r="G330" s="23" t="e">
        <f ca="1">_xludf.BETA.INV(W330,'04_PSA_INPUTS'!H10,'04_PSA_INPUTS'!I10)</f>
        <v>#NAME?</v>
      </c>
      <c r="H330" s="23" t="e">
        <f ca="1">_xludf.BETA.INV(X330,'04_PSA_INPUTS'!H11,'04_PSA_INPUTS'!I11)</f>
        <v>#NAME?</v>
      </c>
      <c r="I330" s="27" t="e">
        <f ca="1">D330+B330*F330+'01_INPUTS'!B20</f>
        <v>#NAME?</v>
      </c>
      <c r="J330" s="27" t="e">
        <f ca="1">E330+C330*F330+'01_INPUTS'!B21</f>
        <v>#NAME?</v>
      </c>
      <c r="K330" s="27" t="e">
        <f t="shared" ca="1" si="30"/>
        <v>#NAME?</v>
      </c>
      <c r="L330" s="23" t="e">
        <f t="shared" ca="1" si="31"/>
        <v>#NAME?</v>
      </c>
      <c r="M330" s="23" t="e">
        <f t="shared" ca="1" si="32"/>
        <v>#NAME?</v>
      </c>
      <c r="N330" s="23" t="e">
        <f t="shared" ca="1" si="33"/>
        <v>#NAME?</v>
      </c>
      <c r="O330" s="27" t="e">
        <f t="shared" ca="1" si="34"/>
        <v>#NAME?</v>
      </c>
      <c r="P330" s="27" t="e">
        <f ca="1">'01_INPUTS'!B9*N330-K330</f>
        <v>#NAME?</v>
      </c>
      <c r="Q330" s="1" t="e">
        <f t="shared" ca="1" si="35"/>
        <v>#NAME?</v>
      </c>
      <c r="R330" s="28">
        <v>0.35415686713531613</v>
      </c>
      <c r="S330" s="28">
        <v>2.6212722528725863E-2</v>
      </c>
      <c r="T330" s="28">
        <v>0.37609195918776095</v>
      </c>
      <c r="U330" s="28">
        <v>0.27381237968802452</v>
      </c>
      <c r="V330" s="28">
        <v>0.81519300560466945</v>
      </c>
      <c r="W330" s="28">
        <v>0.60479053040035069</v>
      </c>
      <c r="X330" s="28">
        <v>0.72114803898148239</v>
      </c>
    </row>
    <row r="331" spans="1:24" ht="13.9">
      <c r="A331" s="1">
        <v>330</v>
      </c>
      <c r="B331" s="23" t="e">
        <f ca="1">_xludf.BETA.INV(R331,'04_PSA_INPUTS'!H5,'04_PSA_INPUTS'!I5)</f>
        <v>#NAME?</v>
      </c>
      <c r="C331" s="23" t="e">
        <f ca="1">_xludf.BETA.INV(S331,'04_PSA_INPUTS'!H6,'04_PSA_INPUTS'!I6)</f>
        <v>#NAME?</v>
      </c>
      <c r="D331" s="27" t="e">
        <f ca="1">_xludf.GAMMA.INV(T331,'04_PSA_INPUTS'!H7,'04_PSA_INPUTS'!I7)</f>
        <v>#NAME?</v>
      </c>
      <c r="E331" s="27" t="e">
        <f ca="1">_xludf.GAMMA.INV(U331,'04_PSA_INPUTS'!H8,'04_PSA_INPUTS'!I8)</f>
        <v>#NAME?</v>
      </c>
      <c r="F331" s="27" t="e">
        <f ca="1">_xludf.GAMMA.INV(V331,'04_PSA_INPUTS'!H9,'04_PSA_INPUTS'!I9)</f>
        <v>#NAME?</v>
      </c>
      <c r="G331" s="23" t="e">
        <f ca="1">_xludf.BETA.INV(W331,'04_PSA_INPUTS'!H10,'04_PSA_INPUTS'!I10)</f>
        <v>#NAME?</v>
      </c>
      <c r="H331" s="23" t="e">
        <f ca="1">_xludf.BETA.INV(X331,'04_PSA_INPUTS'!H11,'04_PSA_INPUTS'!I11)</f>
        <v>#NAME?</v>
      </c>
      <c r="I331" s="27" t="e">
        <f ca="1">D331+B331*F331+'01_INPUTS'!B20</f>
        <v>#NAME?</v>
      </c>
      <c r="J331" s="27" t="e">
        <f ca="1">E331+C331*F331+'01_INPUTS'!B21</f>
        <v>#NAME?</v>
      </c>
      <c r="K331" s="27" t="e">
        <f t="shared" ca="1" si="30"/>
        <v>#NAME?</v>
      </c>
      <c r="L331" s="23" t="e">
        <f t="shared" ca="1" si="31"/>
        <v>#NAME?</v>
      </c>
      <c r="M331" s="23" t="e">
        <f t="shared" ca="1" si="32"/>
        <v>#NAME?</v>
      </c>
      <c r="N331" s="23" t="e">
        <f t="shared" ca="1" si="33"/>
        <v>#NAME?</v>
      </c>
      <c r="O331" s="27" t="e">
        <f t="shared" ca="1" si="34"/>
        <v>#NAME?</v>
      </c>
      <c r="P331" s="27" t="e">
        <f ca="1">'01_INPUTS'!B9*N331-K331</f>
        <v>#NAME?</v>
      </c>
      <c r="Q331" s="1" t="e">
        <f t="shared" ca="1" si="35"/>
        <v>#NAME?</v>
      </c>
      <c r="R331" s="28">
        <v>0.50978830386884511</v>
      </c>
      <c r="S331" s="28">
        <v>0.8441767490003258</v>
      </c>
      <c r="T331" s="28">
        <v>0.17190648848190904</v>
      </c>
      <c r="U331" s="28">
        <v>0.35363201145082712</v>
      </c>
      <c r="V331" s="28">
        <v>0.12525216583162546</v>
      </c>
      <c r="W331" s="28">
        <v>0.30458361702039838</v>
      </c>
      <c r="X331" s="28">
        <v>0.85511248908005655</v>
      </c>
    </row>
    <row r="332" spans="1:24" ht="13.9">
      <c r="A332" s="1">
        <v>331</v>
      </c>
      <c r="B332" s="23" t="e">
        <f ca="1">_xludf.BETA.INV(R332,'04_PSA_INPUTS'!H5,'04_PSA_INPUTS'!I5)</f>
        <v>#NAME?</v>
      </c>
      <c r="C332" s="23" t="e">
        <f ca="1">_xludf.BETA.INV(S332,'04_PSA_INPUTS'!H6,'04_PSA_INPUTS'!I6)</f>
        <v>#NAME?</v>
      </c>
      <c r="D332" s="27" t="e">
        <f ca="1">_xludf.GAMMA.INV(T332,'04_PSA_INPUTS'!H7,'04_PSA_INPUTS'!I7)</f>
        <v>#NAME?</v>
      </c>
      <c r="E332" s="27" t="e">
        <f ca="1">_xludf.GAMMA.INV(U332,'04_PSA_INPUTS'!H8,'04_PSA_INPUTS'!I8)</f>
        <v>#NAME?</v>
      </c>
      <c r="F332" s="27" t="e">
        <f ca="1">_xludf.GAMMA.INV(V332,'04_PSA_INPUTS'!H9,'04_PSA_INPUTS'!I9)</f>
        <v>#NAME?</v>
      </c>
      <c r="G332" s="23" t="e">
        <f ca="1">_xludf.BETA.INV(W332,'04_PSA_INPUTS'!H10,'04_PSA_INPUTS'!I10)</f>
        <v>#NAME?</v>
      </c>
      <c r="H332" s="23" t="e">
        <f ca="1">_xludf.BETA.INV(X332,'04_PSA_INPUTS'!H11,'04_PSA_INPUTS'!I11)</f>
        <v>#NAME?</v>
      </c>
      <c r="I332" s="27" t="e">
        <f ca="1">D332+B332*F332+'01_INPUTS'!B20</f>
        <v>#NAME?</v>
      </c>
      <c r="J332" s="27" t="e">
        <f ca="1">E332+C332*F332+'01_INPUTS'!B21</f>
        <v>#NAME?</v>
      </c>
      <c r="K332" s="27" t="e">
        <f t="shared" ca="1" si="30"/>
        <v>#NAME?</v>
      </c>
      <c r="L332" s="23" t="e">
        <f t="shared" ca="1" si="31"/>
        <v>#NAME?</v>
      </c>
      <c r="M332" s="23" t="e">
        <f t="shared" ca="1" si="32"/>
        <v>#NAME?</v>
      </c>
      <c r="N332" s="23" t="e">
        <f t="shared" ca="1" si="33"/>
        <v>#NAME?</v>
      </c>
      <c r="O332" s="27" t="e">
        <f t="shared" ca="1" si="34"/>
        <v>#NAME?</v>
      </c>
      <c r="P332" s="27" t="e">
        <f ca="1">'01_INPUTS'!B9*N332-K332</f>
        <v>#NAME?</v>
      </c>
      <c r="Q332" s="1" t="e">
        <f t="shared" ca="1" si="35"/>
        <v>#NAME?</v>
      </c>
      <c r="R332" s="28">
        <v>0.8900752691552043</v>
      </c>
      <c r="S332" s="28">
        <v>0.50059784646145999</v>
      </c>
      <c r="T332" s="28">
        <v>0.56749756564386189</v>
      </c>
      <c r="U332" s="28">
        <v>0.10428141220472753</v>
      </c>
      <c r="V332" s="28">
        <v>7.4482887051999569E-2</v>
      </c>
      <c r="W332" s="28">
        <v>0.60962415602989495</v>
      </c>
      <c r="X332" s="28">
        <v>0.26207888126373291</v>
      </c>
    </row>
    <row r="333" spans="1:24" ht="13.9">
      <c r="A333" s="1">
        <v>332</v>
      </c>
      <c r="B333" s="23" t="e">
        <f ca="1">_xludf.BETA.INV(R333,'04_PSA_INPUTS'!H5,'04_PSA_INPUTS'!I5)</f>
        <v>#NAME?</v>
      </c>
      <c r="C333" s="23" t="e">
        <f ca="1">_xludf.BETA.INV(S333,'04_PSA_INPUTS'!H6,'04_PSA_INPUTS'!I6)</f>
        <v>#NAME?</v>
      </c>
      <c r="D333" s="27" t="e">
        <f ca="1">_xludf.GAMMA.INV(T333,'04_PSA_INPUTS'!H7,'04_PSA_INPUTS'!I7)</f>
        <v>#NAME?</v>
      </c>
      <c r="E333" s="27" t="e">
        <f ca="1">_xludf.GAMMA.INV(U333,'04_PSA_INPUTS'!H8,'04_PSA_INPUTS'!I8)</f>
        <v>#NAME?</v>
      </c>
      <c r="F333" s="27" t="e">
        <f ca="1">_xludf.GAMMA.INV(V333,'04_PSA_INPUTS'!H9,'04_PSA_INPUTS'!I9)</f>
        <v>#NAME?</v>
      </c>
      <c r="G333" s="23" t="e">
        <f ca="1">_xludf.BETA.INV(W333,'04_PSA_INPUTS'!H10,'04_PSA_INPUTS'!I10)</f>
        <v>#NAME?</v>
      </c>
      <c r="H333" s="23" t="e">
        <f ca="1">_xludf.BETA.INV(X333,'04_PSA_INPUTS'!H11,'04_PSA_INPUTS'!I11)</f>
        <v>#NAME?</v>
      </c>
      <c r="I333" s="27" t="e">
        <f ca="1">D333+B333*F333+'01_INPUTS'!B20</f>
        <v>#NAME?</v>
      </c>
      <c r="J333" s="27" t="e">
        <f ca="1">E333+C333*F333+'01_INPUTS'!B21</f>
        <v>#NAME?</v>
      </c>
      <c r="K333" s="27" t="e">
        <f t="shared" ca="1" si="30"/>
        <v>#NAME?</v>
      </c>
      <c r="L333" s="23" t="e">
        <f t="shared" ca="1" si="31"/>
        <v>#NAME?</v>
      </c>
      <c r="M333" s="23" t="e">
        <f t="shared" ca="1" si="32"/>
        <v>#NAME?</v>
      </c>
      <c r="N333" s="23" t="e">
        <f t="shared" ca="1" si="33"/>
        <v>#NAME?</v>
      </c>
      <c r="O333" s="27" t="e">
        <f t="shared" ca="1" si="34"/>
        <v>#NAME?</v>
      </c>
      <c r="P333" s="27" t="e">
        <f ca="1">'01_INPUTS'!B9*N333-K333</f>
        <v>#NAME?</v>
      </c>
      <c r="Q333" s="1" t="e">
        <f t="shared" ca="1" si="35"/>
        <v>#NAME?</v>
      </c>
      <c r="R333" s="28">
        <v>0.97516425908543169</v>
      </c>
      <c r="S333" s="28">
        <v>0.65170875540934503</v>
      </c>
      <c r="T333" s="28">
        <v>0.29681021138094366</v>
      </c>
      <c r="U333" s="28">
        <v>0.60347787360660732</v>
      </c>
      <c r="V333" s="28">
        <v>0.32974605984054506</v>
      </c>
      <c r="W333" s="28">
        <v>0.20483134291134775</v>
      </c>
      <c r="X333" s="28">
        <v>0.15904518333263695</v>
      </c>
    </row>
    <row r="334" spans="1:24" ht="13.9">
      <c r="A334" s="1">
        <v>333</v>
      </c>
      <c r="B334" s="23" t="e">
        <f ca="1">_xludf.BETA.INV(R334,'04_PSA_INPUTS'!H5,'04_PSA_INPUTS'!I5)</f>
        <v>#NAME?</v>
      </c>
      <c r="C334" s="23" t="e">
        <f ca="1">_xludf.BETA.INV(S334,'04_PSA_INPUTS'!H6,'04_PSA_INPUTS'!I6)</f>
        <v>#NAME?</v>
      </c>
      <c r="D334" s="27" t="e">
        <f ca="1">_xludf.GAMMA.INV(T334,'04_PSA_INPUTS'!H7,'04_PSA_INPUTS'!I7)</f>
        <v>#NAME?</v>
      </c>
      <c r="E334" s="27" t="e">
        <f ca="1">_xludf.GAMMA.INV(U334,'04_PSA_INPUTS'!H8,'04_PSA_INPUTS'!I8)</f>
        <v>#NAME?</v>
      </c>
      <c r="F334" s="27" t="e">
        <f ca="1">_xludf.GAMMA.INV(V334,'04_PSA_INPUTS'!H9,'04_PSA_INPUTS'!I9)</f>
        <v>#NAME?</v>
      </c>
      <c r="G334" s="23" t="e">
        <f ca="1">_xludf.BETA.INV(W334,'04_PSA_INPUTS'!H10,'04_PSA_INPUTS'!I10)</f>
        <v>#NAME?</v>
      </c>
      <c r="H334" s="23" t="e">
        <f ca="1">_xludf.BETA.INV(X334,'04_PSA_INPUTS'!H11,'04_PSA_INPUTS'!I11)</f>
        <v>#NAME?</v>
      </c>
      <c r="I334" s="27" t="e">
        <f ca="1">D334+B334*F334+'01_INPUTS'!B20</f>
        <v>#NAME?</v>
      </c>
      <c r="J334" s="27" t="e">
        <f ca="1">E334+C334*F334+'01_INPUTS'!B21</f>
        <v>#NAME?</v>
      </c>
      <c r="K334" s="27" t="e">
        <f t="shared" ca="1" si="30"/>
        <v>#NAME?</v>
      </c>
      <c r="L334" s="23" t="e">
        <f t="shared" ca="1" si="31"/>
        <v>#NAME?</v>
      </c>
      <c r="M334" s="23" t="e">
        <f t="shared" ca="1" si="32"/>
        <v>#NAME?</v>
      </c>
      <c r="N334" s="23" t="e">
        <f t="shared" ca="1" si="33"/>
        <v>#NAME?</v>
      </c>
      <c r="O334" s="27" t="e">
        <f t="shared" ca="1" si="34"/>
        <v>#NAME?</v>
      </c>
      <c r="P334" s="27" t="e">
        <f ca="1">'01_INPUTS'!B9*N334-K334</f>
        <v>#NAME?</v>
      </c>
      <c r="Q334" s="1" t="e">
        <f t="shared" ca="1" si="35"/>
        <v>#NAME?</v>
      </c>
      <c r="R334" s="28">
        <v>0.34952980978414416</v>
      </c>
      <c r="S334" s="28">
        <v>0.41012565838173032</v>
      </c>
      <c r="T334" s="28">
        <v>0.3994384752586484</v>
      </c>
      <c r="U334" s="28">
        <v>0.20624702516943216</v>
      </c>
      <c r="V334" s="28">
        <v>0.86512180510908365</v>
      </c>
      <c r="W334" s="28">
        <v>0.51067060232162476</v>
      </c>
      <c r="X334" s="28">
        <v>0.57401063083671033</v>
      </c>
    </row>
    <row r="335" spans="1:24" ht="13.9">
      <c r="A335" s="1">
        <v>334</v>
      </c>
      <c r="B335" s="23" t="e">
        <f ca="1">_xludf.BETA.INV(R335,'04_PSA_INPUTS'!H5,'04_PSA_INPUTS'!I5)</f>
        <v>#NAME?</v>
      </c>
      <c r="C335" s="23" t="e">
        <f ca="1">_xludf.BETA.INV(S335,'04_PSA_INPUTS'!H6,'04_PSA_INPUTS'!I6)</f>
        <v>#NAME?</v>
      </c>
      <c r="D335" s="27" t="e">
        <f ca="1">_xludf.GAMMA.INV(T335,'04_PSA_INPUTS'!H7,'04_PSA_INPUTS'!I7)</f>
        <v>#NAME?</v>
      </c>
      <c r="E335" s="27" t="e">
        <f ca="1">_xludf.GAMMA.INV(U335,'04_PSA_INPUTS'!H8,'04_PSA_INPUTS'!I8)</f>
        <v>#NAME?</v>
      </c>
      <c r="F335" s="27" t="e">
        <f ca="1">_xludf.GAMMA.INV(V335,'04_PSA_INPUTS'!H9,'04_PSA_INPUTS'!I9)</f>
        <v>#NAME?</v>
      </c>
      <c r="G335" s="23" t="e">
        <f ca="1">_xludf.BETA.INV(W335,'04_PSA_INPUTS'!H10,'04_PSA_INPUTS'!I10)</f>
        <v>#NAME?</v>
      </c>
      <c r="H335" s="23" t="e">
        <f ca="1">_xludf.BETA.INV(X335,'04_PSA_INPUTS'!H11,'04_PSA_INPUTS'!I11)</f>
        <v>#NAME?</v>
      </c>
      <c r="I335" s="27" t="e">
        <f ca="1">D335+B335*F335+'01_INPUTS'!B20</f>
        <v>#NAME?</v>
      </c>
      <c r="J335" s="27" t="e">
        <f ca="1">E335+C335*F335+'01_INPUTS'!B21</f>
        <v>#NAME?</v>
      </c>
      <c r="K335" s="27" t="e">
        <f t="shared" ca="1" si="30"/>
        <v>#NAME?</v>
      </c>
      <c r="L335" s="23" t="e">
        <f t="shared" ca="1" si="31"/>
        <v>#NAME?</v>
      </c>
      <c r="M335" s="23" t="e">
        <f t="shared" ca="1" si="32"/>
        <v>#NAME?</v>
      </c>
      <c r="N335" s="23" t="e">
        <f t="shared" ca="1" si="33"/>
        <v>#NAME?</v>
      </c>
      <c r="O335" s="27" t="e">
        <f t="shared" ca="1" si="34"/>
        <v>#NAME?</v>
      </c>
      <c r="P335" s="27" t="e">
        <f ca="1">'01_INPUTS'!B9*N335-K335</f>
        <v>#NAME?</v>
      </c>
      <c r="Q335" s="1" t="e">
        <f t="shared" ca="1" si="35"/>
        <v>#NAME?</v>
      </c>
      <c r="R335" s="28">
        <v>0.95555849862284958</v>
      </c>
      <c r="S335" s="28">
        <v>0.71434634667821229</v>
      </c>
      <c r="T335" s="28">
        <v>0.69296745280735195</v>
      </c>
      <c r="U335" s="28">
        <v>0.71129437698982656</v>
      </c>
      <c r="V335" s="28">
        <v>0.21053034393116832</v>
      </c>
      <c r="W335" s="28">
        <v>4.204516252502799E-2</v>
      </c>
      <c r="X335" s="28">
        <v>0.53087868774309754</v>
      </c>
    </row>
    <row r="336" spans="1:24" ht="13.9">
      <c r="A336" s="1">
        <v>335</v>
      </c>
      <c r="B336" s="23" t="e">
        <f ca="1">_xludf.BETA.INV(R336,'04_PSA_INPUTS'!H5,'04_PSA_INPUTS'!I5)</f>
        <v>#NAME?</v>
      </c>
      <c r="C336" s="23" t="e">
        <f ca="1">_xludf.BETA.INV(S336,'04_PSA_INPUTS'!H6,'04_PSA_INPUTS'!I6)</f>
        <v>#NAME?</v>
      </c>
      <c r="D336" s="27" t="e">
        <f ca="1">_xludf.GAMMA.INV(T336,'04_PSA_INPUTS'!H7,'04_PSA_INPUTS'!I7)</f>
        <v>#NAME?</v>
      </c>
      <c r="E336" s="27" t="e">
        <f ca="1">_xludf.GAMMA.INV(U336,'04_PSA_INPUTS'!H8,'04_PSA_INPUTS'!I8)</f>
        <v>#NAME?</v>
      </c>
      <c r="F336" s="27" t="e">
        <f ca="1">_xludf.GAMMA.INV(V336,'04_PSA_INPUTS'!H9,'04_PSA_INPUTS'!I9)</f>
        <v>#NAME?</v>
      </c>
      <c r="G336" s="23" t="e">
        <f ca="1">_xludf.BETA.INV(W336,'04_PSA_INPUTS'!H10,'04_PSA_INPUTS'!I10)</f>
        <v>#NAME?</v>
      </c>
      <c r="H336" s="23" t="e">
        <f ca="1">_xludf.BETA.INV(X336,'04_PSA_INPUTS'!H11,'04_PSA_INPUTS'!I11)</f>
        <v>#NAME?</v>
      </c>
      <c r="I336" s="27" t="e">
        <f ca="1">D336+B336*F336+'01_INPUTS'!B20</f>
        <v>#NAME?</v>
      </c>
      <c r="J336" s="27" t="e">
        <f ca="1">E336+C336*F336+'01_INPUTS'!B21</f>
        <v>#NAME?</v>
      </c>
      <c r="K336" s="27" t="e">
        <f t="shared" ca="1" si="30"/>
        <v>#NAME?</v>
      </c>
      <c r="L336" s="23" t="e">
        <f t="shared" ca="1" si="31"/>
        <v>#NAME?</v>
      </c>
      <c r="M336" s="23" t="e">
        <f t="shared" ca="1" si="32"/>
        <v>#NAME?</v>
      </c>
      <c r="N336" s="23" t="e">
        <f t="shared" ca="1" si="33"/>
        <v>#NAME?</v>
      </c>
      <c r="O336" s="27" t="e">
        <f t="shared" ca="1" si="34"/>
        <v>#NAME?</v>
      </c>
      <c r="P336" s="27" t="e">
        <f ca="1">'01_INPUTS'!B9*N336-K336</f>
        <v>#NAME?</v>
      </c>
      <c r="Q336" s="1" t="e">
        <f t="shared" ca="1" si="35"/>
        <v>#NAME?</v>
      </c>
      <c r="R336" s="28">
        <v>0.16363223129883409</v>
      </c>
      <c r="S336" s="28">
        <v>0.22171475039795041</v>
      </c>
      <c r="T336" s="28">
        <v>0.82060701446607709</v>
      </c>
      <c r="U336" s="28">
        <v>0.91682316130027175</v>
      </c>
      <c r="V336" s="28">
        <v>0.20193267916329205</v>
      </c>
      <c r="W336" s="28">
        <v>1.3905221363529563E-2</v>
      </c>
      <c r="X336" s="28">
        <v>0.13925450760871172</v>
      </c>
    </row>
    <row r="337" spans="1:24" ht="13.9">
      <c r="A337" s="1">
        <v>336</v>
      </c>
      <c r="B337" s="23" t="e">
        <f ca="1">_xludf.BETA.INV(R337,'04_PSA_INPUTS'!H5,'04_PSA_INPUTS'!I5)</f>
        <v>#NAME?</v>
      </c>
      <c r="C337" s="23" t="e">
        <f ca="1">_xludf.BETA.INV(S337,'04_PSA_INPUTS'!H6,'04_PSA_INPUTS'!I6)</f>
        <v>#NAME?</v>
      </c>
      <c r="D337" s="27" t="e">
        <f ca="1">_xludf.GAMMA.INV(T337,'04_PSA_INPUTS'!H7,'04_PSA_INPUTS'!I7)</f>
        <v>#NAME?</v>
      </c>
      <c r="E337" s="27" t="e">
        <f ca="1">_xludf.GAMMA.INV(U337,'04_PSA_INPUTS'!H8,'04_PSA_INPUTS'!I8)</f>
        <v>#NAME?</v>
      </c>
      <c r="F337" s="27" t="e">
        <f ca="1">_xludf.GAMMA.INV(V337,'04_PSA_INPUTS'!H9,'04_PSA_INPUTS'!I9)</f>
        <v>#NAME?</v>
      </c>
      <c r="G337" s="23" t="e">
        <f ca="1">_xludf.BETA.INV(W337,'04_PSA_INPUTS'!H10,'04_PSA_INPUTS'!I10)</f>
        <v>#NAME?</v>
      </c>
      <c r="H337" s="23" t="e">
        <f ca="1">_xludf.BETA.INV(X337,'04_PSA_INPUTS'!H11,'04_PSA_INPUTS'!I11)</f>
        <v>#NAME?</v>
      </c>
      <c r="I337" s="27" t="e">
        <f ca="1">D337+B337*F337+'01_INPUTS'!B20</f>
        <v>#NAME?</v>
      </c>
      <c r="J337" s="27" t="e">
        <f ca="1">E337+C337*F337+'01_INPUTS'!B21</f>
        <v>#NAME?</v>
      </c>
      <c r="K337" s="27" t="e">
        <f t="shared" ca="1" si="30"/>
        <v>#NAME?</v>
      </c>
      <c r="L337" s="23" t="e">
        <f t="shared" ca="1" si="31"/>
        <v>#NAME?</v>
      </c>
      <c r="M337" s="23" t="e">
        <f t="shared" ca="1" si="32"/>
        <v>#NAME?</v>
      </c>
      <c r="N337" s="23" t="e">
        <f t="shared" ca="1" si="33"/>
        <v>#NAME?</v>
      </c>
      <c r="O337" s="27" t="e">
        <f t="shared" ca="1" si="34"/>
        <v>#NAME?</v>
      </c>
      <c r="P337" s="27" t="e">
        <f ca="1">'01_INPUTS'!B9*N337-K337</f>
        <v>#NAME?</v>
      </c>
      <c r="Q337" s="1" t="e">
        <f t="shared" ca="1" si="35"/>
        <v>#NAME?</v>
      </c>
      <c r="R337" s="28">
        <v>0.44862563093192875</v>
      </c>
      <c r="S337" s="28">
        <v>0.79781373823061585</v>
      </c>
      <c r="T337" s="28">
        <v>9.6940342336893082E-4</v>
      </c>
      <c r="U337" s="28">
        <v>0.32432219735346735</v>
      </c>
      <c r="V337" s="28">
        <v>0.22173189325258136</v>
      </c>
      <c r="W337" s="28">
        <v>0.23170763859525323</v>
      </c>
      <c r="X337" s="28">
        <v>0.64295096485875547</v>
      </c>
    </row>
    <row r="338" spans="1:24" ht="13.9">
      <c r="A338" s="1">
        <v>337</v>
      </c>
      <c r="B338" s="23" t="e">
        <f ca="1">_xludf.BETA.INV(R338,'04_PSA_INPUTS'!H5,'04_PSA_INPUTS'!I5)</f>
        <v>#NAME?</v>
      </c>
      <c r="C338" s="23" t="e">
        <f ca="1">_xludf.BETA.INV(S338,'04_PSA_INPUTS'!H6,'04_PSA_INPUTS'!I6)</f>
        <v>#NAME?</v>
      </c>
      <c r="D338" s="27" t="e">
        <f ca="1">_xludf.GAMMA.INV(T338,'04_PSA_INPUTS'!H7,'04_PSA_INPUTS'!I7)</f>
        <v>#NAME?</v>
      </c>
      <c r="E338" s="27" t="e">
        <f ca="1">_xludf.GAMMA.INV(U338,'04_PSA_INPUTS'!H8,'04_PSA_INPUTS'!I8)</f>
        <v>#NAME?</v>
      </c>
      <c r="F338" s="27" t="e">
        <f ca="1">_xludf.GAMMA.INV(V338,'04_PSA_INPUTS'!H9,'04_PSA_INPUTS'!I9)</f>
        <v>#NAME?</v>
      </c>
      <c r="G338" s="23" t="e">
        <f ca="1">_xludf.BETA.INV(W338,'04_PSA_INPUTS'!H10,'04_PSA_INPUTS'!I10)</f>
        <v>#NAME?</v>
      </c>
      <c r="H338" s="23" t="e">
        <f ca="1">_xludf.BETA.INV(X338,'04_PSA_INPUTS'!H11,'04_PSA_INPUTS'!I11)</f>
        <v>#NAME?</v>
      </c>
      <c r="I338" s="27" t="e">
        <f ca="1">D338+B338*F338+'01_INPUTS'!B20</f>
        <v>#NAME?</v>
      </c>
      <c r="J338" s="27" t="e">
        <f ca="1">E338+C338*F338+'01_INPUTS'!B21</f>
        <v>#NAME?</v>
      </c>
      <c r="K338" s="27" t="e">
        <f t="shared" ca="1" si="30"/>
        <v>#NAME?</v>
      </c>
      <c r="L338" s="23" t="e">
        <f t="shared" ca="1" si="31"/>
        <v>#NAME?</v>
      </c>
      <c r="M338" s="23" t="e">
        <f t="shared" ca="1" si="32"/>
        <v>#NAME?</v>
      </c>
      <c r="N338" s="23" t="e">
        <f t="shared" ca="1" si="33"/>
        <v>#NAME?</v>
      </c>
      <c r="O338" s="27" t="e">
        <f t="shared" ca="1" si="34"/>
        <v>#NAME?</v>
      </c>
      <c r="P338" s="27" t="e">
        <f ca="1">'01_INPUTS'!B9*N338-K338</f>
        <v>#NAME?</v>
      </c>
      <c r="Q338" s="1" t="e">
        <f t="shared" ca="1" si="35"/>
        <v>#NAME?</v>
      </c>
      <c r="R338" s="28">
        <v>0.56837059650570154</v>
      </c>
      <c r="S338" s="28">
        <v>0.79085244331508875</v>
      </c>
      <c r="T338" s="28">
        <v>0.6435694529209286</v>
      </c>
      <c r="U338" s="28">
        <v>0.75251621985808015</v>
      </c>
      <c r="V338" s="28">
        <v>0.22229506610892713</v>
      </c>
      <c r="W338" s="28">
        <v>3.5174433141946793E-2</v>
      </c>
      <c r="X338" s="28">
        <v>0.4616643781773746</v>
      </c>
    </row>
    <row r="339" spans="1:24" ht="13.9">
      <c r="A339" s="1">
        <v>338</v>
      </c>
      <c r="B339" s="23" t="e">
        <f ca="1">_xludf.BETA.INV(R339,'04_PSA_INPUTS'!H5,'04_PSA_INPUTS'!I5)</f>
        <v>#NAME?</v>
      </c>
      <c r="C339" s="23" t="e">
        <f ca="1">_xludf.BETA.INV(S339,'04_PSA_INPUTS'!H6,'04_PSA_INPUTS'!I6)</f>
        <v>#NAME?</v>
      </c>
      <c r="D339" s="27" t="e">
        <f ca="1">_xludf.GAMMA.INV(T339,'04_PSA_INPUTS'!H7,'04_PSA_INPUTS'!I7)</f>
        <v>#NAME?</v>
      </c>
      <c r="E339" s="27" t="e">
        <f ca="1">_xludf.GAMMA.INV(U339,'04_PSA_INPUTS'!H8,'04_PSA_INPUTS'!I8)</f>
        <v>#NAME?</v>
      </c>
      <c r="F339" s="27" t="e">
        <f ca="1">_xludf.GAMMA.INV(V339,'04_PSA_INPUTS'!H9,'04_PSA_INPUTS'!I9)</f>
        <v>#NAME?</v>
      </c>
      <c r="G339" s="23" t="e">
        <f ca="1">_xludf.BETA.INV(W339,'04_PSA_INPUTS'!H10,'04_PSA_INPUTS'!I10)</f>
        <v>#NAME?</v>
      </c>
      <c r="H339" s="23" t="e">
        <f ca="1">_xludf.BETA.INV(X339,'04_PSA_INPUTS'!H11,'04_PSA_INPUTS'!I11)</f>
        <v>#NAME?</v>
      </c>
      <c r="I339" s="27" t="e">
        <f ca="1">D339+B339*F339+'01_INPUTS'!B20</f>
        <v>#NAME?</v>
      </c>
      <c r="J339" s="27" t="e">
        <f ca="1">E339+C339*F339+'01_INPUTS'!B21</f>
        <v>#NAME?</v>
      </c>
      <c r="K339" s="27" t="e">
        <f t="shared" ca="1" si="30"/>
        <v>#NAME?</v>
      </c>
      <c r="L339" s="23" t="e">
        <f t="shared" ca="1" si="31"/>
        <v>#NAME?</v>
      </c>
      <c r="M339" s="23" t="e">
        <f t="shared" ca="1" si="32"/>
        <v>#NAME?</v>
      </c>
      <c r="N339" s="23" t="e">
        <f t="shared" ca="1" si="33"/>
        <v>#NAME?</v>
      </c>
      <c r="O339" s="27" t="e">
        <f t="shared" ca="1" si="34"/>
        <v>#NAME?</v>
      </c>
      <c r="P339" s="27" t="e">
        <f ca="1">'01_INPUTS'!B9*N339-K339</f>
        <v>#NAME?</v>
      </c>
      <c r="Q339" s="1" t="e">
        <f t="shared" ca="1" si="35"/>
        <v>#NAME?</v>
      </c>
      <c r="R339" s="28">
        <v>0.33968546753749251</v>
      </c>
      <c r="S339" s="28">
        <v>0.82261017221026123</v>
      </c>
      <c r="T339" s="28">
        <v>0.43080393201671541</v>
      </c>
      <c r="U339" s="28">
        <v>0.53396261436864734</v>
      </c>
      <c r="V339" s="28">
        <v>0.8329927995800972</v>
      </c>
      <c r="W339" s="28">
        <v>0.44798543676733971</v>
      </c>
      <c r="X339" s="28">
        <v>0.97941849404014647</v>
      </c>
    </row>
    <row r="340" spans="1:24" ht="13.9">
      <c r="A340" s="1">
        <v>339</v>
      </c>
      <c r="B340" s="23" t="e">
        <f ca="1">_xludf.BETA.INV(R340,'04_PSA_INPUTS'!H5,'04_PSA_INPUTS'!I5)</f>
        <v>#NAME?</v>
      </c>
      <c r="C340" s="23" t="e">
        <f ca="1">_xludf.BETA.INV(S340,'04_PSA_INPUTS'!H6,'04_PSA_INPUTS'!I6)</f>
        <v>#NAME?</v>
      </c>
      <c r="D340" s="27" t="e">
        <f ca="1">_xludf.GAMMA.INV(T340,'04_PSA_INPUTS'!H7,'04_PSA_INPUTS'!I7)</f>
        <v>#NAME?</v>
      </c>
      <c r="E340" s="27" t="e">
        <f ca="1">_xludf.GAMMA.INV(U340,'04_PSA_INPUTS'!H8,'04_PSA_INPUTS'!I8)</f>
        <v>#NAME?</v>
      </c>
      <c r="F340" s="27" t="e">
        <f ca="1">_xludf.GAMMA.INV(V340,'04_PSA_INPUTS'!H9,'04_PSA_INPUTS'!I9)</f>
        <v>#NAME?</v>
      </c>
      <c r="G340" s="23" t="e">
        <f ca="1">_xludf.BETA.INV(W340,'04_PSA_INPUTS'!H10,'04_PSA_INPUTS'!I10)</f>
        <v>#NAME?</v>
      </c>
      <c r="H340" s="23" t="e">
        <f ca="1">_xludf.BETA.INV(X340,'04_PSA_INPUTS'!H11,'04_PSA_INPUTS'!I11)</f>
        <v>#NAME?</v>
      </c>
      <c r="I340" s="27" t="e">
        <f ca="1">D340+B340*F340+'01_INPUTS'!B20</f>
        <v>#NAME?</v>
      </c>
      <c r="J340" s="27" t="e">
        <f ca="1">E340+C340*F340+'01_INPUTS'!B21</f>
        <v>#NAME?</v>
      </c>
      <c r="K340" s="27" t="e">
        <f t="shared" ca="1" si="30"/>
        <v>#NAME?</v>
      </c>
      <c r="L340" s="23" t="e">
        <f t="shared" ca="1" si="31"/>
        <v>#NAME?</v>
      </c>
      <c r="M340" s="23" t="e">
        <f t="shared" ca="1" si="32"/>
        <v>#NAME?</v>
      </c>
      <c r="N340" s="23" t="e">
        <f t="shared" ca="1" si="33"/>
        <v>#NAME?</v>
      </c>
      <c r="O340" s="27" t="e">
        <f t="shared" ca="1" si="34"/>
        <v>#NAME?</v>
      </c>
      <c r="P340" s="27" t="e">
        <f ca="1">'01_INPUTS'!B9*N340-K340</f>
        <v>#NAME?</v>
      </c>
      <c r="Q340" s="1" t="e">
        <f t="shared" ca="1" si="35"/>
        <v>#NAME?</v>
      </c>
      <c r="R340" s="28">
        <v>0.17684382060542703</v>
      </c>
      <c r="S340" s="28">
        <v>0.52185787167400122</v>
      </c>
      <c r="T340" s="28">
        <v>7.622060808353126E-2</v>
      </c>
      <c r="U340" s="28">
        <v>7.1961593814194202E-2</v>
      </c>
      <c r="V340" s="28">
        <v>0.95305897551588714</v>
      </c>
      <c r="W340" s="28">
        <v>0.16600906639359891</v>
      </c>
      <c r="X340" s="28">
        <v>4.4706255663186312E-2</v>
      </c>
    </row>
    <row r="341" spans="1:24" ht="13.9">
      <c r="A341" s="1">
        <v>340</v>
      </c>
      <c r="B341" s="23" t="e">
        <f ca="1">_xludf.BETA.INV(R341,'04_PSA_INPUTS'!H5,'04_PSA_INPUTS'!I5)</f>
        <v>#NAME?</v>
      </c>
      <c r="C341" s="23" t="e">
        <f ca="1">_xludf.BETA.INV(S341,'04_PSA_INPUTS'!H6,'04_PSA_INPUTS'!I6)</f>
        <v>#NAME?</v>
      </c>
      <c r="D341" s="27" t="e">
        <f ca="1">_xludf.GAMMA.INV(T341,'04_PSA_INPUTS'!H7,'04_PSA_INPUTS'!I7)</f>
        <v>#NAME?</v>
      </c>
      <c r="E341" s="27" t="e">
        <f ca="1">_xludf.GAMMA.INV(U341,'04_PSA_INPUTS'!H8,'04_PSA_INPUTS'!I8)</f>
        <v>#NAME?</v>
      </c>
      <c r="F341" s="27" t="e">
        <f ca="1">_xludf.GAMMA.INV(V341,'04_PSA_INPUTS'!H9,'04_PSA_INPUTS'!I9)</f>
        <v>#NAME?</v>
      </c>
      <c r="G341" s="23" t="e">
        <f ca="1">_xludf.BETA.INV(W341,'04_PSA_INPUTS'!H10,'04_PSA_INPUTS'!I10)</f>
        <v>#NAME?</v>
      </c>
      <c r="H341" s="23" t="e">
        <f ca="1">_xludf.BETA.INV(X341,'04_PSA_INPUTS'!H11,'04_PSA_INPUTS'!I11)</f>
        <v>#NAME?</v>
      </c>
      <c r="I341" s="27" t="e">
        <f ca="1">D341+B341*F341+'01_INPUTS'!B20</f>
        <v>#NAME?</v>
      </c>
      <c r="J341" s="27" t="e">
        <f ca="1">E341+C341*F341+'01_INPUTS'!B21</f>
        <v>#NAME?</v>
      </c>
      <c r="K341" s="27" t="e">
        <f t="shared" ca="1" si="30"/>
        <v>#NAME?</v>
      </c>
      <c r="L341" s="23" t="e">
        <f t="shared" ca="1" si="31"/>
        <v>#NAME?</v>
      </c>
      <c r="M341" s="23" t="e">
        <f t="shared" ca="1" si="32"/>
        <v>#NAME?</v>
      </c>
      <c r="N341" s="23" t="e">
        <f t="shared" ca="1" si="33"/>
        <v>#NAME?</v>
      </c>
      <c r="O341" s="27" t="e">
        <f t="shared" ca="1" si="34"/>
        <v>#NAME?</v>
      </c>
      <c r="P341" s="27" t="e">
        <f ca="1">'01_INPUTS'!B9*N341-K341</f>
        <v>#NAME?</v>
      </c>
      <c r="Q341" s="1" t="e">
        <f t="shared" ca="1" si="35"/>
        <v>#NAME?</v>
      </c>
      <c r="R341" s="28">
        <v>4.9693080363795161E-2</v>
      </c>
      <c r="S341" s="28">
        <v>0.64683028007857502</v>
      </c>
      <c r="T341" s="28">
        <v>0.13398438598960638</v>
      </c>
      <c r="U341" s="28">
        <v>2.4707564152777195E-2</v>
      </c>
      <c r="V341" s="28">
        <v>0.6008830089122057</v>
      </c>
      <c r="W341" s="28">
        <v>0.7808817510958761</v>
      </c>
      <c r="X341" s="28">
        <v>0.36542541440576315</v>
      </c>
    </row>
    <row r="342" spans="1:24" ht="13.9">
      <c r="A342" s="1">
        <v>341</v>
      </c>
      <c r="B342" s="23" t="e">
        <f ca="1">_xludf.BETA.INV(R342,'04_PSA_INPUTS'!H5,'04_PSA_INPUTS'!I5)</f>
        <v>#NAME?</v>
      </c>
      <c r="C342" s="23" t="e">
        <f ca="1">_xludf.BETA.INV(S342,'04_PSA_INPUTS'!H6,'04_PSA_INPUTS'!I6)</f>
        <v>#NAME?</v>
      </c>
      <c r="D342" s="27" t="e">
        <f ca="1">_xludf.GAMMA.INV(T342,'04_PSA_INPUTS'!H7,'04_PSA_INPUTS'!I7)</f>
        <v>#NAME?</v>
      </c>
      <c r="E342" s="27" t="e">
        <f ca="1">_xludf.GAMMA.INV(U342,'04_PSA_INPUTS'!H8,'04_PSA_INPUTS'!I8)</f>
        <v>#NAME?</v>
      </c>
      <c r="F342" s="27" t="e">
        <f ca="1">_xludf.GAMMA.INV(V342,'04_PSA_INPUTS'!H9,'04_PSA_INPUTS'!I9)</f>
        <v>#NAME?</v>
      </c>
      <c r="G342" s="23" t="e">
        <f ca="1">_xludf.BETA.INV(W342,'04_PSA_INPUTS'!H10,'04_PSA_INPUTS'!I10)</f>
        <v>#NAME?</v>
      </c>
      <c r="H342" s="23" t="e">
        <f ca="1">_xludf.BETA.INV(X342,'04_PSA_INPUTS'!H11,'04_PSA_INPUTS'!I11)</f>
        <v>#NAME?</v>
      </c>
      <c r="I342" s="27" t="e">
        <f ca="1">D342+B342*F342+'01_INPUTS'!B20</f>
        <v>#NAME?</v>
      </c>
      <c r="J342" s="27" t="e">
        <f ca="1">E342+C342*F342+'01_INPUTS'!B21</f>
        <v>#NAME?</v>
      </c>
      <c r="K342" s="27" t="e">
        <f t="shared" ca="1" si="30"/>
        <v>#NAME?</v>
      </c>
      <c r="L342" s="23" t="e">
        <f t="shared" ca="1" si="31"/>
        <v>#NAME?</v>
      </c>
      <c r="M342" s="23" t="e">
        <f t="shared" ca="1" si="32"/>
        <v>#NAME?</v>
      </c>
      <c r="N342" s="23" t="e">
        <f t="shared" ca="1" si="33"/>
        <v>#NAME?</v>
      </c>
      <c r="O342" s="27" t="e">
        <f t="shared" ca="1" si="34"/>
        <v>#NAME?</v>
      </c>
      <c r="P342" s="27" t="e">
        <f ca="1">'01_INPUTS'!B9*N342-K342</f>
        <v>#NAME?</v>
      </c>
      <c r="Q342" s="1" t="e">
        <f t="shared" ca="1" si="35"/>
        <v>#NAME?</v>
      </c>
      <c r="R342" s="28">
        <v>0.17248060391284525</v>
      </c>
      <c r="S342" s="28">
        <v>0.5039802216924727</v>
      </c>
      <c r="T342" s="28">
        <v>0.56773210363462567</v>
      </c>
      <c r="U342" s="28">
        <v>0.83359183929860592</v>
      </c>
      <c r="V342" s="28">
        <v>0.1038311414886266</v>
      </c>
      <c r="W342" s="28">
        <v>3.0171873047947884E-2</v>
      </c>
      <c r="X342" s="28">
        <v>0.73729433212429285</v>
      </c>
    </row>
    <row r="343" spans="1:24" ht="13.9">
      <c r="A343" s="1">
        <v>342</v>
      </c>
      <c r="B343" s="23" t="e">
        <f ca="1">_xludf.BETA.INV(R343,'04_PSA_INPUTS'!H5,'04_PSA_INPUTS'!I5)</f>
        <v>#NAME?</v>
      </c>
      <c r="C343" s="23" t="e">
        <f ca="1">_xludf.BETA.INV(S343,'04_PSA_INPUTS'!H6,'04_PSA_INPUTS'!I6)</f>
        <v>#NAME?</v>
      </c>
      <c r="D343" s="27" t="e">
        <f ca="1">_xludf.GAMMA.INV(T343,'04_PSA_INPUTS'!H7,'04_PSA_INPUTS'!I7)</f>
        <v>#NAME?</v>
      </c>
      <c r="E343" s="27" t="e">
        <f ca="1">_xludf.GAMMA.INV(U343,'04_PSA_INPUTS'!H8,'04_PSA_INPUTS'!I8)</f>
        <v>#NAME?</v>
      </c>
      <c r="F343" s="27" t="e">
        <f ca="1">_xludf.GAMMA.INV(V343,'04_PSA_INPUTS'!H9,'04_PSA_INPUTS'!I9)</f>
        <v>#NAME?</v>
      </c>
      <c r="G343" s="23" t="e">
        <f ca="1">_xludf.BETA.INV(W343,'04_PSA_INPUTS'!H10,'04_PSA_INPUTS'!I10)</f>
        <v>#NAME?</v>
      </c>
      <c r="H343" s="23" t="e">
        <f ca="1">_xludf.BETA.INV(X343,'04_PSA_INPUTS'!H11,'04_PSA_INPUTS'!I11)</f>
        <v>#NAME?</v>
      </c>
      <c r="I343" s="27" t="e">
        <f ca="1">D343+B343*F343+'01_INPUTS'!B20</f>
        <v>#NAME?</v>
      </c>
      <c r="J343" s="27" t="e">
        <f ca="1">E343+C343*F343+'01_INPUTS'!B21</f>
        <v>#NAME?</v>
      </c>
      <c r="K343" s="27" t="e">
        <f t="shared" ca="1" si="30"/>
        <v>#NAME?</v>
      </c>
      <c r="L343" s="23" t="e">
        <f t="shared" ca="1" si="31"/>
        <v>#NAME?</v>
      </c>
      <c r="M343" s="23" t="e">
        <f t="shared" ca="1" si="32"/>
        <v>#NAME?</v>
      </c>
      <c r="N343" s="23" t="e">
        <f t="shared" ca="1" si="33"/>
        <v>#NAME?</v>
      </c>
      <c r="O343" s="27" t="e">
        <f t="shared" ca="1" si="34"/>
        <v>#NAME?</v>
      </c>
      <c r="P343" s="27" t="e">
        <f ca="1">'01_INPUTS'!B9*N343-K343</f>
        <v>#NAME?</v>
      </c>
      <c r="Q343" s="1" t="e">
        <f t="shared" ca="1" si="35"/>
        <v>#NAME?</v>
      </c>
      <c r="R343" s="28">
        <v>0.34369122586213052</v>
      </c>
      <c r="S343" s="28">
        <v>0.62941590207628906</v>
      </c>
      <c r="T343" s="28">
        <v>0.11849965853616595</v>
      </c>
      <c r="U343" s="28">
        <v>0.96805970929563046</v>
      </c>
      <c r="V343" s="28">
        <v>0.84970479062758386</v>
      </c>
      <c r="W343" s="28">
        <v>0.48408689210191369</v>
      </c>
      <c r="X343" s="28">
        <v>0.33584718895144761</v>
      </c>
    </row>
    <row r="344" spans="1:24" ht="13.9">
      <c r="A344" s="1">
        <v>343</v>
      </c>
      <c r="B344" s="23" t="e">
        <f ca="1">_xludf.BETA.INV(R344,'04_PSA_INPUTS'!H5,'04_PSA_INPUTS'!I5)</f>
        <v>#NAME?</v>
      </c>
      <c r="C344" s="23" t="e">
        <f ca="1">_xludf.BETA.INV(S344,'04_PSA_INPUTS'!H6,'04_PSA_INPUTS'!I6)</f>
        <v>#NAME?</v>
      </c>
      <c r="D344" s="27" t="e">
        <f ca="1">_xludf.GAMMA.INV(T344,'04_PSA_INPUTS'!H7,'04_PSA_INPUTS'!I7)</f>
        <v>#NAME?</v>
      </c>
      <c r="E344" s="27" t="e">
        <f ca="1">_xludf.GAMMA.INV(U344,'04_PSA_INPUTS'!H8,'04_PSA_INPUTS'!I8)</f>
        <v>#NAME?</v>
      </c>
      <c r="F344" s="27" t="e">
        <f ca="1">_xludf.GAMMA.INV(V344,'04_PSA_INPUTS'!H9,'04_PSA_INPUTS'!I9)</f>
        <v>#NAME?</v>
      </c>
      <c r="G344" s="23" t="e">
        <f ca="1">_xludf.BETA.INV(W344,'04_PSA_INPUTS'!H10,'04_PSA_INPUTS'!I10)</f>
        <v>#NAME?</v>
      </c>
      <c r="H344" s="23" t="e">
        <f ca="1">_xludf.BETA.INV(X344,'04_PSA_INPUTS'!H11,'04_PSA_INPUTS'!I11)</f>
        <v>#NAME?</v>
      </c>
      <c r="I344" s="27" t="e">
        <f ca="1">D344+B344*F344+'01_INPUTS'!B20</f>
        <v>#NAME?</v>
      </c>
      <c r="J344" s="27" t="e">
        <f ca="1">E344+C344*F344+'01_INPUTS'!B21</f>
        <v>#NAME?</v>
      </c>
      <c r="K344" s="27" t="e">
        <f t="shared" ca="1" si="30"/>
        <v>#NAME?</v>
      </c>
      <c r="L344" s="23" t="e">
        <f t="shared" ca="1" si="31"/>
        <v>#NAME?</v>
      </c>
      <c r="M344" s="23" t="e">
        <f t="shared" ca="1" si="32"/>
        <v>#NAME?</v>
      </c>
      <c r="N344" s="23" t="e">
        <f t="shared" ca="1" si="33"/>
        <v>#NAME?</v>
      </c>
      <c r="O344" s="27" t="e">
        <f t="shared" ca="1" si="34"/>
        <v>#NAME?</v>
      </c>
      <c r="P344" s="27" t="e">
        <f ca="1">'01_INPUTS'!B9*N344-K344</f>
        <v>#NAME?</v>
      </c>
      <c r="Q344" s="1" t="e">
        <f t="shared" ca="1" si="35"/>
        <v>#NAME?</v>
      </c>
      <c r="R344" s="28">
        <v>0.39328719396144152</v>
      </c>
      <c r="S344" s="28">
        <v>0.71382608427666128</v>
      </c>
      <c r="T344" s="28">
        <v>0.93267208989709616</v>
      </c>
      <c r="U344" s="28">
        <v>0.49237295961938798</v>
      </c>
      <c r="V344" s="28">
        <v>0.38304317323490977</v>
      </c>
      <c r="W344" s="28">
        <v>0.28732963744550943</v>
      </c>
      <c r="X344" s="28">
        <v>0.30906309583224356</v>
      </c>
    </row>
    <row r="345" spans="1:24" ht="13.9">
      <c r="A345" s="1">
        <v>344</v>
      </c>
      <c r="B345" s="23" t="e">
        <f ca="1">_xludf.BETA.INV(R345,'04_PSA_INPUTS'!H5,'04_PSA_INPUTS'!I5)</f>
        <v>#NAME?</v>
      </c>
      <c r="C345" s="23" t="e">
        <f ca="1">_xludf.BETA.INV(S345,'04_PSA_INPUTS'!H6,'04_PSA_INPUTS'!I6)</f>
        <v>#NAME?</v>
      </c>
      <c r="D345" s="27" t="e">
        <f ca="1">_xludf.GAMMA.INV(T345,'04_PSA_INPUTS'!H7,'04_PSA_INPUTS'!I7)</f>
        <v>#NAME?</v>
      </c>
      <c r="E345" s="27" t="e">
        <f ca="1">_xludf.GAMMA.INV(U345,'04_PSA_INPUTS'!H8,'04_PSA_INPUTS'!I8)</f>
        <v>#NAME?</v>
      </c>
      <c r="F345" s="27" t="e">
        <f ca="1">_xludf.GAMMA.INV(V345,'04_PSA_INPUTS'!H9,'04_PSA_INPUTS'!I9)</f>
        <v>#NAME?</v>
      </c>
      <c r="G345" s="23" t="e">
        <f ca="1">_xludf.BETA.INV(W345,'04_PSA_INPUTS'!H10,'04_PSA_INPUTS'!I10)</f>
        <v>#NAME?</v>
      </c>
      <c r="H345" s="23" t="e">
        <f ca="1">_xludf.BETA.INV(X345,'04_PSA_INPUTS'!H11,'04_PSA_INPUTS'!I11)</f>
        <v>#NAME?</v>
      </c>
      <c r="I345" s="27" t="e">
        <f ca="1">D345+B345*F345+'01_INPUTS'!B20</f>
        <v>#NAME?</v>
      </c>
      <c r="J345" s="27" t="e">
        <f ca="1">E345+C345*F345+'01_INPUTS'!B21</f>
        <v>#NAME?</v>
      </c>
      <c r="K345" s="27" t="e">
        <f t="shared" ca="1" si="30"/>
        <v>#NAME?</v>
      </c>
      <c r="L345" s="23" t="e">
        <f t="shared" ca="1" si="31"/>
        <v>#NAME?</v>
      </c>
      <c r="M345" s="23" t="e">
        <f t="shared" ca="1" si="32"/>
        <v>#NAME?</v>
      </c>
      <c r="N345" s="23" t="e">
        <f t="shared" ca="1" si="33"/>
        <v>#NAME?</v>
      </c>
      <c r="O345" s="27" t="e">
        <f t="shared" ca="1" si="34"/>
        <v>#NAME?</v>
      </c>
      <c r="P345" s="27" t="e">
        <f ca="1">'01_INPUTS'!B9*N345-K345</f>
        <v>#NAME?</v>
      </c>
      <c r="Q345" s="1" t="e">
        <f t="shared" ca="1" si="35"/>
        <v>#NAME?</v>
      </c>
      <c r="R345" s="28">
        <v>0.80952270980924368</v>
      </c>
      <c r="S345" s="28">
        <v>0.28840876487083733</v>
      </c>
      <c r="T345" s="28">
        <v>0.16439959313720465</v>
      </c>
      <c r="U345" s="28">
        <v>0.41272221668623388</v>
      </c>
      <c r="V345" s="28">
        <v>0.91693573887459934</v>
      </c>
      <c r="W345" s="28">
        <v>4.1013125330209732E-2</v>
      </c>
      <c r="X345" s="28">
        <v>0.54511185921728611</v>
      </c>
    </row>
    <row r="346" spans="1:24" ht="13.9">
      <c r="A346" s="1">
        <v>345</v>
      </c>
      <c r="B346" s="23" t="e">
        <f ca="1">_xludf.BETA.INV(R346,'04_PSA_INPUTS'!H5,'04_PSA_INPUTS'!I5)</f>
        <v>#NAME?</v>
      </c>
      <c r="C346" s="23" t="e">
        <f ca="1">_xludf.BETA.INV(S346,'04_PSA_INPUTS'!H6,'04_PSA_INPUTS'!I6)</f>
        <v>#NAME?</v>
      </c>
      <c r="D346" s="27" t="e">
        <f ca="1">_xludf.GAMMA.INV(T346,'04_PSA_INPUTS'!H7,'04_PSA_INPUTS'!I7)</f>
        <v>#NAME?</v>
      </c>
      <c r="E346" s="27" t="e">
        <f ca="1">_xludf.GAMMA.INV(U346,'04_PSA_INPUTS'!H8,'04_PSA_INPUTS'!I8)</f>
        <v>#NAME?</v>
      </c>
      <c r="F346" s="27" t="e">
        <f ca="1">_xludf.GAMMA.INV(V346,'04_PSA_INPUTS'!H9,'04_PSA_INPUTS'!I9)</f>
        <v>#NAME?</v>
      </c>
      <c r="G346" s="23" t="e">
        <f ca="1">_xludf.BETA.INV(W346,'04_PSA_INPUTS'!H10,'04_PSA_INPUTS'!I10)</f>
        <v>#NAME?</v>
      </c>
      <c r="H346" s="23" t="e">
        <f ca="1">_xludf.BETA.INV(X346,'04_PSA_INPUTS'!H11,'04_PSA_INPUTS'!I11)</f>
        <v>#NAME?</v>
      </c>
      <c r="I346" s="27" t="e">
        <f ca="1">D346+B346*F346+'01_INPUTS'!B20</f>
        <v>#NAME?</v>
      </c>
      <c r="J346" s="27" t="e">
        <f ca="1">E346+C346*F346+'01_INPUTS'!B21</f>
        <v>#NAME?</v>
      </c>
      <c r="K346" s="27" t="e">
        <f t="shared" ca="1" si="30"/>
        <v>#NAME?</v>
      </c>
      <c r="L346" s="23" t="e">
        <f t="shared" ca="1" si="31"/>
        <v>#NAME?</v>
      </c>
      <c r="M346" s="23" t="e">
        <f t="shared" ca="1" si="32"/>
        <v>#NAME?</v>
      </c>
      <c r="N346" s="23" t="e">
        <f t="shared" ca="1" si="33"/>
        <v>#NAME?</v>
      </c>
      <c r="O346" s="27" t="e">
        <f t="shared" ca="1" si="34"/>
        <v>#NAME?</v>
      </c>
      <c r="P346" s="27" t="e">
        <f ca="1">'01_INPUTS'!B9*N346-K346</f>
        <v>#NAME?</v>
      </c>
      <c r="Q346" s="1" t="e">
        <f t="shared" ca="1" si="35"/>
        <v>#NAME?</v>
      </c>
      <c r="R346" s="28">
        <v>0.52611268544569612</v>
      </c>
      <c r="S346" s="28">
        <v>0.79122608946636319</v>
      </c>
      <c r="T346" s="28">
        <v>0.1575744713190943</v>
      </c>
      <c r="U346" s="28">
        <v>9.8270718473941088E-2</v>
      </c>
      <c r="V346" s="28">
        <v>0.20683210343122482</v>
      </c>
      <c r="W346" s="28">
        <v>0.43871564418077469</v>
      </c>
      <c r="X346" s="28">
        <v>0.89933083369396627</v>
      </c>
    </row>
    <row r="347" spans="1:24" ht="13.9">
      <c r="A347" s="1">
        <v>346</v>
      </c>
      <c r="B347" s="23" t="e">
        <f ca="1">_xludf.BETA.INV(R347,'04_PSA_INPUTS'!H5,'04_PSA_INPUTS'!I5)</f>
        <v>#NAME?</v>
      </c>
      <c r="C347" s="23" t="e">
        <f ca="1">_xludf.BETA.INV(S347,'04_PSA_INPUTS'!H6,'04_PSA_INPUTS'!I6)</f>
        <v>#NAME?</v>
      </c>
      <c r="D347" s="27" t="e">
        <f ca="1">_xludf.GAMMA.INV(T347,'04_PSA_INPUTS'!H7,'04_PSA_INPUTS'!I7)</f>
        <v>#NAME?</v>
      </c>
      <c r="E347" s="27" t="e">
        <f ca="1">_xludf.GAMMA.INV(U347,'04_PSA_INPUTS'!H8,'04_PSA_INPUTS'!I8)</f>
        <v>#NAME?</v>
      </c>
      <c r="F347" s="27" t="e">
        <f ca="1">_xludf.GAMMA.INV(V347,'04_PSA_INPUTS'!H9,'04_PSA_INPUTS'!I9)</f>
        <v>#NAME?</v>
      </c>
      <c r="G347" s="23" t="e">
        <f ca="1">_xludf.BETA.INV(W347,'04_PSA_INPUTS'!H10,'04_PSA_INPUTS'!I10)</f>
        <v>#NAME?</v>
      </c>
      <c r="H347" s="23" t="e">
        <f ca="1">_xludf.BETA.INV(X347,'04_PSA_INPUTS'!H11,'04_PSA_INPUTS'!I11)</f>
        <v>#NAME?</v>
      </c>
      <c r="I347" s="27" t="e">
        <f ca="1">D347+B347*F347+'01_INPUTS'!B20</f>
        <v>#NAME?</v>
      </c>
      <c r="J347" s="27" t="e">
        <f ca="1">E347+C347*F347+'01_INPUTS'!B21</f>
        <v>#NAME?</v>
      </c>
      <c r="K347" s="27" t="e">
        <f t="shared" ca="1" si="30"/>
        <v>#NAME?</v>
      </c>
      <c r="L347" s="23" t="e">
        <f t="shared" ca="1" si="31"/>
        <v>#NAME?</v>
      </c>
      <c r="M347" s="23" t="e">
        <f t="shared" ca="1" si="32"/>
        <v>#NAME?</v>
      </c>
      <c r="N347" s="23" t="e">
        <f t="shared" ca="1" si="33"/>
        <v>#NAME?</v>
      </c>
      <c r="O347" s="27" t="e">
        <f t="shared" ca="1" si="34"/>
        <v>#NAME?</v>
      </c>
      <c r="P347" s="27" t="e">
        <f ca="1">'01_INPUTS'!B9*N347-K347</f>
        <v>#NAME?</v>
      </c>
      <c r="Q347" s="1" t="e">
        <f t="shared" ca="1" si="35"/>
        <v>#NAME?</v>
      </c>
      <c r="R347" s="28">
        <v>0.16453161207027733</v>
      </c>
      <c r="S347" s="28">
        <v>0.96325460774824023</v>
      </c>
      <c r="T347" s="28">
        <v>0.29815957555547357</v>
      </c>
      <c r="U347" s="28">
        <v>0.46777765289880335</v>
      </c>
      <c r="V347" s="28">
        <v>0.93978701066225767</v>
      </c>
      <c r="W347" s="28">
        <v>0.75720041547901928</v>
      </c>
      <c r="X347" s="28">
        <v>0.17878184397704899</v>
      </c>
    </row>
    <row r="348" spans="1:24" ht="13.9">
      <c r="A348" s="1">
        <v>347</v>
      </c>
      <c r="B348" s="23" t="e">
        <f ca="1">_xludf.BETA.INV(R348,'04_PSA_INPUTS'!H5,'04_PSA_INPUTS'!I5)</f>
        <v>#NAME?</v>
      </c>
      <c r="C348" s="23" t="e">
        <f ca="1">_xludf.BETA.INV(S348,'04_PSA_INPUTS'!H6,'04_PSA_INPUTS'!I6)</f>
        <v>#NAME?</v>
      </c>
      <c r="D348" s="27" t="e">
        <f ca="1">_xludf.GAMMA.INV(T348,'04_PSA_INPUTS'!H7,'04_PSA_INPUTS'!I7)</f>
        <v>#NAME?</v>
      </c>
      <c r="E348" s="27" t="e">
        <f ca="1">_xludf.GAMMA.INV(U348,'04_PSA_INPUTS'!H8,'04_PSA_INPUTS'!I8)</f>
        <v>#NAME?</v>
      </c>
      <c r="F348" s="27" t="e">
        <f ca="1">_xludf.GAMMA.INV(V348,'04_PSA_INPUTS'!H9,'04_PSA_INPUTS'!I9)</f>
        <v>#NAME?</v>
      </c>
      <c r="G348" s="23" t="e">
        <f ca="1">_xludf.BETA.INV(W348,'04_PSA_INPUTS'!H10,'04_PSA_INPUTS'!I10)</f>
        <v>#NAME?</v>
      </c>
      <c r="H348" s="23" t="e">
        <f ca="1">_xludf.BETA.INV(X348,'04_PSA_INPUTS'!H11,'04_PSA_INPUTS'!I11)</f>
        <v>#NAME?</v>
      </c>
      <c r="I348" s="27" t="e">
        <f ca="1">D348+B348*F348+'01_INPUTS'!B20</f>
        <v>#NAME?</v>
      </c>
      <c r="J348" s="27" t="e">
        <f ca="1">E348+C348*F348+'01_INPUTS'!B21</f>
        <v>#NAME?</v>
      </c>
      <c r="K348" s="27" t="e">
        <f t="shared" ca="1" si="30"/>
        <v>#NAME?</v>
      </c>
      <c r="L348" s="23" t="e">
        <f t="shared" ca="1" si="31"/>
        <v>#NAME?</v>
      </c>
      <c r="M348" s="23" t="e">
        <f t="shared" ca="1" si="32"/>
        <v>#NAME?</v>
      </c>
      <c r="N348" s="23" t="e">
        <f t="shared" ca="1" si="33"/>
        <v>#NAME?</v>
      </c>
      <c r="O348" s="27" t="e">
        <f t="shared" ca="1" si="34"/>
        <v>#NAME?</v>
      </c>
      <c r="P348" s="27" t="e">
        <f ca="1">'01_INPUTS'!B9*N348-K348</f>
        <v>#NAME?</v>
      </c>
      <c r="Q348" s="1" t="e">
        <f t="shared" ca="1" si="35"/>
        <v>#NAME?</v>
      </c>
      <c r="R348" s="28">
        <v>0.62021332303993404</v>
      </c>
      <c r="S348" s="28">
        <v>0.34086345159448683</v>
      </c>
      <c r="T348" s="28">
        <v>0.21811241842806339</v>
      </c>
      <c r="U348" s="28">
        <v>0.13157276879064739</v>
      </c>
      <c r="V348" s="28">
        <v>0.55505400500260293</v>
      </c>
      <c r="W348" s="28">
        <v>0.84030721290037036</v>
      </c>
      <c r="X348" s="28">
        <v>5.856961477547884E-3</v>
      </c>
    </row>
    <row r="349" spans="1:24" ht="13.9">
      <c r="A349" s="1">
        <v>348</v>
      </c>
      <c r="B349" s="23" t="e">
        <f ca="1">_xludf.BETA.INV(R349,'04_PSA_INPUTS'!H5,'04_PSA_INPUTS'!I5)</f>
        <v>#NAME?</v>
      </c>
      <c r="C349" s="23" t="e">
        <f ca="1">_xludf.BETA.INV(S349,'04_PSA_INPUTS'!H6,'04_PSA_INPUTS'!I6)</f>
        <v>#NAME?</v>
      </c>
      <c r="D349" s="27" t="e">
        <f ca="1">_xludf.GAMMA.INV(T349,'04_PSA_INPUTS'!H7,'04_PSA_INPUTS'!I7)</f>
        <v>#NAME?</v>
      </c>
      <c r="E349" s="27" t="e">
        <f ca="1">_xludf.GAMMA.INV(U349,'04_PSA_INPUTS'!H8,'04_PSA_INPUTS'!I8)</f>
        <v>#NAME?</v>
      </c>
      <c r="F349" s="27" t="e">
        <f ca="1">_xludf.GAMMA.INV(V349,'04_PSA_INPUTS'!H9,'04_PSA_INPUTS'!I9)</f>
        <v>#NAME?</v>
      </c>
      <c r="G349" s="23" t="e">
        <f ca="1">_xludf.BETA.INV(W349,'04_PSA_INPUTS'!H10,'04_PSA_INPUTS'!I10)</f>
        <v>#NAME?</v>
      </c>
      <c r="H349" s="23" t="e">
        <f ca="1">_xludf.BETA.INV(X349,'04_PSA_INPUTS'!H11,'04_PSA_INPUTS'!I11)</f>
        <v>#NAME?</v>
      </c>
      <c r="I349" s="27" t="e">
        <f ca="1">D349+B349*F349+'01_INPUTS'!B20</f>
        <v>#NAME?</v>
      </c>
      <c r="J349" s="27" t="e">
        <f ca="1">E349+C349*F349+'01_INPUTS'!B21</f>
        <v>#NAME?</v>
      </c>
      <c r="K349" s="27" t="e">
        <f t="shared" ca="1" si="30"/>
        <v>#NAME?</v>
      </c>
      <c r="L349" s="23" t="e">
        <f t="shared" ca="1" si="31"/>
        <v>#NAME?</v>
      </c>
      <c r="M349" s="23" t="e">
        <f t="shared" ca="1" si="32"/>
        <v>#NAME?</v>
      </c>
      <c r="N349" s="23" t="e">
        <f t="shared" ca="1" si="33"/>
        <v>#NAME?</v>
      </c>
      <c r="O349" s="27" t="e">
        <f t="shared" ca="1" si="34"/>
        <v>#NAME?</v>
      </c>
      <c r="P349" s="27" t="e">
        <f ca="1">'01_INPUTS'!B9*N349-K349</f>
        <v>#NAME?</v>
      </c>
      <c r="Q349" s="1" t="e">
        <f t="shared" ca="1" si="35"/>
        <v>#NAME?</v>
      </c>
      <c r="R349" s="28">
        <v>0.46752157318405807</v>
      </c>
      <c r="S349" s="28">
        <v>0.69435275532305241</v>
      </c>
      <c r="T349" s="28">
        <v>9.7763210535049438E-2</v>
      </c>
      <c r="U349" s="28">
        <v>6.3241468742489815E-3</v>
      </c>
      <c r="V349" s="28">
        <v>0.91511030169203877</v>
      </c>
      <c r="W349" s="28">
        <v>0.49946142546832561</v>
      </c>
      <c r="X349" s="28">
        <v>0.87629326852038503</v>
      </c>
    </row>
    <row r="350" spans="1:24" ht="13.9">
      <c r="A350" s="1">
        <v>349</v>
      </c>
      <c r="B350" s="23" t="e">
        <f ca="1">_xludf.BETA.INV(R350,'04_PSA_INPUTS'!H5,'04_PSA_INPUTS'!I5)</f>
        <v>#NAME?</v>
      </c>
      <c r="C350" s="23" t="e">
        <f ca="1">_xludf.BETA.INV(S350,'04_PSA_INPUTS'!H6,'04_PSA_INPUTS'!I6)</f>
        <v>#NAME?</v>
      </c>
      <c r="D350" s="27" t="e">
        <f ca="1">_xludf.GAMMA.INV(T350,'04_PSA_INPUTS'!H7,'04_PSA_INPUTS'!I7)</f>
        <v>#NAME?</v>
      </c>
      <c r="E350" s="27" t="e">
        <f ca="1">_xludf.GAMMA.INV(U350,'04_PSA_INPUTS'!H8,'04_PSA_INPUTS'!I8)</f>
        <v>#NAME?</v>
      </c>
      <c r="F350" s="27" t="e">
        <f ca="1">_xludf.GAMMA.INV(V350,'04_PSA_INPUTS'!H9,'04_PSA_INPUTS'!I9)</f>
        <v>#NAME?</v>
      </c>
      <c r="G350" s="23" t="e">
        <f ca="1">_xludf.BETA.INV(W350,'04_PSA_INPUTS'!H10,'04_PSA_INPUTS'!I10)</f>
        <v>#NAME?</v>
      </c>
      <c r="H350" s="23" t="e">
        <f ca="1">_xludf.BETA.INV(X350,'04_PSA_INPUTS'!H11,'04_PSA_INPUTS'!I11)</f>
        <v>#NAME?</v>
      </c>
      <c r="I350" s="27" t="e">
        <f ca="1">D350+B350*F350+'01_INPUTS'!B20</f>
        <v>#NAME?</v>
      </c>
      <c r="J350" s="27" t="e">
        <f ca="1">E350+C350*F350+'01_INPUTS'!B21</f>
        <v>#NAME?</v>
      </c>
      <c r="K350" s="27" t="e">
        <f t="shared" ca="1" si="30"/>
        <v>#NAME?</v>
      </c>
      <c r="L350" s="23" t="e">
        <f t="shared" ca="1" si="31"/>
        <v>#NAME?</v>
      </c>
      <c r="M350" s="23" t="e">
        <f t="shared" ca="1" si="32"/>
        <v>#NAME?</v>
      </c>
      <c r="N350" s="23" t="e">
        <f t="shared" ca="1" si="33"/>
        <v>#NAME?</v>
      </c>
      <c r="O350" s="27" t="e">
        <f t="shared" ca="1" si="34"/>
        <v>#NAME?</v>
      </c>
      <c r="P350" s="27" t="e">
        <f ca="1">'01_INPUTS'!B9*N350-K350</f>
        <v>#NAME?</v>
      </c>
      <c r="Q350" s="1" t="e">
        <f t="shared" ca="1" si="35"/>
        <v>#NAME?</v>
      </c>
      <c r="R350" s="28">
        <v>0.80786534398794174</v>
      </c>
      <c r="S350" s="28">
        <v>0.4180414208676666</v>
      </c>
      <c r="T350" s="28">
        <v>0.47731388895772398</v>
      </c>
      <c r="U350" s="28">
        <v>0.82845138153061271</v>
      </c>
      <c r="V350" s="28">
        <v>0.401753855869174</v>
      </c>
      <c r="W350" s="28">
        <v>5.9322137851268053E-2</v>
      </c>
      <c r="X350" s="28">
        <v>0.88591497531160712</v>
      </c>
    </row>
    <row r="351" spans="1:24" ht="13.9">
      <c r="A351" s="1">
        <v>350</v>
      </c>
      <c r="B351" s="23" t="e">
        <f ca="1">_xludf.BETA.INV(R351,'04_PSA_INPUTS'!H5,'04_PSA_INPUTS'!I5)</f>
        <v>#NAME?</v>
      </c>
      <c r="C351" s="23" t="e">
        <f ca="1">_xludf.BETA.INV(S351,'04_PSA_INPUTS'!H6,'04_PSA_INPUTS'!I6)</f>
        <v>#NAME?</v>
      </c>
      <c r="D351" s="27" t="e">
        <f ca="1">_xludf.GAMMA.INV(T351,'04_PSA_INPUTS'!H7,'04_PSA_INPUTS'!I7)</f>
        <v>#NAME?</v>
      </c>
      <c r="E351" s="27" t="e">
        <f ca="1">_xludf.GAMMA.INV(U351,'04_PSA_INPUTS'!H8,'04_PSA_INPUTS'!I8)</f>
        <v>#NAME?</v>
      </c>
      <c r="F351" s="27" t="e">
        <f ca="1">_xludf.GAMMA.INV(V351,'04_PSA_INPUTS'!H9,'04_PSA_INPUTS'!I9)</f>
        <v>#NAME?</v>
      </c>
      <c r="G351" s="23" t="e">
        <f ca="1">_xludf.BETA.INV(W351,'04_PSA_INPUTS'!H10,'04_PSA_INPUTS'!I10)</f>
        <v>#NAME?</v>
      </c>
      <c r="H351" s="23" t="e">
        <f ca="1">_xludf.BETA.INV(X351,'04_PSA_INPUTS'!H11,'04_PSA_INPUTS'!I11)</f>
        <v>#NAME?</v>
      </c>
      <c r="I351" s="27" t="e">
        <f ca="1">D351+B351*F351+'01_INPUTS'!B20</f>
        <v>#NAME?</v>
      </c>
      <c r="J351" s="27" t="e">
        <f ca="1">E351+C351*F351+'01_INPUTS'!B21</f>
        <v>#NAME?</v>
      </c>
      <c r="K351" s="27" t="e">
        <f t="shared" ca="1" si="30"/>
        <v>#NAME?</v>
      </c>
      <c r="L351" s="23" t="e">
        <f t="shared" ca="1" si="31"/>
        <v>#NAME?</v>
      </c>
      <c r="M351" s="23" t="e">
        <f t="shared" ca="1" si="32"/>
        <v>#NAME?</v>
      </c>
      <c r="N351" s="23" t="e">
        <f t="shared" ca="1" si="33"/>
        <v>#NAME?</v>
      </c>
      <c r="O351" s="27" t="e">
        <f t="shared" ca="1" si="34"/>
        <v>#NAME?</v>
      </c>
      <c r="P351" s="27" t="e">
        <f ca="1">'01_INPUTS'!B9*N351-K351</f>
        <v>#NAME?</v>
      </c>
      <c r="Q351" s="1" t="e">
        <f t="shared" ca="1" si="35"/>
        <v>#NAME?</v>
      </c>
      <c r="R351" s="28">
        <v>0.33606595126911998</v>
      </c>
      <c r="S351" s="28">
        <v>0.6638908872846514</v>
      </c>
      <c r="T351" s="28">
        <v>0.37203767918981612</v>
      </c>
      <c r="U351" s="28">
        <v>0.9713831648696214</v>
      </c>
      <c r="V351" s="28">
        <v>0.9589599163737148</v>
      </c>
      <c r="W351" s="28">
        <v>0.87059863144531846</v>
      </c>
      <c r="X351" s="28">
        <v>0.46924983104690909</v>
      </c>
    </row>
    <row r="352" spans="1:24" ht="13.9">
      <c r="A352" s="1">
        <v>351</v>
      </c>
      <c r="B352" s="23" t="e">
        <f ca="1">_xludf.BETA.INV(R352,'04_PSA_INPUTS'!H5,'04_PSA_INPUTS'!I5)</f>
        <v>#NAME?</v>
      </c>
      <c r="C352" s="23" t="e">
        <f ca="1">_xludf.BETA.INV(S352,'04_PSA_INPUTS'!H6,'04_PSA_INPUTS'!I6)</f>
        <v>#NAME?</v>
      </c>
      <c r="D352" s="27" t="e">
        <f ca="1">_xludf.GAMMA.INV(T352,'04_PSA_INPUTS'!H7,'04_PSA_INPUTS'!I7)</f>
        <v>#NAME?</v>
      </c>
      <c r="E352" s="27" t="e">
        <f ca="1">_xludf.GAMMA.INV(U352,'04_PSA_INPUTS'!H8,'04_PSA_INPUTS'!I8)</f>
        <v>#NAME?</v>
      </c>
      <c r="F352" s="27" t="e">
        <f ca="1">_xludf.GAMMA.INV(V352,'04_PSA_INPUTS'!H9,'04_PSA_INPUTS'!I9)</f>
        <v>#NAME?</v>
      </c>
      <c r="G352" s="23" t="e">
        <f ca="1">_xludf.BETA.INV(W352,'04_PSA_INPUTS'!H10,'04_PSA_INPUTS'!I10)</f>
        <v>#NAME?</v>
      </c>
      <c r="H352" s="23" t="e">
        <f ca="1">_xludf.BETA.INV(X352,'04_PSA_INPUTS'!H11,'04_PSA_INPUTS'!I11)</f>
        <v>#NAME?</v>
      </c>
      <c r="I352" s="27" t="e">
        <f ca="1">D352+B352*F352+'01_INPUTS'!B20</f>
        <v>#NAME?</v>
      </c>
      <c r="J352" s="27" t="e">
        <f ca="1">E352+C352*F352+'01_INPUTS'!B21</f>
        <v>#NAME?</v>
      </c>
      <c r="K352" s="27" t="e">
        <f t="shared" ca="1" si="30"/>
        <v>#NAME?</v>
      </c>
      <c r="L352" s="23" t="e">
        <f t="shared" ca="1" si="31"/>
        <v>#NAME?</v>
      </c>
      <c r="M352" s="23" t="e">
        <f t="shared" ca="1" si="32"/>
        <v>#NAME?</v>
      </c>
      <c r="N352" s="23" t="e">
        <f t="shared" ca="1" si="33"/>
        <v>#NAME?</v>
      </c>
      <c r="O352" s="27" t="e">
        <f t="shared" ca="1" si="34"/>
        <v>#NAME?</v>
      </c>
      <c r="P352" s="27" t="e">
        <f ca="1">'01_INPUTS'!B9*N352-K352</f>
        <v>#NAME?</v>
      </c>
      <c r="Q352" s="1" t="e">
        <f t="shared" ca="1" si="35"/>
        <v>#NAME?</v>
      </c>
      <c r="R352" s="28">
        <v>0.21116114570759237</v>
      </c>
      <c r="S352" s="28">
        <v>0.64802407519891858</v>
      </c>
      <c r="T352" s="28">
        <v>0.66305260267108679</v>
      </c>
      <c r="U352" s="28">
        <v>0.62175615387968719</v>
      </c>
      <c r="V352" s="28">
        <v>6.3292716396972537E-2</v>
      </c>
      <c r="W352" s="28">
        <v>0.57621494098566473</v>
      </c>
      <c r="X352" s="28">
        <v>0.5085117151029408</v>
      </c>
    </row>
    <row r="353" spans="1:24" ht="13.9">
      <c r="A353" s="1">
        <v>352</v>
      </c>
      <c r="B353" s="23" t="e">
        <f ca="1">_xludf.BETA.INV(R353,'04_PSA_INPUTS'!H5,'04_PSA_INPUTS'!I5)</f>
        <v>#NAME?</v>
      </c>
      <c r="C353" s="23" t="e">
        <f ca="1">_xludf.BETA.INV(S353,'04_PSA_INPUTS'!H6,'04_PSA_INPUTS'!I6)</f>
        <v>#NAME?</v>
      </c>
      <c r="D353" s="27" t="e">
        <f ca="1">_xludf.GAMMA.INV(T353,'04_PSA_INPUTS'!H7,'04_PSA_INPUTS'!I7)</f>
        <v>#NAME?</v>
      </c>
      <c r="E353" s="27" t="e">
        <f ca="1">_xludf.GAMMA.INV(U353,'04_PSA_INPUTS'!H8,'04_PSA_INPUTS'!I8)</f>
        <v>#NAME?</v>
      </c>
      <c r="F353" s="27" t="e">
        <f ca="1">_xludf.GAMMA.INV(V353,'04_PSA_INPUTS'!H9,'04_PSA_INPUTS'!I9)</f>
        <v>#NAME?</v>
      </c>
      <c r="G353" s="23" t="e">
        <f ca="1">_xludf.BETA.INV(W353,'04_PSA_INPUTS'!H10,'04_PSA_INPUTS'!I10)</f>
        <v>#NAME?</v>
      </c>
      <c r="H353" s="23" t="e">
        <f ca="1">_xludf.BETA.INV(X353,'04_PSA_INPUTS'!H11,'04_PSA_INPUTS'!I11)</f>
        <v>#NAME?</v>
      </c>
      <c r="I353" s="27" t="e">
        <f ca="1">D353+B353*F353+'01_INPUTS'!B20</f>
        <v>#NAME?</v>
      </c>
      <c r="J353" s="27" t="e">
        <f ca="1">E353+C353*F353+'01_INPUTS'!B21</f>
        <v>#NAME?</v>
      </c>
      <c r="K353" s="27" t="e">
        <f t="shared" ca="1" si="30"/>
        <v>#NAME?</v>
      </c>
      <c r="L353" s="23" t="e">
        <f t="shared" ca="1" si="31"/>
        <v>#NAME?</v>
      </c>
      <c r="M353" s="23" t="e">
        <f t="shared" ca="1" si="32"/>
        <v>#NAME?</v>
      </c>
      <c r="N353" s="23" t="e">
        <f t="shared" ca="1" si="33"/>
        <v>#NAME?</v>
      </c>
      <c r="O353" s="27" t="e">
        <f t="shared" ca="1" si="34"/>
        <v>#NAME?</v>
      </c>
      <c r="P353" s="27" t="e">
        <f ca="1">'01_INPUTS'!B9*N353-K353</f>
        <v>#NAME?</v>
      </c>
      <c r="Q353" s="1" t="e">
        <f t="shared" ca="1" si="35"/>
        <v>#NAME?</v>
      </c>
      <c r="R353" s="28">
        <v>0.36164935701526701</v>
      </c>
      <c r="S353" s="28">
        <v>0.67941329954192042</v>
      </c>
      <c r="T353" s="28">
        <v>0.6785203421022743</v>
      </c>
      <c r="U353" s="28">
        <v>0.50756039307452738</v>
      </c>
      <c r="V353" s="28">
        <v>0.53404765832237899</v>
      </c>
      <c r="W353" s="28">
        <v>0.67188063962385058</v>
      </c>
      <c r="X353" s="28">
        <v>0.25046811229549348</v>
      </c>
    </row>
    <row r="354" spans="1:24" ht="13.9">
      <c r="A354" s="1">
        <v>353</v>
      </c>
      <c r="B354" s="23" t="e">
        <f ca="1">_xludf.BETA.INV(R354,'04_PSA_INPUTS'!H5,'04_PSA_INPUTS'!I5)</f>
        <v>#NAME?</v>
      </c>
      <c r="C354" s="23" t="e">
        <f ca="1">_xludf.BETA.INV(S354,'04_PSA_INPUTS'!H6,'04_PSA_INPUTS'!I6)</f>
        <v>#NAME?</v>
      </c>
      <c r="D354" s="27" t="e">
        <f ca="1">_xludf.GAMMA.INV(T354,'04_PSA_INPUTS'!H7,'04_PSA_INPUTS'!I7)</f>
        <v>#NAME?</v>
      </c>
      <c r="E354" s="27" t="e">
        <f ca="1">_xludf.GAMMA.INV(U354,'04_PSA_INPUTS'!H8,'04_PSA_INPUTS'!I8)</f>
        <v>#NAME?</v>
      </c>
      <c r="F354" s="27" t="e">
        <f ca="1">_xludf.GAMMA.INV(V354,'04_PSA_INPUTS'!H9,'04_PSA_INPUTS'!I9)</f>
        <v>#NAME?</v>
      </c>
      <c r="G354" s="23" t="e">
        <f ca="1">_xludf.BETA.INV(W354,'04_PSA_INPUTS'!H10,'04_PSA_INPUTS'!I10)</f>
        <v>#NAME?</v>
      </c>
      <c r="H354" s="23" t="e">
        <f ca="1">_xludf.BETA.INV(X354,'04_PSA_INPUTS'!H11,'04_PSA_INPUTS'!I11)</f>
        <v>#NAME?</v>
      </c>
      <c r="I354" s="27" t="e">
        <f ca="1">D354+B354*F354+'01_INPUTS'!B20</f>
        <v>#NAME?</v>
      </c>
      <c r="J354" s="27" t="e">
        <f ca="1">E354+C354*F354+'01_INPUTS'!B21</f>
        <v>#NAME?</v>
      </c>
      <c r="K354" s="27" t="e">
        <f t="shared" ca="1" si="30"/>
        <v>#NAME?</v>
      </c>
      <c r="L354" s="23" t="e">
        <f t="shared" ca="1" si="31"/>
        <v>#NAME?</v>
      </c>
      <c r="M354" s="23" t="e">
        <f t="shared" ca="1" si="32"/>
        <v>#NAME?</v>
      </c>
      <c r="N354" s="23" t="e">
        <f t="shared" ca="1" si="33"/>
        <v>#NAME?</v>
      </c>
      <c r="O354" s="27" t="e">
        <f t="shared" ca="1" si="34"/>
        <v>#NAME?</v>
      </c>
      <c r="P354" s="27" t="e">
        <f ca="1">'01_INPUTS'!B9*N354-K354</f>
        <v>#NAME?</v>
      </c>
      <c r="Q354" s="1" t="e">
        <f t="shared" ca="1" si="35"/>
        <v>#NAME?</v>
      </c>
      <c r="R354" s="28">
        <v>0.98466472886502743</v>
      </c>
      <c r="S354" s="28">
        <v>0.34074928960762918</v>
      </c>
      <c r="T354" s="28">
        <v>0.47447756887413561</v>
      </c>
      <c r="U354" s="28">
        <v>0.908435910474509</v>
      </c>
      <c r="V354" s="28">
        <v>0.30227937502786517</v>
      </c>
      <c r="W354" s="28">
        <v>0.49855456477962434</v>
      </c>
      <c r="X354" s="28">
        <v>0.38221384608186781</v>
      </c>
    </row>
    <row r="355" spans="1:24" ht="13.9">
      <c r="A355" s="1">
        <v>354</v>
      </c>
      <c r="B355" s="23" t="e">
        <f ca="1">_xludf.BETA.INV(R355,'04_PSA_INPUTS'!H5,'04_PSA_INPUTS'!I5)</f>
        <v>#NAME?</v>
      </c>
      <c r="C355" s="23" t="e">
        <f ca="1">_xludf.BETA.INV(S355,'04_PSA_INPUTS'!H6,'04_PSA_INPUTS'!I6)</f>
        <v>#NAME?</v>
      </c>
      <c r="D355" s="27" t="e">
        <f ca="1">_xludf.GAMMA.INV(T355,'04_PSA_INPUTS'!H7,'04_PSA_INPUTS'!I7)</f>
        <v>#NAME?</v>
      </c>
      <c r="E355" s="27" t="e">
        <f ca="1">_xludf.GAMMA.INV(U355,'04_PSA_INPUTS'!H8,'04_PSA_INPUTS'!I8)</f>
        <v>#NAME?</v>
      </c>
      <c r="F355" s="27" t="e">
        <f ca="1">_xludf.GAMMA.INV(V355,'04_PSA_INPUTS'!H9,'04_PSA_INPUTS'!I9)</f>
        <v>#NAME?</v>
      </c>
      <c r="G355" s="23" t="e">
        <f ca="1">_xludf.BETA.INV(W355,'04_PSA_INPUTS'!H10,'04_PSA_INPUTS'!I10)</f>
        <v>#NAME?</v>
      </c>
      <c r="H355" s="23" t="e">
        <f ca="1">_xludf.BETA.INV(X355,'04_PSA_INPUTS'!H11,'04_PSA_INPUTS'!I11)</f>
        <v>#NAME?</v>
      </c>
      <c r="I355" s="27" t="e">
        <f ca="1">D355+B355*F355+'01_INPUTS'!B20</f>
        <v>#NAME?</v>
      </c>
      <c r="J355" s="27" t="e">
        <f ca="1">E355+C355*F355+'01_INPUTS'!B21</f>
        <v>#NAME?</v>
      </c>
      <c r="K355" s="27" t="e">
        <f t="shared" ca="1" si="30"/>
        <v>#NAME?</v>
      </c>
      <c r="L355" s="23" t="e">
        <f t="shared" ca="1" si="31"/>
        <v>#NAME?</v>
      </c>
      <c r="M355" s="23" t="e">
        <f t="shared" ca="1" si="32"/>
        <v>#NAME?</v>
      </c>
      <c r="N355" s="23" t="e">
        <f t="shared" ca="1" si="33"/>
        <v>#NAME?</v>
      </c>
      <c r="O355" s="27" t="e">
        <f t="shared" ca="1" si="34"/>
        <v>#NAME?</v>
      </c>
      <c r="P355" s="27" t="e">
        <f ca="1">'01_INPUTS'!B9*N355-K355</f>
        <v>#NAME?</v>
      </c>
      <c r="Q355" s="1" t="e">
        <f t="shared" ca="1" si="35"/>
        <v>#NAME?</v>
      </c>
      <c r="R355" s="28">
        <v>0.55118443886749446</v>
      </c>
      <c r="S355" s="28">
        <v>0.38489876943640411</v>
      </c>
      <c r="T355" s="28">
        <v>0.32739469152875245</v>
      </c>
      <c r="U355" s="28">
        <v>0.10203826357610524</v>
      </c>
      <c r="V355" s="28">
        <v>0.16724278917536139</v>
      </c>
      <c r="W355" s="28">
        <v>0.82543968153186142</v>
      </c>
      <c r="X355" s="28">
        <v>0.18248747289180756</v>
      </c>
    </row>
    <row r="356" spans="1:24" ht="13.9">
      <c r="A356" s="1">
        <v>355</v>
      </c>
      <c r="B356" s="23" t="e">
        <f ca="1">_xludf.BETA.INV(R356,'04_PSA_INPUTS'!H5,'04_PSA_INPUTS'!I5)</f>
        <v>#NAME?</v>
      </c>
      <c r="C356" s="23" t="e">
        <f ca="1">_xludf.BETA.INV(S356,'04_PSA_INPUTS'!H6,'04_PSA_INPUTS'!I6)</f>
        <v>#NAME?</v>
      </c>
      <c r="D356" s="27" t="e">
        <f ca="1">_xludf.GAMMA.INV(T356,'04_PSA_INPUTS'!H7,'04_PSA_INPUTS'!I7)</f>
        <v>#NAME?</v>
      </c>
      <c r="E356" s="27" t="e">
        <f ca="1">_xludf.GAMMA.INV(U356,'04_PSA_INPUTS'!H8,'04_PSA_INPUTS'!I8)</f>
        <v>#NAME?</v>
      </c>
      <c r="F356" s="27" t="e">
        <f ca="1">_xludf.GAMMA.INV(V356,'04_PSA_INPUTS'!H9,'04_PSA_INPUTS'!I9)</f>
        <v>#NAME?</v>
      </c>
      <c r="G356" s="23" t="e">
        <f ca="1">_xludf.BETA.INV(W356,'04_PSA_INPUTS'!H10,'04_PSA_INPUTS'!I10)</f>
        <v>#NAME?</v>
      </c>
      <c r="H356" s="23" t="e">
        <f ca="1">_xludf.BETA.INV(X356,'04_PSA_INPUTS'!H11,'04_PSA_INPUTS'!I11)</f>
        <v>#NAME?</v>
      </c>
      <c r="I356" s="27" t="e">
        <f ca="1">D356+B356*F356+'01_INPUTS'!B20</f>
        <v>#NAME?</v>
      </c>
      <c r="J356" s="27" t="e">
        <f ca="1">E356+C356*F356+'01_INPUTS'!B21</f>
        <v>#NAME?</v>
      </c>
      <c r="K356" s="27" t="e">
        <f t="shared" ca="1" si="30"/>
        <v>#NAME?</v>
      </c>
      <c r="L356" s="23" t="e">
        <f t="shared" ca="1" si="31"/>
        <v>#NAME?</v>
      </c>
      <c r="M356" s="23" t="e">
        <f t="shared" ca="1" si="32"/>
        <v>#NAME?</v>
      </c>
      <c r="N356" s="23" t="e">
        <f t="shared" ca="1" si="33"/>
        <v>#NAME?</v>
      </c>
      <c r="O356" s="27" t="e">
        <f t="shared" ca="1" si="34"/>
        <v>#NAME?</v>
      </c>
      <c r="P356" s="27" t="e">
        <f ca="1">'01_INPUTS'!B9*N356-K356</f>
        <v>#NAME?</v>
      </c>
      <c r="Q356" s="1" t="e">
        <f t="shared" ca="1" si="35"/>
        <v>#NAME?</v>
      </c>
      <c r="R356" s="28">
        <v>0.44802994001656771</v>
      </c>
      <c r="S356" s="28">
        <v>6.3051258912310004E-2</v>
      </c>
      <c r="T356" s="28">
        <v>0.82913083489984274</v>
      </c>
      <c r="U356" s="28">
        <v>0.39253534888848662</v>
      </c>
      <c r="V356" s="28">
        <v>0.42246242496185005</v>
      </c>
      <c r="W356" s="28">
        <v>0.81307017058134079</v>
      </c>
      <c r="X356" s="28">
        <v>0.45789896976202726</v>
      </c>
    </row>
    <row r="357" spans="1:24" ht="13.9">
      <c r="A357" s="1">
        <v>356</v>
      </c>
      <c r="B357" s="23" t="e">
        <f ca="1">_xludf.BETA.INV(R357,'04_PSA_INPUTS'!H5,'04_PSA_INPUTS'!I5)</f>
        <v>#NAME?</v>
      </c>
      <c r="C357" s="23" t="e">
        <f ca="1">_xludf.BETA.INV(S357,'04_PSA_INPUTS'!H6,'04_PSA_INPUTS'!I6)</f>
        <v>#NAME?</v>
      </c>
      <c r="D357" s="27" t="e">
        <f ca="1">_xludf.GAMMA.INV(T357,'04_PSA_INPUTS'!H7,'04_PSA_INPUTS'!I7)</f>
        <v>#NAME?</v>
      </c>
      <c r="E357" s="27" t="e">
        <f ca="1">_xludf.GAMMA.INV(U357,'04_PSA_INPUTS'!H8,'04_PSA_INPUTS'!I8)</f>
        <v>#NAME?</v>
      </c>
      <c r="F357" s="27" t="e">
        <f ca="1">_xludf.GAMMA.INV(V357,'04_PSA_INPUTS'!H9,'04_PSA_INPUTS'!I9)</f>
        <v>#NAME?</v>
      </c>
      <c r="G357" s="23" t="e">
        <f ca="1">_xludf.BETA.INV(W357,'04_PSA_INPUTS'!H10,'04_PSA_INPUTS'!I10)</f>
        <v>#NAME?</v>
      </c>
      <c r="H357" s="23" t="e">
        <f ca="1">_xludf.BETA.INV(X357,'04_PSA_INPUTS'!H11,'04_PSA_INPUTS'!I11)</f>
        <v>#NAME?</v>
      </c>
      <c r="I357" s="27" t="e">
        <f ca="1">D357+B357*F357+'01_INPUTS'!B20</f>
        <v>#NAME?</v>
      </c>
      <c r="J357" s="27" t="e">
        <f ca="1">E357+C357*F357+'01_INPUTS'!B21</f>
        <v>#NAME?</v>
      </c>
      <c r="K357" s="27" t="e">
        <f t="shared" ca="1" si="30"/>
        <v>#NAME?</v>
      </c>
      <c r="L357" s="23" t="e">
        <f t="shared" ca="1" si="31"/>
        <v>#NAME?</v>
      </c>
      <c r="M357" s="23" t="e">
        <f t="shared" ca="1" si="32"/>
        <v>#NAME?</v>
      </c>
      <c r="N357" s="23" t="e">
        <f t="shared" ca="1" si="33"/>
        <v>#NAME?</v>
      </c>
      <c r="O357" s="27" t="e">
        <f t="shared" ca="1" si="34"/>
        <v>#NAME?</v>
      </c>
      <c r="P357" s="27" t="e">
        <f ca="1">'01_INPUTS'!B9*N357-K357</f>
        <v>#NAME?</v>
      </c>
      <c r="Q357" s="1" t="e">
        <f t="shared" ca="1" si="35"/>
        <v>#NAME?</v>
      </c>
      <c r="R357" s="28">
        <v>0.2506832336075604</v>
      </c>
      <c r="S357" s="28">
        <v>6.7619932815432549E-2</v>
      </c>
      <c r="T357" s="28">
        <v>0.29798172600567341</v>
      </c>
      <c r="U357" s="28">
        <v>0.1487009406555444</v>
      </c>
      <c r="V357" s="28">
        <v>0.61547274747863412</v>
      </c>
      <c r="W357" s="28">
        <v>0.24355025053955615</v>
      </c>
      <c r="X357" s="28">
        <v>0.65726210083812475</v>
      </c>
    </row>
    <row r="358" spans="1:24" ht="13.9">
      <c r="A358" s="1">
        <v>357</v>
      </c>
      <c r="B358" s="23" t="e">
        <f ca="1">_xludf.BETA.INV(R358,'04_PSA_INPUTS'!H5,'04_PSA_INPUTS'!I5)</f>
        <v>#NAME?</v>
      </c>
      <c r="C358" s="23" t="e">
        <f ca="1">_xludf.BETA.INV(S358,'04_PSA_INPUTS'!H6,'04_PSA_INPUTS'!I6)</f>
        <v>#NAME?</v>
      </c>
      <c r="D358" s="27" t="e">
        <f ca="1">_xludf.GAMMA.INV(T358,'04_PSA_INPUTS'!H7,'04_PSA_INPUTS'!I7)</f>
        <v>#NAME?</v>
      </c>
      <c r="E358" s="27" t="e">
        <f ca="1">_xludf.GAMMA.INV(U358,'04_PSA_INPUTS'!H8,'04_PSA_INPUTS'!I8)</f>
        <v>#NAME?</v>
      </c>
      <c r="F358" s="27" t="e">
        <f ca="1">_xludf.GAMMA.INV(V358,'04_PSA_INPUTS'!H9,'04_PSA_INPUTS'!I9)</f>
        <v>#NAME?</v>
      </c>
      <c r="G358" s="23" t="e">
        <f ca="1">_xludf.BETA.INV(W358,'04_PSA_INPUTS'!H10,'04_PSA_INPUTS'!I10)</f>
        <v>#NAME?</v>
      </c>
      <c r="H358" s="23" t="e">
        <f ca="1">_xludf.BETA.INV(X358,'04_PSA_INPUTS'!H11,'04_PSA_INPUTS'!I11)</f>
        <v>#NAME?</v>
      </c>
      <c r="I358" s="27" t="e">
        <f ca="1">D358+B358*F358+'01_INPUTS'!B20</f>
        <v>#NAME?</v>
      </c>
      <c r="J358" s="27" t="e">
        <f ca="1">E358+C358*F358+'01_INPUTS'!B21</f>
        <v>#NAME?</v>
      </c>
      <c r="K358" s="27" t="e">
        <f t="shared" ca="1" si="30"/>
        <v>#NAME?</v>
      </c>
      <c r="L358" s="23" t="e">
        <f t="shared" ca="1" si="31"/>
        <v>#NAME?</v>
      </c>
      <c r="M358" s="23" t="e">
        <f t="shared" ca="1" si="32"/>
        <v>#NAME?</v>
      </c>
      <c r="N358" s="23" t="e">
        <f t="shared" ca="1" si="33"/>
        <v>#NAME?</v>
      </c>
      <c r="O358" s="27" t="e">
        <f t="shared" ca="1" si="34"/>
        <v>#NAME?</v>
      </c>
      <c r="P358" s="27" t="e">
        <f ca="1">'01_INPUTS'!B9*N358-K358</f>
        <v>#NAME?</v>
      </c>
      <c r="Q358" s="1" t="e">
        <f t="shared" ca="1" si="35"/>
        <v>#NAME?</v>
      </c>
      <c r="R358" s="28">
        <v>4.5687210513278842E-2</v>
      </c>
      <c r="S358" s="28">
        <v>0.51598453964106739</v>
      </c>
      <c r="T358" s="28">
        <v>0.38944274769164622</v>
      </c>
      <c r="U358" s="28">
        <v>0.36407360946759582</v>
      </c>
      <c r="V358" s="28">
        <v>0.81746817659586668</v>
      </c>
      <c r="W358" s="28">
        <v>0.30254423874430358</v>
      </c>
      <c r="X358" s="28">
        <v>0.5524772466160357</v>
      </c>
    </row>
    <row r="359" spans="1:24" ht="13.9">
      <c r="A359" s="1">
        <v>358</v>
      </c>
      <c r="B359" s="23" t="e">
        <f ca="1">_xludf.BETA.INV(R359,'04_PSA_INPUTS'!H5,'04_PSA_INPUTS'!I5)</f>
        <v>#NAME?</v>
      </c>
      <c r="C359" s="23" t="e">
        <f ca="1">_xludf.BETA.INV(S359,'04_PSA_INPUTS'!H6,'04_PSA_INPUTS'!I6)</f>
        <v>#NAME?</v>
      </c>
      <c r="D359" s="27" t="e">
        <f ca="1">_xludf.GAMMA.INV(T359,'04_PSA_INPUTS'!H7,'04_PSA_INPUTS'!I7)</f>
        <v>#NAME?</v>
      </c>
      <c r="E359" s="27" t="e">
        <f ca="1">_xludf.GAMMA.INV(U359,'04_PSA_INPUTS'!H8,'04_PSA_INPUTS'!I8)</f>
        <v>#NAME?</v>
      </c>
      <c r="F359" s="27" t="e">
        <f ca="1">_xludf.GAMMA.INV(V359,'04_PSA_INPUTS'!H9,'04_PSA_INPUTS'!I9)</f>
        <v>#NAME?</v>
      </c>
      <c r="G359" s="23" t="e">
        <f ca="1">_xludf.BETA.INV(W359,'04_PSA_INPUTS'!H10,'04_PSA_INPUTS'!I10)</f>
        <v>#NAME?</v>
      </c>
      <c r="H359" s="23" t="e">
        <f ca="1">_xludf.BETA.INV(X359,'04_PSA_INPUTS'!H11,'04_PSA_INPUTS'!I11)</f>
        <v>#NAME?</v>
      </c>
      <c r="I359" s="27" t="e">
        <f ca="1">D359+B359*F359+'01_INPUTS'!B20</f>
        <v>#NAME?</v>
      </c>
      <c r="J359" s="27" t="e">
        <f ca="1">E359+C359*F359+'01_INPUTS'!B21</f>
        <v>#NAME?</v>
      </c>
      <c r="K359" s="27" t="e">
        <f t="shared" ca="1" si="30"/>
        <v>#NAME?</v>
      </c>
      <c r="L359" s="23" t="e">
        <f t="shared" ca="1" si="31"/>
        <v>#NAME?</v>
      </c>
      <c r="M359" s="23" t="e">
        <f t="shared" ca="1" si="32"/>
        <v>#NAME?</v>
      </c>
      <c r="N359" s="23" t="e">
        <f t="shared" ca="1" si="33"/>
        <v>#NAME?</v>
      </c>
      <c r="O359" s="27" t="e">
        <f t="shared" ca="1" si="34"/>
        <v>#NAME?</v>
      </c>
      <c r="P359" s="27" t="e">
        <f ca="1">'01_INPUTS'!B9*N359-K359</f>
        <v>#NAME?</v>
      </c>
      <c r="Q359" s="1" t="e">
        <f t="shared" ca="1" si="35"/>
        <v>#NAME?</v>
      </c>
      <c r="R359" s="28">
        <v>0.45037096948362887</v>
      </c>
      <c r="S359" s="28">
        <v>0.46330134640447795</v>
      </c>
      <c r="T359" s="28">
        <v>0.94087749323807657</v>
      </c>
      <c r="U359" s="28">
        <v>0.91422653617337346</v>
      </c>
      <c r="V359" s="28">
        <v>0.61935937218368053</v>
      </c>
      <c r="W359" s="28">
        <v>0.70093874377198517</v>
      </c>
      <c r="X359" s="28">
        <v>0.86799963028170168</v>
      </c>
    </row>
    <row r="360" spans="1:24" ht="13.9">
      <c r="A360" s="1">
        <v>359</v>
      </c>
      <c r="B360" s="23" t="e">
        <f ca="1">_xludf.BETA.INV(R360,'04_PSA_INPUTS'!H5,'04_PSA_INPUTS'!I5)</f>
        <v>#NAME?</v>
      </c>
      <c r="C360" s="23" t="e">
        <f ca="1">_xludf.BETA.INV(S360,'04_PSA_INPUTS'!H6,'04_PSA_INPUTS'!I6)</f>
        <v>#NAME?</v>
      </c>
      <c r="D360" s="27" t="e">
        <f ca="1">_xludf.GAMMA.INV(T360,'04_PSA_INPUTS'!H7,'04_PSA_INPUTS'!I7)</f>
        <v>#NAME?</v>
      </c>
      <c r="E360" s="27" t="e">
        <f ca="1">_xludf.GAMMA.INV(U360,'04_PSA_INPUTS'!H8,'04_PSA_INPUTS'!I8)</f>
        <v>#NAME?</v>
      </c>
      <c r="F360" s="27" t="e">
        <f ca="1">_xludf.GAMMA.INV(V360,'04_PSA_INPUTS'!H9,'04_PSA_INPUTS'!I9)</f>
        <v>#NAME?</v>
      </c>
      <c r="G360" s="23" t="e">
        <f ca="1">_xludf.BETA.INV(W360,'04_PSA_INPUTS'!H10,'04_PSA_INPUTS'!I10)</f>
        <v>#NAME?</v>
      </c>
      <c r="H360" s="23" t="e">
        <f ca="1">_xludf.BETA.INV(X360,'04_PSA_INPUTS'!H11,'04_PSA_INPUTS'!I11)</f>
        <v>#NAME?</v>
      </c>
      <c r="I360" s="27" t="e">
        <f ca="1">D360+B360*F360+'01_INPUTS'!B20</f>
        <v>#NAME?</v>
      </c>
      <c r="J360" s="27" t="e">
        <f ca="1">E360+C360*F360+'01_INPUTS'!B21</f>
        <v>#NAME?</v>
      </c>
      <c r="K360" s="27" t="e">
        <f t="shared" ca="1" si="30"/>
        <v>#NAME?</v>
      </c>
      <c r="L360" s="23" t="e">
        <f t="shared" ca="1" si="31"/>
        <v>#NAME?</v>
      </c>
      <c r="M360" s="23" t="e">
        <f t="shared" ca="1" si="32"/>
        <v>#NAME?</v>
      </c>
      <c r="N360" s="23" t="e">
        <f t="shared" ca="1" si="33"/>
        <v>#NAME?</v>
      </c>
      <c r="O360" s="27" t="e">
        <f t="shared" ca="1" si="34"/>
        <v>#NAME?</v>
      </c>
      <c r="P360" s="27" t="e">
        <f ca="1">'01_INPUTS'!B9*N360-K360</f>
        <v>#NAME?</v>
      </c>
      <c r="Q360" s="1" t="e">
        <f t="shared" ca="1" si="35"/>
        <v>#NAME?</v>
      </c>
      <c r="R360" s="28">
        <v>0.83331056591123343</v>
      </c>
      <c r="S360" s="28">
        <v>0.9342730981297791</v>
      </c>
      <c r="T360" s="28">
        <v>0.5252683823928237</v>
      </c>
      <c r="U360" s="28">
        <v>0.41436888999305665</v>
      </c>
      <c r="V360" s="28">
        <v>0.6878890423104167</v>
      </c>
      <c r="W360" s="28">
        <v>0.78350513661280274</v>
      </c>
      <c r="X360" s="28">
        <v>7.0674344897270203E-5</v>
      </c>
    </row>
    <row r="361" spans="1:24" ht="13.9">
      <c r="A361" s="1">
        <v>360</v>
      </c>
      <c r="B361" s="23" t="e">
        <f ca="1">_xludf.BETA.INV(R361,'04_PSA_INPUTS'!H5,'04_PSA_INPUTS'!I5)</f>
        <v>#NAME?</v>
      </c>
      <c r="C361" s="23" t="e">
        <f ca="1">_xludf.BETA.INV(S361,'04_PSA_INPUTS'!H6,'04_PSA_INPUTS'!I6)</f>
        <v>#NAME?</v>
      </c>
      <c r="D361" s="27" t="e">
        <f ca="1">_xludf.GAMMA.INV(T361,'04_PSA_INPUTS'!H7,'04_PSA_INPUTS'!I7)</f>
        <v>#NAME?</v>
      </c>
      <c r="E361" s="27" t="e">
        <f ca="1">_xludf.GAMMA.INV(U361,'04_PSA_INPUTS'!H8,'04_PSA_INPUTS'!I8)</f>
        <v>#NAME?</v>
      </c>
      <c r="F361" s="27" t="e">
        <f ca="1">_xludf.GAMMA.INV(V361,'04_PSA_INPUTS'!H9,'04_PSA_INPUTS'!I9)</f>
        <v>#NAME?</v>
      </c>
      <c r="G361" s="23" t="e">
        <f ca="1">_xludf.BETA.INV(W361,'04_PSA_INPUTS'!H10,'04_PSA_INPUTS'!I10)</f>
        <v>#NAME?</v>
      </c>
      <c r="H361" s="23" t="e">
        <f ca="1">_xludf.BETA.INV(X361,'04_PSA_INPUTS'!H11,'04_PSA_INPUTS'!I11)</f>
        <v>#NAME?</v>
      </c>
      <c r="I361" s="27" t="e">
        <f ca="1">D361+B361*F361+'01_INPUTS'!B20</f>
        <v>#NAME?</v>
      </c>
      <c r="J361" s="27" t="e">
        <f ca="1">E361+C361*F361+'01_INPUTS'!B21</f>
        <v>#NAME?</v>
      </c>
      <c r="K361" s="27" t="e">
        <f t="shared" ca="1" si="30"/>
        <v>#NAME?</v>
      </c>
      <c r="L361" s="23" t="e">
        <f t="shared" ca="1" si="31"/>
        <v>#NAME?</v>
      </c>
      <c r="M361" s="23" t="e">
        <f t="shared" ca="1" si="32"/>
        <v>#NAME?</v>
      </c>
      <c r="N361" s="23" t="e">
        <f t="shared" ca="1" si="33"/>
        <v>#NAME?</v>
      </c>
      <c r="O361" s="27" t="e">
        <f t="shared" ca="1" si="34"/>
        <v>#NAME?</v>
      </c>
      <c r="P361" s="27" t="e">
        <f ca="1">'01_INPUTS'!B9*N361-K361</f>
        <v>#NAME?</v>
      </c>
      <c r="Q361" s="1" t="e">
        <f t="shared" ca="1" si="35"/>
        <v>#NAME?</v>
      </c>
      <c r="R361" s="28">
        <v>0.67606270173564553</v>
      </c>
      <c r="S361" s="28">
        <v>0.86220287624746561</v>
      </c>
      <c r="T361" s="28">
        <v>0.74222347722388804</v>
      </c>
      <c r="U361" s="28">
        <v>0.1852549547329545</v>
      </c>
      <c r="V361" s="28">
        <v>0.90324781928211451</v>
      </c>
      <c r="W361" s="28">
        <v>0.40815529250539839</v>
      </c>
      <c r="X361" s="28">
        <v>0.66907595610246062</v>
      </c>
    </row>
    <row r="362" spans="1:24" ht="13.9">
      <c r="A362" s="1">
        <v>361</v>
      </c>
      <c r="B362" s="23" t="e">
        <f ca="1">_xludf.BETA.INV(R362,'04_PSA_INPUTS'!H5,'04_PSA_INPUTS'!I5)</f>
        <v>#NAME?</v>
      </c>
      <c r="C362" s="23" t="e">
        <f ca="1">_xludf.BETA.INV(S362,'04_PSA_INPUTS'!H6,'04_PSA_INPUTS'!I6)</f>
        <v>#NAME?</v>
      </c>
      <c r="D362" s="27" t="e">
        <f ca="1">_xludf.GAMMA.INV(T362,'04_PSA_INPUTS'!H7,'04_PSA_INPUTS'!I7)</f>
        <v>#NAME?</v>
      </c>
      <c r="E362" s="27" t="e">
        <f ca="1">_xludf.GAMMA.INV(U362,'04_PSA_INPUTS'!H8,'04_PSA_INPUTS'!I8)</f>
        <v>#NAME?</v>
      </c>
      <c r="F362" s="27" t="e">
        <f ca="1">_xludf.GAMMA.INV(V362,'04_PSA_INPUTS'!H9,'04_PSA_INPUTS'!I9)</f>
        <v>#NAME?</v>
      </c>
      <c r="G362" s="23" t="e">
        <f ca="1">_xludf.BETA.INV(W362,'04_PSA_INPUTS'!H10,'04_PSA_INPUTS'!I10)</f>
        <v>#NAME?</v>
      </c>
      <c r="H362" s="23" t="e">
        <f ca="1">_xludf.BETA.INV(X362,'04_PSA_INPUTS'!H11,'04_PSA_INPUTS'!I11)</f>
        <v>#NAME?</v>
      </c>
      <c r="I362" s="27" t="e">
        <f ca="1">D362+B362*F362+'01_INPUTS'!B20</f>
        <v>#NAME?</v>
      </c>
      <c r="J362" s="27" t="e">
        <f ca="1">E362+C362*F362+'01_INPUTS'!B21</f>
        <v>#NAME?</v>
      </c>
      <c r="K362" s="27" t="e">
        <f t="shared" ca="1" si="30"/>
        <v>#NAME?</v>
      </c>
      <c r="L362" s="23" t="e">
        <f t="shared" ca="1" si="31"/>
        <v>#NAME?</v>
      </c>
      <c r="M362" s="23" t="e">
        <f t="shared" ca="1" si="32"/>
        <v>#NAME?</v>
      </c>
      <c r="N362" s="23" t="e">
        <f t="shared" ca="1" si="33"/>
        <v>#NAME?</v>
      </c>
      <c r="O362" s="27" t="e">
        <f t="shared" ca="1" si="34"/>
        <v>#NAME?</v>
      </c>
      <c r="P362" s="27" t="e">
        <f ca="1">'01_INPUTS'!B9*N362-K362</f>
        <v>#NAME?</v>
      </c>
      <c r="Q362" s="1" t="e">
        <f t="shared" ca="1" si="35"/>
        <v>#NAME?</v>
      </c>
      <c r="R362" s="28">
        <v>0.25660818396136165</v>
      </c>
      <c r="S362" s="28">
        <v>0.86646432266570628</v>
      </c>
      <c r="T362" s="28">
        <v>0.2768678164575249</v>
      </c>
      <c r="U362" s="28">
        <v>6.4166715601459146E-2</v>
      </c>
      <c r="V362" s="28">
        <v>0.72531869472004473</v>
      </c>
      <c r="W362" s="28">
        <v>0.38415701105259359</v>
      </c>
      <c r="X362" s="28">
        <v>0.52458057552576065</v>
      </c>
    </row>
    <row r="363" spans="1:24" ht="13.9">
      <c r="A363" s="1">
        <v>362</v>
      </c>
      <c r="B363" s="23" t="e">
        <f ca="1">_xludf.BETA.INV(R363,'04_PSA_INPUTS'!H5,'04_PSA_INPUTS'!I5)</f>
        <v>#NAME?</v>
      </c>
      <c r="C363" s="23" t="e">
        <f ca="1">_xludf.BETA.INV(S363,'04_PSA_INPUTS'!H6,'04_PSA_INPUTS'!I6)</f>
        <v>#NAME?</v>
      </c>
      <c r="D363" s="27" t="e">
        <f ca="1">_xludf.GAMMA.INV(T363,'04_PSA_INPUTS'!H7,'04_PSA_INPUTS'!I7)</f>
        <v>#NAME?</v>
      </c>
      <c r="E363" s="27" t="e">
        <f ca="1">_xludf.GAMMA.INV(U363,'04_PSA_INPUTS'!H8,'04_PSA_INPUTS'!I8)</f>
        <v>#NAME?</v>
      </c>
      <c r="F363" s="27" t="e">
        <f ca="1">_xludf.GAMMA.INV(V363,'04_PSA_INPUTS'!H9,'04_PSA_INPUTS'!I9)</f>
        <v>#NAME?</v>
      </c>
      <c r="G363" s="23" t="e">
        <f ca="1">_xludf.BETA.INV(W363,'04_PSA_INPUTS'!H10,'04_PSA_INPUTS'!I10)</f>
        <v>#NAME?</v>
      </c>
      <c r="H363" s="23" t="e">
        <f ca="1">_xludf.BETA.INV(X363,'04_PSA_INPUTS'!H11,'04_PSA_INPUTS'!I11)</f>
        <v>#NAME?</v>
      </c>
      <c r="I363" s="27" t="e">
        <f ca="1">D363+B363*F363+'01_INPUTS'!B20</f>
        <v>#NAME?</v>
      </c>
      <c r="J363" s="27" t="e">
        <f ca="1">E363+C363*F363+'01_INPUTS'!B21</f>
        <v>#NAME?</v>
      </c>
      <c r="K363" s="27" t="e">
        <f t="shared" ca="1" si="30"/>
        <v>#NAME?</v>
      </c>
      <c r="L363" s="23" t="e">
        <f t="shared" ca="1" si="31"/>
        <v>#NAME?</v>
      </c>
      <c r="M363" s="23" t="e">
        <f t="shared" ca="1" si="32"/>
        <v>#NAME?</v>
      </c>
      <c r="N363" s="23" t="e">
        <f t="shared" ca="1" si="33"/>
        <v>#NAME?</v>
      </c>
      <c r="O363" s="27" t="e">
        <f t="shared" ca="1" si="34"/>
        <v>#NAME?</v>
      </c>
      <c r="P363" s="27" t="e">
        <f ca="1">'01_INPUTS'!B9*N363-K363</f>
        <v>#NAME?</v>
      </c>
      <c r="Q363" s="1" t="e">
        <f t="shared" ca="1" si="35"/>
        <v>#NAME?</v>
      </c>
      <c r="R363" s="28">
        <v>0.42627427633851767</v>
      </c>
      <c r="S363" s="28">
        <v>0.4632846072781831</v>
      </c>
      <c r="T363" s="28">
        <v>0.20111358514986932</v>
      </c>
      <c r="U363" s="28">
        <v>0.17849116423167288</v>
      </c>
      <c r="V363" s="28">
        <v>0.2526340417098254</v>
      </c>
      <c r="W363" s="28">
        <v>0.75374787417240441</v>
      </c>
      <c r="X363" s="28">
        <v>0.23947564675472677</v>
      </c>
    </row>
    <row r="364" spans="1:24" ht="13.9">
      <c r="A364" s="1">
        <v>363</v>
      </c>
      <c r="B364" s="23" t="e">
        <f ca="1">_xludf.BETA.INV(R364,'04_PSA_INPUTS'!H5,'04_PSA_INPUTS'!I5)</f>
        <v>#NAME?</v>
      </c>
      <c r="C364" s="23" t="e">
        <f ca="1">_xludf.BETA.INV(S364,'04_PSA_INPUTS'!H6,'04_PSA_INPUTS'!I6)</f>
        <v>#NAME?</v>
      </c>
      <c r="D364" s="27" t="e">
        <f ca="1">_xludf.GAMMA.INV(T364,'04_PSA_INPUTS'!H7,'04_PSA_INPUTS'!I7)</f>
        <v>#NAME?</v>
      </c>
      <c r="E364" s="27" t="e">
        <f ca="1">_xludf.GAMMA.INV(U364,'04_PSA_INPUTS'!H8,'04_PSA_INPUTS'!I8)</f>
        <v>#NAME?</v>
      </c>
      <c r="F364" s="27" t="e">
        <f ca="1">_xludf.GAMMA.INV(V364,'04_PSA_INPUTS'!H9,'04_PSA_INPUTS'!I9)</f>
        <v>#NAME?</v>
      </c>
      <c r="G364" s="23" t="e">
        <f ca="1">_xludf.BETA.INV(W364,'04_PSA_INPUTS'!H10,'04_PSA_INPUTS'!I10)</f>
        <v>#NAME?</v>
      </c>
      <c r="H364" s="23" t="e">
        <f ca="1">_xludf.BETA.INV(X364,'04_PSA_INPUTS'!H11,'04_PSA_INPUTS'!I11)</f>
        <v>#NAME?</v>
      </c>
      <c r="I364" s="27" t="e">
        <f ca="1">D364+B364*F364+'01_INPUTS'!B20</f>
        <v>#NAME?</v>
      </c>
      <c r="J364" s="27" t="e">
        <f ca="1">E364+C364*F364+'01_INPUTS'!B21</f>
        <v>#NAME?</v>
      </c>
      <c r="K364" s="27" t="e">
        <f t="shared" ca="1" si="30"/>
        <v>#NAME?</v>
      </c>
      <c r="L364" s="23" t="e">
        <f t="shared" ca="1" si="31"/>
        <v>#NAME?</v>
      </c>
      <c r="M364" s="23" t="e">
        <f t="shared" ca="1" si="32"/>
        <v>#NAME?</v>
      </c>
      <c r="N364" s="23" t="e">
        <f t="shared" ca="1" si="33"/>
        <v>#NAME?</v>
      </c>
      <c r="O364" s="27" t="e">
        <f t="shared" ca="1" si="34"/>
        <v>#NAME?</v>
      </c>
      <c r="P364" s="27" t="e">
        <f ca="1">'01_INPUTS'!B9*N364-K364</f>
        <v>#NAME?</v>
      </c>
      <c r="Q364" s="1" t="e">
        <f t="shared" ca="1" si="35"/>
        <v>#NAME?</v>
      </c>
      <c r="R364" s="28">
        <v>0.94414086733013391</v>
      </c>
      <c r="S364" s="28">
        <v>0.81306638149544597</v>
      </c>
      <c r="T364" s="28">
        <v>0.78569931723177433</v>
      </c>
      <c r="U364" s="28">
        <v>0.85735029121860862</v>
      </c>
      <c r="V364" s="28">
        <v>0.26605569594539702</v>
      </c>
      <c r="W364" s="28">
        <v>2.763363067060709E-3</v>
      </c>
      <c r="X364" s="28">
        <v>0.62204284151084721</v>
      </c>
    </row>
    <row r="365" spans="1:24" ht="13.9">
      <c r="A365" s="1">
        <v>364</v>
      </c>
      <c r="B365" s="23" t="e">
        <f ca="1">_xludf.BETA.INV(R365,'04_PSA_INPUTS'!H5,'04_PSA_INPUTS'!I5)</f>
        <v>#NAME?</v>
      </c>
      <c r="C365" s="23" t="e">
        <f ca="1">_xludf.BETA.INV(S365,'04_PSA_INPUTS'!H6,'04_PSA_INPUTS'!I6)</f>
        <v>#NAME?</v>
      </c>
      <c r="D365" s="27" t="e">
        <f ca="1">_xludf.GAMMA.INV(T365,'04_PSA_INPUTS'!H7,'04_PSA_INPUTS'!I7)</f>
        <v>#NAME?</v>
      </c>
      <c r="E365" s="27" t="e">
        <f ca="1">_xludf.GAMMA.INV(U365,'04_PSA_INPUTS'!H8,'04_PSA_INPUTS'!I8)</f>
        <v>#NAME?</v>
      </c>
      <c r="F365" s="27" t="e">
        <f ca="1">_xludf.GAMMA.INV(V365,'04_PSA_INPUTS'!H9,'04_PSA_INPUTS'!I9)</f>
        <v>#NAME?</v>
      </c>
      <c r="G365" s="23" t="e">
        <f ca="1">_xludf.BETA.INV(W365,'04_PSA_INPUTS'!H10,'04_PSA_INPUTS'!I10)</f>
        <v>#NAME?</v>
      </c>
      <c r="H365" s="23" t="e">
        <f ca="1">_xludf.BETA.INV(X365,'04_PSA_INPUTS'!H11,'04_PSA_INPUTS'!I11)</f>
        <v>#NAME?</v>
      </c>
      <c r="I365" s="27" t="e">
        <f ca="1">D365+B365*F365+'01_INPUTS'!B20</f>
        <v>#NAME?</v>
      </c>
      <c r="J365" s="27" t="e">
        <f ca="1">E365+C365*F365+'01_INPUTS'!B21</f>
        <v>#NAME?</v>
      </c>
      <c r="K365" s="27" t="e">
        <f t="shared" ca="1" si="30"/>
        <v>#NAME?</v>
      </c>
      <c r="L365" s="23" t="e">
        <f t="shared" ca="1" si="31"/>
        <v>#NAME?</v>
      </c>
      <c r="M365" s="23" t="e">
        <f t="shared" ca="1" si="32"/>
        <v>#NAME?</v>
      </c>
      <c r="N365" s="23" t="e">
        <f t="shared" ca="1" si="33"/>
        <v>#NAME?</v>
      </c>
      <c r="O365" s="27" t="e">
        <f t="shared" ca="1" si="34"/>
        <v>#NAME?</v>
      </c>
      <c r="P365" s="27" t="e">
        <f ca="1">'01_INPUTS'!B9*N365-K365</f>
        <v>#NAME?</v>
      </c>
      <c r="Q365" s="1" t="e">
        <f t="shared" ca="1" si="35"/>
        <v>#NAME?</v>
      </c>
      <c r="R365" s="28">
        <v>0.55889850854873657</v>
      </c>
      <c r="S365" s="28">
        <v>0.24939529853872955</v>
      </c>
      <c r="T365" s="28">
        <v>2.2097411332651973E-2</v>
      </c>
      <c r="U365" s="28">
        <v>0.94960402185097337</v>
      </c>
      <c r="V365" s="28">
        <v>0.42930881562642753</v>
      </c>
      <c r="W365" s="28">
        <v>0.66098741116002202</v>
      </c>
      <c r="X365" s="28">
        <v>0.88523314637131989</v>
      </c>
    </row>
    <row r="366" spans="1:24" ht="13.9">
      <c r="A366" s="1">
        <v>365</v>
      </c>
      <c r="B366" s="23" t="e">
        <f ca="1">_xludf.BETA.INV(R366,'04_PSA_INPUTS'!H5,'04_PSA_INPUTS'!I5)</f>
        <v>#NAME?</v>
      </c>
      <c r="C366" s="23" t="e">
        <f ca="1">_xludf.BETA.INV(S366,'04_PSA_INPUTS'!H6,'04_PSA_INPUTS'!I6)</f>
        <v>#NAME?</v>
      </c>
      <c r="D366" s="27" t="e">
        <f ca="1">_xludf.GAMMA.INV(T366,'04_PSA_INPUTS'!H7,'04_PSA_INPUTS'!I7)</f>
        <v>#NAME?</v>
      </c>
      <c r="E366" s="27" t="e">
        <f ca="1">_xludf.GAMMA.INV(U366,'04_PSA_INPUTS'!H8,'04_PSA_INPUTS'!I8)</f>
        <v>#NAME?</v>
      </c>
      <c r="F366" s="27" t="e">
        <f ca="1">_xludf.GAMMA.INV(V366,'04_PSA_INPUTS'!H9,'04_PSA_INPUTS'!I9)</f>
        <v>#NAME?</v>
      </c>
      <c r="G366" s="23" t="e">
        <f ca="1">_xludf.BETA.INV(W366,'04_PSA_INPUTS'!H10,'04_PSA_INPUTS'!I10)</f>
        <v>#NAME?</v>
      </c>
      <c r="H366" s="23" t="e">
        <f ca="1">_xludf.BETA.INV(X366,'04_PSA_INPUTS'!H11,'04_PSA_INPUTS'!I11)</f>
        <v>#NAME?</v>
      </c>
      <c r="I366" s="27" t="e">
        <f ca="1">D366+B366*F366+'01_INPUTS'!B20</f>
        <v>#NAME?</v>
      </c>
      <c r="J366" s="27" t="e">
        <f ca="1">E366+C366*F366+'01_INPUTS'!B21</f>
        <v>#NAME?</v>
      </c>
      <c r="K366" s="27" t="e">
        <f t="shared" ca="1" si="30"/>
        <v>#NAME?</v>
      </c>
      <c r="L366" s="23" t="e">
        <f t="shared" ca="1" si="31"/>
        <v>#NAME?</v>
      </c>
      <c r="M366" s="23" t="e">
        <f t="shared" ca="1" si="32"/>
        <v>#NAME?</v>
      </c>
      <c r="N366" s="23" t="e">
        <f t="shared" ca="1" si="33"/>
        <v>#NAME?</v>
      </c>
      <c r="O366" s="27" t="e">
        <f t="shared" ca="1" si="34"/>
        <v>#NAME?</v>
      </c>
      <c r="P366" s="27" t="e">
        <f ca="1">'01_INPUTS'!B9*N366-K366</f>
        <v>#NAME?</v>
      </c>
      <c r="Q366" s="1" t="e">
        <f t="shared" ca="1" si="35"/>
        <v>#NAME?</v>
      </c>
      <c r="R366" s="28">
        <v>0.69887458765879273</v>
      </c>
      <c r="S366" s="28">
        <v>0.63875230913981795</v>
      </c>
      <c r="T366" s="28">
        <v>0.40432815998792648</v>
      </c>
      <c r="U366" s="28">
        <v>0.99444448971189559</v>
      </c>
      <c r="V366" s="28">
        <v>0.89339268859475851</v>
      </c>
      <c r="W366" s="28">
        <v>0.75686681410297751</v>
      </c>
      <c r="X366" s="28">
        <v>0.36588528542779386</v>
      </c>
    </row>
    <row r="367" spans="1:24" ht="13.9">
      <c r="A367" s="1">
        <v>366</v>
      </c>
      <c r="B367" s="23" t="e">
        <f ca="1">_xludf.BETA.INV(R367,'04_PSA_INPUTS'!H5,'04_PSA_INPUTS'!I5)</f>
        <v>#NAME?</v>
      </c>
      <c r="C367" s="23" t="e">
        <f ca="1">_xludf.BETA.INV(S367,'04_PSA_INPUTS'!H6,'04_PSA_INPUTS'!I6)</f>
        <v>#NAME?</v>
      </c>
      <c r="D367" s="27" t="e">
        <f ca="1">_xludf.GAMMA.INV(T367,'04_PSA_INPUTS'!H7,'04_PSA_INPUTS'!I7)</f>
        <v>#NAME?</v>
      </c>
      <c r="E367" s="27" t="e">
        <f ca="1">_xludf.GAMMA.INV(U367,'04_PSA_INPUTS'!H8,'04_PSA_INPUTS'!I8)</f>
        <v>#NAME?</v>
      </c>
      <c r="F367" s="27" t="e">
        <f ca="1">_xludf.GAMMA.INV(V367,'04_PSA_INPUTS'!H9,'04_PSA_INPUTS'!I9)</f>
        <v>#NAME?</v>
      </c>
      <c r="G367" s="23" t="e">
        <f ca="1">_xludf.BETA.INV(W367,'04_PSA_INPUTS'!H10,'04_PSA_INPUTS'!I10)</f>
        <v>#NAME?</v>
      </c>
      <c r="H367" s="23" t="e">
        <f ca="1">_xludf.BETA.INV(X367,'04_PSA_INPUTS'!H11,'04_PSA_INPUTS'!I11)</f>
        <v>#NAME?</v>
      </c>
      <c r="I367" s="27" t="e">
        <f ca="1">D367+B367*F367+'01_INPUTS'!B20</f>
        <v>#NAME?</v>
      </c>
      <c r="J367" s="27" t="e">
        <f ca="1">E367+C367*F367+'01_INPUTS'!B21</f>
        <v>#NAME?</v>
      </c>
      <c r="K367" s="27" t="e">
        <f t="shared" ca="1" si="30"/>
        <v>#NAME?</v>
      </c>
      <c r="L367" s="23" t="e">
        <f t="shared" ca="1" si="31"/>
        <v>#NAME?</v>
      </c>
      <c r="M367" s="23" t="e">
        <f t="shared" ca="1" si="32"/>
        <v>#NAME?</v>
      </c>
      <c r="N367" s="23" t="e">
        <f t="shared" ca="1" si="33"/>
        <v>#NAME?</v>
      </c>
      <c r="O367" s="27" t="e">
        <f t="shared" ca="1" si="34"/>
        <v>#NAME?</v>
      </c>
      <c r="P367" s="27" t="e">
        <f ca="1">'01_INPUTS'!B9*N367-K367</f>
        <v>#NAME?</v>
      </c>
      <c r="Q367" s="1" t="e">
        <f t="shared" ca="1" si="35"/>
        <v>#NAME?</v>
      </c>
      <c r="R367" s="28">
        <v>0.63851267495192587</v>
      </c>
      <c r="S367" s="28">
        <v>0.61286854767240584</v>
      </c>
      <c r="T367" s="28">
        <v>0.62852536817081273</v>
      </c>
      <c r="U367" s="28">
        <v>0.11925011384300888</v>
      </c>
      <c r="V367" s="28">
        <v>0.83370487135834992</v>
      </c>
      <c r="W367" s="28">
        <v>0.11962368641979992</v>
      </c>
      <c r="X367" s="28">
        <v>0.33493728283792734</v>
      </c>
    </row>
    <row r="368" spans="1:24" ht="13.9">
      <c r="A368" s="1">
        <v>367</v>
      </c>
      <c r="B368" s="23" t="e">
        <f ca="1">_xludf.BETA.INV(R368,'04_PSA_INPUTS'!H5,'04_PSA_INPUTS'!I5)</f>
        <v>#NAME?</v>
      </c>
      <c r="C368" s="23" t="e">
        <f ca="1">_xludf.BETA.INV(S368,'04_PSA_INPUTS'!H6,'04_PSA_INPUTS'!I6)</f>
        <v>#NAME?</v>
      </c>
      <c r="D368" s="27" t="e">
        <f ca="1">_xludf.GAMMA.INV(T368,'04_PSA_INPUTS'!H7,'04_PSA_INPUTS'!I7)</f>
        <v>#NAME?</v>
      </c>
      <c r="E368" s="27" t="e">
        <f ca="1">_xludf.GAMMA.INV(U368,'04_PSA_INPUTS'!H8,'04_PSA_INPUTS'!I8)</f>
        <v>#NAME?</v>
      </c>
      <c r="F368" s="27" t="e">
        <f ca="1">_xludf.GAMMA.INV(V368,'04_PSA_INPUTS'!H9,'04_PSA_INPUTS'!I9)</f>
        <v>#NAME?</v>
      </c>
      <c r="G368" s="23" t="e">
        <f ca="1">_xludf.BETA.INV(W368,'04_PSA_INPUTS'!H10,'04_PSA_INPUTS'!I10)</f>
        <v>#NAME?</v>
      </c>
      <c r="H368" s="23" t="e">
        <f ca="1">_xludf.BETA.INV(X368,'04_PSA_INPUTS'!H11,'04_PSA_INPUTS'!I11)</f>
        <v>#NAME?</v>
      </c>
      <c r="I368" s="27" t="e">
        <f ca="1">D368+B368*F368+'01_INPUTS'!B20</f>
        <v>#NAME?</v>
      </c>
      <c r="J368" s="27" t="e">
        <f ca="1">E368+C368*F368+'01_INPUTS'!B21</f>
        <v>#NAME?</v>
      </c>
      <c r="K368" s="27" t="e">
        <f t="shared" ca="1" si="30"/>
        <v>#NAME?</v>
      </c>
      <c r="L368" s="23" t="e">
        <f t="shared" ca="1" si="31"/>
        <v>#NAME?</v>
      </c>
      <c r="M368" s="23" t="e">
        <f t="shared" ca="1" si="32"/>
        <v>#NAME?</v>
      </c>
      <c r="N368" s="23" t="e">
        <f t="shared" ca="1" si="33"/>
        <v>#NAME?</v>
      </c>
      <c r="O368" s="27" t="e">
        <f t="shared" ca="1" si="34"/>
        <v>#NAME?</v>
      </c>
      <c r="P368" s="27" t="e">
        <f ca="1">'01_INPUTS'!B9*N368-K368</f>
        <v>#NAME?</v>
      </c>
      <c r="Q368" s="1" t="e">
        <f t="shared" ca="1" si="35"/>
        <v>#NAME?</v>
      </c>
      <c r="R368" s="28">
        <v>0.54143289756029844</v>
      </c>
      <c r="S368" s="28">
        <v>1.8627245910465717E-2</v>
      </c>
      <c r="T368" s="28">
        <v>0.84340229444205761</v>
      </c>
      <c r="U368" s="28">
        <v>0.9504039641469717</v>
      </c>
      <c r="V368" s="28">
        <v>2.1008911309763789E-2</v>
      </c>
      <c r="W368" s="28">
        <v>0.43752725049853325</v>
      </c>
      <c r="X368" s="28">
        <v>0.53588304412551224</v>
      </c>
    </row>
    <row r="369" spans="1:24" ht="13.9">
      <c r="A369" s="1">
        <v>368</v>
      </c>
      <c r="B369" s="23" t="e">
        <f ca="1">_xludf.BETA.INV(R369,'04_PSA_INPUTS'!H5,'04_PSA_INPUTS'!I5)</f>
        <v>#NAME?</v>
      </c>
      <c r="C369" s="23" t="e">
        <f ca="1">_xludf.BETA.INV(S369,'04_PSA_INPUTS'!H6,'04_PSA_INPUTS'!I6)</f>
        <v>#NAME?</v>
      </c>
      <c r="D369" s="27" t="e">
        <f ca="1">_xludf.GAMMA.INV(T369,'04_PSA_INPUTS'!H7,'04_PSA_INPUTS'!I7)</f>
        <v>#NAME?</v>
      </c>
      <c r="E369" s="27" t="e">
        <f ca="1">_xludf.GAMMA.INV(U369,'04_PSA_INPUTS'!H8,'04_PSA_INPUTS'!I8)</f>
        <v>#NAME?</v>
      </c>
      <c r="F369" s="27" t="e">
        <f ca="1">_xludf.GAMMA.INV(V369,'04_PSA_INPUTS'!H9,'04_PSA_INPUTS'!I9)</f>
        <v>#NAME?</v>
      </c>
      <c r="G369" s="23" t="e">
        <f ca="1">_xludf.BETA.INV(W369,'04_PSA_INPUTS'!H10,'04_PSA_INPUTS'!I10)</f>
        <v>#NAME?</v>
      </c>
      <c r="H369" s="23" t="e">
        <f ca="1">_xludf.BETA.INV(X369,'04_PSA_INPUTS'!H11,'04_PSA_INPUTS'!I11)</f>
        <v>#NAME?</v>
      </c>
      <c r="I369" s="27" t="e">
        <f ca="1">D369+B369*F369+'01_INPUTS'!B20</f>
        <v>#NAME?</v>
      </c>
      <c r="J369" s="27" t="e">
        <f ca="1">E369+C369*F369+'01_INPUTS'!B21</f>
        <v>#NAME?</v>
      </c>
      <c r="K369" s="27" t="e">
        <f t="shared" ca="1" si="30"/>
        <v>#NAME?</v>
      </c>
      <c r="L369" s="23" t="e">
        <f t="shared" ca="1" si="31"/>
        <v>#NAME?</v>
      </c>
      <c r="M369" s="23" t="e">
        <f t="shared" ca="1" si="32"/>
        <v>#NAME?</v>
      </c>
      <c r="N369" s="23" t="e">
        <f t="shared" ca="1" si="33"/>
        <v>#NAME?</v>
      </c>
      <c r="O369" s="27" t="e">
        <f t="shared" ca="1" si="34"/>
        <v>#NAME?</v>
      </c>
      <c r="P369" s="27" t="e">
        <f ca="1">'01_INPUTS'!B9*N369-K369</f>
        <v>#NAME?</v>
      </c>
      <c r="Q369" s="1" t="e">
        <f t="shared" ca="1" si="35"/>
        <v>#NAME?</v>
      </c>
      <c r="R369" s="28">
        <v>0.28188625397160649</v>
      </c>
      <c r="S369" s="28">
        <v>0.10827533295378089</v>
      </c>
      <c r="T369" s="28">
        <v>0.11868170951493084</v>
      </c>
      <c r="U369" s="28">
        <v>0.98872643616050482</v>
      </c>
      <c r="V369" s="28">
        <v>0.49071349739097059</v>
      </c>
      <c r="W369" s="28">
        <v>6.2524094013497233E-2</v>
      </c>
      <c r="X369" s="28">
        <v>0.95966714969836175</v>
      </c>
    </row>
    <row r="370" spans="1:24" ht="13.9">
      <c r="A370" s="1">
        <v>369</v>
      </c>
      <c r="B370" s="23" t="e">
        <f ca="1">_xludf.BETA.INV(R370,'04_PSA_INPUTS'!H5,'04_PSA_INPUTS'!I5)</f>
        <v>#NAME?</v>
      </c>
      <c r="C370" s="23" t="e">
        <f ca="1">_xludf.BETA.INV(S370,'04_PSA_INPUTS'!H6,'04_PSA_INPUTS'!I6)</f>
        <v>#NAME?</v>
      </c>
      <c r="D370" s="27" t="e">
        <f ca="1">_xludf.GAMMA.INV(T370,'04_PSA_INPUTS'!H7,'04_PSA_INPUTS'!I7)</f>
        <v>#NAME?</v>
      </c>
      <c r="E370" s="27" t="e">
        <f ca="1">_xludf.GAMMA.INV(U370,'04_PSA_INPUTS'!H8,'04_PSA_INPUTS'!I8)</f>
        <v>#NAME?</v>
      </c>
      <c r="F370" s="27" t="e">
        <f ca="1">_xludf.GAMMA.INV(V370,'04_PSA_INPUTS'!H9,'04_PSA_INPUTS'!I9)</f>
        <v>#NAME?</v>
      </c>
      <c r="G370" s="23" t="e">
        <f ca="1">_xludf.BETA.INV(W370,'04_PSA_INPUTS'!H10,'04_PSA_INPUTS'!I10)</f>
        <v>#NAME?</v>
      </c>
      <c r="H370" s="23" t="e">
        <f ca="1">_xludf.BETA.INV(X370,'04_PSA_INPUTS'!H11,'04_PSA_INPUTS'!I11)</f>
        <v>#NAME?</v>
      </c>
      <c r="I370" s="27" t="e">
        <f ca="1">D370+B370*F370+'01_INPUTS'!B20</f>
        <v>#NAME?</v>
      </c>
      <c r="J370" s="27" t="e">
        <f ca="1">E370+C370*F370+'01_INPUTS'!B21</f>
        <v>#NAME?</v>
      </c>
      <c r="K370" s="27" t="e">
        <f t="shared" ca="1" si="30"/>
        <v>#NAME?</v>
      </c>
      <c r="L370" s="23" t="e">
        <f t="shared" ca="1" si="31"/>
        <v>#NAME?</v>
      </c>
      <c r="M370" s="23" t="e">
        <f t="shared" ca="1" si="32"/>
        <v>#NAME?</v>
      </c>
      <c r="N370" s="23" t="e">
        <f t="shared" ca="1" si="33"/>
        <v>#NAME?</v>
      </c>
      <c r="O370" s="27" t="e">
        <f t="shared" ca="1" si="34"/>
        <v>#NAME?</v>
      </c>
      <c r="P370" s="27" t="e">
        <f ca="1">'01_INPUTS'!B9*N370-K370</f>
        <v>#NAME?</v>
      </c>
      <c r="Q370" s="1" t="e">
        <f t="shared" ca="1" si="35"/>
        <v>#NAME?</v>
      </c>
      <c r="R370" s="28">
        <v>0.2475310571026057</v>
      </c>
      <c r="S370" s="28">
        <v>0.62960060546174645</v>
      </c>
      <c r="T370" s="28">
        <v>0.34795194724574685</v>
      </c>
      <c r="U370" s="28">
        <v>0.25344533752650023</v>
      </c>
      <c r="V370" s="28">
        <v>0.71789112477563322</v>
      </c>
      <c r="W370" s="28">
        <v>0.32340009859763086</v>
      </c>
      <c r="X370" s="28">
        <v>0.92222970747388899</v>
      </c>
    </row>
    <row r="371" spans="1:24" ht="13.9">
      <c r="A371" s="1">
        <v>370</v>
      </c>
      <c r="B371" s="23" t="e">
        <f ca="1">_xludf.BETA.INV(R371,'04_PSA_INPUTS'!H5,'04_PSA_INPUTS'!I5)</f>
        <v>#NAME?</v>
      </c>
      <c r="C371" s="23" t="e">
        <f ca="1">_xludf.BETA.INV(S371,'04_PSA_INPUTS'!H6,'04_PSA_INPUTS'!I6)</f>
        <v>#NAME?</v>
      </c>
      <c r="D371" s="27" t="e">
        <f ca="1">_xludf.GAMMA.INV(T371,'04_PSA_INPUTS'!H7,'04_PSA_INPUTS'!I7)</f>
        <v>#NAME?</v>
      </c>
      <c r="E371" s="27" t="e">
        <f ca="1">_xludf.GAMMA.INV(U371,'04_PSA_INPUTS'!H8,'04_PSA_INPUTS'!I8)</f>
        <v>#NAME?</v>
      </c>
      <c r="F371" s="27" t="e">
        <f ca="1">_xludf.GAMMA.INV(V371,'04_PSA_INPUTS'!H9,'04_PSA_INPUTS'!I9)</f>
        <v>#NAME?</v>
      </c>
      <c r="G371" s="23" t="e">
        <f ca="1">_xludf.BETA.INV(W371,'04_PSA_INPUTS'!H10,'04_PSA_INPUTS'!I10)</f>
        <v>#NAME?</v>
      </c>
      <c r="H371" s="23" t="e">
        <f ca="1">_xludf.BETA.INV(X371,'04_PSA_INPUTS'!H11,'04_PSA_INPUTS'!I11)</f>
        <v>#NAME?</v>
      </c>
      <c r="I371" s="27" t="e">
        <f ca="1">D371+B371*F371+'01_INPUTS'!B20</f>
        <v>#NAME?</v>
      </c>
      <c r="J371" s="27" t="e">
        <f ca="1">E371+C371*F371+'01_INPUTS'!B21</f>
        <v>#NAME?</v>
      </c>
      <c r="K371" s="27" t="e">
        <f t="shared" ca="1" si="30"/>
        <v>#NAME?</v>
      </c>
      <c r="L371" s="23" t="e">
        <f t="shared" ca="1" si="31"/>
        <v>#NAME?</v>
      </c>
      <c r="M371" s="23" t="e">
        <f t="shared" ca="1" si="32"/>
        <v>#NAME?</v>
      </c>
      <c r="N371" s="23" t="e">
        <f t="shared" ca="1" si="33"/>
        <v>#NAME?</v>
      </c>
      <c r="O371" s="27" t="e">
        <f t="shared" ca="1" si="34"/>
        <v>#NAME?</v>
      </c>
      <c r="P371" s="27" t="e">
        <f ca="1">'01_INPUTS'!B9*N371-K371</f>
        <v>#NAME?</v>
      </c>
      <c r="Q371" s="1" t="e">
        <f t="shared" ca="1" si="35"/>
        <v>#NAME?</v>
      </c>
      <c r="R371" s="28">
        <v>0.55821605445817113</v>
      </c>
      <c r="S371" s="28">
        <v>3.4602921921759844E-2</v>
      </c>
      <c r="T371" s="28">
        <v>0.55810281867161393</v>
      </c>
      <c r="U371" s="28">
        <v>4.518959391862154E-2</v>
      </c>
      <c r="V371" s="28">
        <v>0.45289407577365637</v>
      </c>
      <c r="W371" s="28">
        <v>0.14290138543583453</v>
      </c>
      <c r="X371" s="28">
        <v>0.843643938889727</v>
      </c>
    </row>
    <row r="372" spans="1:24" ht="13.9">
      <c r="A372" s="1">
        <v>371</v>
      </c>
      <c r="B372" s="23" t="e">
        <f ca="1">_xludf.BETA.INV(R372,'04_PSA_INPUTS'!H5,'04_PSA_INPUTS'!I5)</f>
        <v>#NAME?</v>
      </c>
      <c r="C372" s="23" t="e">
        <f ca="1">_xludf.BETA.INV(S372,'04_PSA_INPUTS'!H6,'04_PSA_INPUTS'!I6)</f>
        <v>#NAME?</v>
      </c>
      <c r="D372" s="27" t="e">
        <f ca="1">_xludf.GAMMA.INV(T372,'04_PSA_INPUTS'!H7,'04_PSA_INPUTS'!I7)</f>
        <v>#NAME?</v>
      </c>
      <c r="E372" s="27" t="e">
        <f ca="1">_xludf.GAMMA.INV(U372,'04_PSA_INPUTS'!H8,'04_PSA_INPUTS'!I8)</f>
        <v>#NAME?</v>
      </c>
      <c r="F372" s="27" t="e">
        <f ca="1">_xludf.GAMMA.INV(V372,'04_PSA_INPUTS'!H9,'04_PSA_INPUTS'!I9)</f>
        <v>#NAME?</v>
      </c>
      <c r="G372" s="23" t="e">
        <f ca="1">_xludf.BETA.INV(W372,'04_PSA_INPUTS'!H10,'04_PSA_INPUTS'!I10)</f>
        <v>#NAME?</v>
      </c>
      <c r="H372" s="23" t="e">
        <f ca="1">_xludf.BETA.INV(X372,'04_PSA_INPUTS'!H11,'04_PSA_INPUTS'!I11)</f>
        <v>#NAME?</v>
      </c>
      <c r="I372" s="27" t="e">
        <f ca="1">D372+B372*F372+'01_INPUTS'!B20</f>
        <v>#NAME?</v>
      </c>
      <c r="J372" s="27" t="e">
        <f ca="1">E372+C372*F372+'01_INPUTS'!B21</f>
        <v>#NAME?</v>
      </c>
      <c r="K372" s="27" t="e">
        <f t="shared" ca="1" si="30"/>
        <v>#NAME?</v>
      </c>
      <c r="L372" s="23" t="e">
        <f t="shared" ca="1" si="31"/>
        <v>#NAME?</v>
      </c>
      <c r="M372" s="23" t="e">
        <f t="shared" ca="1" si="32"/>
        <v>#NAME?</v>
      </c>
      <c r="N372" s="23" t="e">
        <f t="shared" ca="1" si="33"/>
        <v>#NAME?</v>
      </c>
      <c r="O372" s="27" t="e">
        <f t="shared" ca="1" si="34"/>
        <v>#NAME?</v>
      </c>
      <c r="P372" s="27" t="e">
        <f ca="1">'01_INPUTS'!B9*N372-K372</f>
        <v>#NAME?</v>
      </c>
      <c r="Q372" s="1" t="e">
        <f t="shared" ca="1" si="35"/>
        <v>#NAME?</v>
      </c>
      <c r="R372" s="28">
        <v>0.88768894015811384</v>
      </c>
      <c r="S372" s="28">
        <v>5.0660558044910431E-3</v>
      </c>
      <c r="T372" s="28">
        <v>0.66234577749855816</v>
      </c>
      <c r="U372" s="28">
        <v>0.23005319596268237</v>
      </c>
      <c r="V372" s="28">
        <v>0.14348102104850113</v>
      </c>
      <c r="W372" s="28">
        <v>0.93057978479191661</v>
      </c>
      <c r="X372" s="28">
        <v>0.90097793843597174</v>
      </c>
    </row>
    <row r="373" spans="1:24" ht="13.9">
      <c r="A373" s="1">
        <v>372</v>
      </c>
      <c r="B373" s="23" t="e">
        <f ca="1">_xludf.BETA.INV(R373,'04_PSA_INPUTS'!H5,'04_PSA_INPUTS'!I5)</f>
        <v>#NAME?</v>
      </c>
      <c r="C373" s="23" t="e">
        <f ca="1">_xludf.BETA.INV(S373,'04_PSA_INPUTS'!H6,'04_PSA_INPUTS'!I6)</f>
        <v>#NAME?</v>
      </c>
      <c r="D373" s="27" t="e">
        <f ca="1">_xludf.GAMMA.INV(T373,'04_PSA_INPUTS'!H7,'04_PSA_INPUTS'!I7)</f>
        <v>#NAME?</v>
      </c>
      <c r="E373" s="27" t="e">
        <f ca="1">_xludf.GAMMA.INV(U373,'04_PSA_INPUTS'!H8,'04_PSA_INPUTS'!I8)</f>
        <v>#NAME?</v>
      </c>
      <c r="F373" s="27" t="e">
        <f ca="1">_xludf.GAMMA.INV(V373,'04_PSA_INPUTS'!H9,'04_PSA_INPUTS'!I9)</f>
        <v>#NAME?</v>
      </c>
      <c r="G373" s="23" t="e">
        <f ca="1">_xludf.BETA.INV(W373,'04_PSA_INPUTS'!H10,'04_PSA_INPUTS'!I10)</f>
        <v>#NAME?</v>
      </c>
      <c r="H373" s="23" t="e">
        <f ca="1">_xludf.BETA.INV(X373,'04_PSA_INPUTS'!H11,'04_PSA_INPUTS'!I11)</f>
        <v>#NAME?</v>
      </c>
      <c r="I373" s="27" t="e">
        <f ca="1">D373+B373*F373+'01_INPUTS'!B20</f>
        <v>#NAME?</v>
      </c>
      <c r="J373" s="27" t="e">
        <f ca="1">E373+C373*F373+'01_INPUTS'!B21</f>
        <v>#NAME?</v>
      </c>
      <c r="K373" s="27" t="e">
        <f t="shared" ca="1" si="30"/>
        <v>#NAME?</v>
      </c>
      <c r="L373" s="23" t="e">
        <f t="shared" ca="1" si="31"/>
        <v>#NAME?</v>
      </c>
      <c r="M373" s="23" t="e">
        <f t="shared" ca="1" si="32"/>
        <v>#NAME?</v>
      </c>
      <c r="N373" s="23" t="e">
        <f t="shared" ca="1" si="33"/>
        <v>#NAME?</v>
      </c>
      <c r="O373" s="27" t="e">
        <f t="shared" ca="1" si="34"/>
        <v>#NAME?</v>
      </c>
      <c r="P373" s="27" t="e">
        <f ca="1">'01_INPUTS'!B9*N373-K373</f>
        <v>#NAME?</v>
      </c>
      <c r="Q373" s="1" t="e">
        <f t="shared" ca="1" si="35"/>
        <v>#NAME?</v>
      </c>
      <c r="R373" s="28">
        <v>0.24979579169303179</v>
      </c>
      <c r="S373" s="28">
        <v>0.47615696932189167</v>
      </c>
      <c r="T373" s="28">
        <v>0.60090761422179639</v>
      </c>
      <c r="U373" s="28">
        <v>0.32042547035962343</v>
      </c>
      <c r="V373" s="28">
        <v>0.87868257076479495</v>
      </c>
      <c r="W373" s="28">
        <v>0.71745390933938324</v>
      </c>
      <c r="X373" s="28">
        <v>0.7233060235157609</v>
      </c>
    </row>
    <row r="374" spans="1:24" ht="13.9">
      <c r="A374" s="1">
        <v>373</v>
      </c>
      <c r="B374" s="23" t="e">
        <f ca="1">_xludf.BETA.INV(R374,'04_PSA_INPUTS'!H5,'04_PSA_INPUTS'!I5)</f>
        <v>#NAME?</v>
      </c>
      <c r="C374" s="23" t="e">
        <f ca="1">_xludf.BETA.INV(S374,'04_PSA_INPUTS'!H6,'04_PSA_INPUTS'!I6)</f>
        <v>#NAME?</v>
      </c>
      <c r="D374" s="27" t="e">
        <f ca="1">_xludf.GAMMA.INV(T374,'04_PSA_INPUTS'!H7,'04_PSA_INPUTS'!I7)</f>
        <v>#NAME?</v>
      </c>
      <c r="E374" s="27" t="e">
        <f ca="1">_xludf.GAMMA.INV(U374,'04_PSA_INPUTS'!H8,'04_PSA_INPUTS'!I8)</f>
        <v>#NAME?</v>
      </c>
      <c r="F374" s="27" t="e">
        <f ca="1">_xludf.GAMMA.INV(V374,'04_PSA_INPUTS'!H9,'04_PSA_INPUTS'!I9)</f>
        <v>#NAME?</v>
      </c>
      <c r="G374" s="23" t="e">
        <f ca="1">_xludf.BETA.INV(W374,'04_PSA_INPUTS'!H10,'04_PSA_INPUTS'!I10)</f>
        <v>#NAME?</v>
      </c>
      <c r="H374" s="23" t="e">
        <f ca="1">_xludf.BETA.INV(X374,'04_PSA_INPUTS'!H11,'04_PSA_INPUTS'!I11)</f>
        <v>#NAME?</v>
      </c>
      <c r="I374" s="27" t="e">
        <f ca="1">D374+B374*F374+'01_INPUTS'!B20</f>
        <v>#NAME?</v>
      </c>
      <c r="J374" s="27" t="e">
        <f ca="1">E374+C374*F374+'01_INPUTS'!B21</f>
        <v>#NAME?</v>
      </c>
      <c r="K374" s="27" t="e">
        <f t="shared" ca="1" si="30"/>
        <v>#NAME?</v>
      </c>
      <c r="L374" s="23" t="e">
        <f t="shared" ca="1" si="31"/>
        <v>#NAME?</v>
      </c>
      <c r="M374" s="23" t="e">
        <f t="shared" ca="1" si="32"/>
        <v>#NAME?</v>
      </c>
      <c r="N374" s="23" t="e">
        <f t="shared" ca="1" si="33"/>
        <v>#NAME?</v>
      </c>
      <c r="O374" s="27" t="e">
        <f t="shared" ca="1" si="34"/>
        <v>#NAME?</v>
      </c>
      <c r="P374" s="27" t="e">
        <f ca="1">'01_INPUTS'!B9*N374-K374</f>
        <v>#NAME?</v>
      </c>
      <c r="Q374" s="1" t="e">
        <f t="shared" ca="1" si="35"/>
        <v>#NAME?</v>
      </c>
      <c r="R374" s="28">
        <v>0.1336359684355557</v>
      </c>
      <c r="S374" s="28">
        <v>0.90380669082514942</v>
      </c>
      <c r="T374" s="28">
        <v>0.18090173369273543</v>
      </c>
      <c r="U374" s="28">
        <v>0.70956692914478481</v>
      </c>
      <c r="V374" s="28">
        <v>5.6449434021487832E-2</v>
      </c>
      <c r="W374" s="28">
        <v>0.78690102091059089</v>
      </c>
      <c r="X374" s="28">
        <v>1.0339876171201468E-2</v>
      </c>
    </row>
    <row r="375" spans="1:24" ht="13.9">
      <c r="A375" s="1">
        <v>374</v>
      </c>
      <c r="B375" s="23" t="e">
        <f ca="1">_xludf.BETA.INV(R375,'04_PSA_INPUTS'!H5,'04_PSA_INPUTS'!I5)</f>
        <v>#NAME?</v>
      </c>
      <c r="C375" s="23" t="e">
        <f ca="1">_xludf.BETA.INV(S375,'04_PSA_INPUTS'!H6,'04_PSA_INPUTS'!I6)</f>
        <v>#NAME?</v>
      </c>
      <c r="D375" s="27" t="e">
        <f ca="1">_xludf.GAMMA.INV(T375,'04_PSA_INPUTS'!H7,'04_PSA_INPUTS'!I7)</f>
        <v>#NAME?</v>
      </c>
      <c r="E375" s="27" t="e">
        <f ca="1">_xludf.GAMMA.INV(U375,'04_PSA_INPUTS'!H8,'04_PSA_INPUTS'!I8)</f>
        <v>#NAME?</v>
      </c>
      <c r="F375" s="27" t="e">
        <f ca="1">_xludf.GAMMA.INV(V375,'04_PSA_INPUTS'!H9,'04_PSA_INPUTS'!I9)</f>
        <v>#NAME?</v>
      </c>
      <c r="G375" s="23" t="e">
        <f ca="1">_xludf.BETA.INV(W375,'04_PSA_INPUTS'!H10,'04_PSA_INPUTS'!I10)</f>
        <v>#NAME?</v>
      </c>
      <c r="H375" s="23" t="e">
        <f ca="1">_xludf.BETA.INV(X375,'04_PSA_INPUTS'!H11,'04_PSA_INPUTS'!I11)</f>
        <v>#NAME?</v>
      </c>
      <c r="I375" s="27" t="e">
        <f ca="1">D375+B375*F375+'01_INPUTS'!B20</f>
        <v>#NAME?</v>
      </c>
      <c r="J375" s="27" t="e">
        <f ca="1">E375+C375*F375+'01_INPUTS'!B21</f>
        <v>#NAME?</v>
      </c>
      <c r="K375" s="27" t="e">
        <f t="shared" ca="1" si="30"/>
        <v>#NAME?</v>
      </c>
      <c r="L375" s="23" t="e">
        <f t="shared" ca="1" si="31"/>
        <v>#NAME?</v>
      </c>
      <c r="M375" s="23" t="e">
        <f t="shared" ca="1" si="32"/>
        <v>#NAME?</v>
      </c>
      <c r="N375" s="23" t="e">
        <f t="shared" ca="1" si="33"/>
        <v>#NAME?</v>
      </c>
      <c r="O375" s="27" t="e">
        <f t="shared" ca="1" si="34"/>
        <v>#NAME?</v>
      </c>
      <c r="P375" s="27" t="e">
        <f ca="1">'01_INPUTS'!B9*N375-K375</f>
        <v>#NAME?</v>
      </c>
      <c r="Q375" s="1" t="e">
        <f t="shared" ca="1" si="35"/>
        <v>#NAME?</v>
      </c>
      <c r="R375" s="28">
        <v>0.64891901751980186</v>
      </c>
      <c r="S375" s="28">
        <v>0.2559264050796628</v>
      </c>
      <c r="T375" s="28">
        <v>0.58196587464772165</v>
      </c>
      <c r="U375" s="28">
        <v>0.58589927898719907</v>
      </c>
      <c r="V375" s="28">
        <v>0.25284150685183704</v>
      </c>
      <c r="W375" s="28">
        <v>8.2249685190618038E-2</v>
      </c>
      <c r="X375" s="28">
        <v>0.49393883300945163</v>
      </c>
    </row>
    <row r="376" spans="1:24" ht="13.9">
      <c r="A376" s="1">
        <v>375</v>
      </c>
      <c r="B376" s="23" t="e">
        <f ca="1">_xludf.BETA.INV(R376,'04_PSA_INPUTS'!H5,'04_PSA_INPUTS'!I5)</f>
        <v>#NAME?</v>
      </c>
      <c r="C376" s="23" t="e">
        <f ca="1">_xludf.BETA.INV(S376,'04_PSA_INPUTS'!H6,'04_PSA_INPUTS'!I6)</f>
        <v>#NAME?</v>
      </c>
      <c r="D376" s="27" t="e">
        <f ca="1">_xludf.GAMMA.INV(T376,'04_PSA_INPUTS'!H7,'04_PSA_INPUTS'!I7)</f>
        <v>#NAME?</v>
      </c>
      <c r="E376" s="27" t="e">
        <f ca="1">_xludf.GAMMA.INV(U376,'04_PSA_INPUTS'!H8,'04_PSA_INPUTS'!I8)</f>
        <v>#NAME?</v>
      </c>
      <c r="F376" s="27" t="e">
        <f ca="1">_xludf.GAMMA.INV(V376,'04_PSA_INPUTS'!H9,'04_PSA_INPUTS'!I9)</f>
        <v>#NAME?</v>
      </c>
      <c r="G376" s="23" t="e">
        <f ca="1">_xludf.BETA.INV(W376,'04_PSA_INPUTS'!H10,'04_PSA_INPUTS'!I10)</f>
        <v>#NAME?</v>
      </c>
      <c r="H376" s="23" t="e">
        <f ca="1">_xludf.BETA.INV(X376,'04_PSA_INPUTS'!H11,'04_PSA_INPUTS'!I11)</f>
        <v>#NAME?</v>
      </c>
      <c r="I376" s="27" t="e">
        <f ca="1">D376+B376*F376+'01_INPUTS'!B20</f>
        <v>#NAME?</v>
      </c>
      <c r="J376" s="27" t="e">
        <f ca="1">E376+C376*F376+'01_INPUTS'!B21</f>
        <v>#NAME?</v>
      </c>
      <c r="K376" s="27" t="e">
        <f t="shared" ca="1" si="30"/>
        <v>#NAME?</v>
      </c>
      <c r="L376" s="23" t="e">
        <f t="shared" ca="1" si="31"/>
        <v>#NAME?</v>
      </c>
      <c r="M376" s="23" t="e">
        <f t="shared" ca="1" si="32"/>
        <v>#NAME?</v>
      </c>
      <c r="N376" s="23" t="e">
        <f t="shared" ca="1" si="33"/>
        <v>#NAME?</v>
      </c>
      <c r="O376" s="27" t="e">
        <f t="shared" ca="1" si="34"/>
        <v>#NAME?</v>
      </c>
      <c r="P376" s="27" t="e">
        <f ca="1">'01_INPUTS'!B9*N376-K376</f>
        <v>#NAME?</v>
      </c>
      <c r="Q376" s="1" t="e">
        <f t="shared" ca="1" si="35"/>
        <v>#NAME?</v>
      </c>
      <c r="R376" s="28">
        <v>0.63861128804273903</v>
      </c>
      <c r="S376" s="28">
        <v>0.46141498256474733</v>
      </c>
      <c r="T376" s="28">
        <v>0.92662829300388694</v>
      </c>
      <c r="U376" s="28">
        <v>0.52966985036619008</v>
      </c>
      <c r="V376" s="28">
        <v>0.27754839626140893</v>
      </c>
      <c r="W376" s="28">
        <v>0.68805383937433362</v>
      </c>
      <c r="X376" s="28">
        <v>0.44484567665494978</v>
      </c>
    </row>
    <row r="377" spans="1:24" ht="13.9">
      <c r="A377" s="1">
        <v>376</v>
      </c>
      <c r="B377" s="23" t="e">
        <f ca="1">_xludf.BETA.INV(R377,'04_PSA_INPUTS'!H5,'04_PSA_INPUTS'!I5)</f>
        <v>#NAME?</v>
      </c>
      <c r="C377" s="23" t="e">
        <f ca="1">_xludf.BETA.INV(S377,'04_PSA_INPUTS'!H6,'04_PSA_INPUTS'!I6)</f>
        <v>#NAME?</v>
      </c>
      <c r="D377" s="27" t="e">
        <f ca="1">_xludf.GAMMA.INV(T377,'04_PSA_INPUTS'!H7,'04_PSA_INPUTS'!I7)</f>
        <v>#NAME?</v>
      </c>
      <c r="E377" s="27" t="e">
        <f ca="1">_xludf.GAMMA.INV(U377,'04_PSA_INPUTS'!H8,'04_PSA_INPUTS'!I8)</f>
        <v>#NAME?</v>
      </c>
      <c r="F377" s="27" t="e">
        <f ca="1">_xludf.GAMMA.INV(V377,'04_PSA_INPUTS'!H9,'04_PSA_INPUTS'!I9)</f>
        <v>#NAME?</v>
      </c>
      <c r="G377" s="23" t="e">
        <f ca="1">_xludf.BETA.INV(W377,'04_PSA_INPUTS'!H10,'04_PSA_INPUTS'!I10)</f>
        <v>#NAME?</v>
      </c>
      <c r="H377" s="23" t="e">
        <f ca="1">_xludf.BETA.INV(X377,'04_PSA_INPUTS'!H11,'04_PSA_INPUTS'!I11)</f>
        <v>#NAME?</v>
      </c>
      <c r="I377" s="27" t="e">
        <f ca="1">D377+B377*F377+'01_INPUTS'!B20</f>
        <v>#NAME?</v>
      </c>
      <c r="J377" s="27" t="e">
        <f ca="1">E377+C377*F377+'01_INPUTS'!B21</f>
        <v>#NAME?</v>
      </c>
      <c r="K377" s="27" t="e">
        <f t="shared" ca="1" si="30"/>
        <v>#NAME?</v>
      </c>
      <c r="L377" s="23" t="e">
        <f t="shared" ca="1" si="31"/>
        <v>#NAME?</v>
      </c>
      <c r="M377" s="23" t="e">
        <f t="shared" ca="1" si="32"/>
        <v>#NAME?</v>
      </c>
      <c r="N377" s="23" t="e">
        <f t="shared" ca="1" si="33"/>
        <v>#NAME?</v>
      </c>
      <c r="O377" s="27" t="e">
        <f t="shared" ca="1" si="34"/>
        <v>#NAME?</v>
      </c>
      <c r="P377" s="27" t="e">
        <f ca="1">'01_INPUTS'!B9*N377-K377</f>
        <v>#NAME?</v>
      </c>
      <c r="Q377" s="1" t="e">
        <f t="shared" ca="1" si="35"/>
        <v>#NAME?</v>
      </c>
      <c r="R377" s="28">
        <v>0.26546953734941781</v>
      </c>
      <c r="S377" s="28">
        <v>0.9365541567094624</v>
      </c>
      <c r="T377" s="28">
        <v>0.31521081412211061</v>
      </c>
      <c r="U377" s="28">
        <v>0.48605874995701015</v>
      </c>
      <c r="V377" s="28">
        <v>0.70544827845878899</v>
      </c>
      <c r="W377" s="28">
        <v>0.25881093600764871</v>
      </c>
      <c r="X377" s="28">
        <v>0.81062172609381378</v>
      </c>
    </row>
    <row r="378" spans="1:24" ht="13.9">
      <c r="A378" s="1">
        <v>377</v>
      </c>
      <c r="B378" s="23" t="e">
        <f ca="1">_xludf.BETA.INV(R378,'04_PSA_INPUTS'!H5,'04_PSA_INPUTS'!I5)</f>
        <v>#NAME?</v>
      </c>
      <c r="C378" s="23" t="e">
        <f ca="1">_xludf.BETA.INV(S378,'04_PSA_INPUTS'!H6,'04_PSA_INPUTS'!I6)</f>
        <v>#NAME?</v>
      </c>
      <c r="D378" s="27" t="e">
        <f ca="1">_xludf.GAMMA.INV(T378,'04_PSA_INPUTS'!H7,'04_PSA_INPUTS'!I7)</f>
        <v>#NAME?</v>
      </c>
      <c r="E378" s="27" t="e">
        <f ca="1">_xludf.GAMMA.INV(U378,'04_PSA_INPUTS'!H8,'04_PSA_INPUTS'!I8)</f>
        <v>#NAME?</v>
      </c>
      <c r="F378" s="27" t="e">
        <f ca="1">_xludf.GAMMA.INV(V378,'04_PSA_INPUTS'!H9,'04_PSA_INPUTS'!I9)</f>
        <v>#NAME?</v>
      </c>
      <c r="G378" s="23" t="e">
        <f ca="1">_xludf.BETA.INV(W378,'04_PSA_INPUTS'!H10,'04_PSA_INPUTS'!I10)</f>
        <v>#NAME?</v>
      </c>
      <c r="H378" s="23" t="e">
        <f ca="1">_xludf.BETA.INV(X378,'04_PSA_INPUTS'!H11,'04_PSA_INPUTS'!I11)</f>
        <v>#NAME?</v>
      </c>
      <c r="I378" s="27" t="e">
        <f ca="1">D378+B378*F378+'01_INPUTS'!B20</f>
        <v>#NAME?</v>
      </c>
      <c r="J378" s="27" t="e">
        <f ca="1">E378+C378*F378+'01_INPUTS'!B21</f>
        <v>#NAME?</v>
      </c>
      <c r="K378" s="27" t="e">
        <f t="shared" ca="1" si="30"/>
        <v>#NAME?</v>
      </c>
      <c r="L378" s="23" t="e">
        <f t="shared" ca="1" si="31"/>
        <v>#NAME?</v>
      </c>
      <c r="M378" s="23" t="e">
        <f t="shared" ca="1" si="32"/>
        <v>#NAME?</v>
      </c>
      <c r="N378" s="23" t="e">
        <f t="shared" ca="1" si="33"/>
        <v>#NAME?</v>
      </c>
      <c r="O378" s="27" t="e">
        <f t="shared" ca="1" si="34"/>
        <v>#NAME?</v>
      </c>
      <c r="P378" s="27" t="e">
        <f ca="1">'01_INPUTS'!B9*N378-K378</f>
        <v>#NAME?</v>
      </c>
      <c r="Q378" s="1" t="e">
        <f t="shared" ca="1" si="35"/>
        <v>#NAME?</v>
      </c>
      <c r="R378" s="28">
        <v>0.97409856412559748</v>
      </c>
      <c r="S378" s="28">
        <v>0.94516286836005747</v>
      </c>
      <c r="T378" s="28">
        <v>0.10321805905550718</v>
      </c>
      <c r="U378" s="28">
        <v>0.1862839343957603</v>
      </c>
      <c r="V378" s="28">
        <v>0.79583334410563111</v>
      </c>
      <c r="W378" s="28">
        <v>0.96208065911196172</v>
      </c>
      <c r="X378" s="28">
        <v>0.90673458972014487</v>
      </c>
    </row>
    <row r="379" spans="1:24" ht="13.9">
      <c r="A379" s="1">
        <v>378</v>
      </c>
      <c r="B379" s="23" t="e">
        <f ca="1">_xludf.BETA.INV(R379,'04_PSA_INPUTS'!H5,'04_PSA_INPUTS'!I5)</f>
        <v>#NAME?</v>
      </c>
      <c r="C379" s="23" t="e">
        <f ca="1">_xludf.BETA.INV(S379,'04_PSA_INPUTS'!H6,'04_PSA_INPUTS'!I6)</f>
        <v>#NAME?</v>
      </c>
      <c r="D379" s="27" t="e">
        <f ca="1">_xludf.GAMMA.INV(T379,'04_PSA_INPUTS'!H7,'04_PSA_INPUTS'!I7)</f>
        <v>#NAME?</v>
      </c>
      <c r="E379" s="27" t="e">
        <f ca="1">_xludf.GAMMA.INV(U379,'04_PSA_INPUTS'!H8,'04_PSA_INPUTS'!I8)</f>
        <v>#NAME?</v>
      </c>
      <c r="F379" s="27" t="e">
        <f ca="1">_xludf.GAMMA.INV(V379,'04_PSA_INPUTS'!H9,'04_PSA_INPUTS'!I9)</f>
        <v>#NAME?</v>
      </c>
      <c r="G379" s="23" t="e">
        <f ca="1">_xludf.BETA.INV(W379,'04_PSA_INPUTS'!H10,'04_PSA_INPUTS'!I10)</f>
        <v>#NAME?</v>
      </c>
      <c r="H379" s="23" t="e">
        <f ca="1">_xludf.BETA.INV(X379,'04_PSA_INPUTS'!H11,'04_PSA_INPUTS'!I11)</f>
        <v>#NAME?</v>
      </c>
      <c r="I379" s="27" t="e">
        <f ca="1">D379+B379*F379+'01_INPUTS'!B20</f>
        <v>#NAME?</v>
      </c>
      <c r="J379" s="27" t="e">
        <f ca="1">E379+C379*F379+'01_INPUTS'!B21</f>
        <v>#NAME?</v>
      </c>
      <c r="K379" s="27" t="e">
        <f t="shared" ca="1" si="30"/>
        <v>#NAME?</v>
      </c>
      <c r="L379" s="23" t="e">
        <f t="shared" ca="1" si="31"/>
        <v>#NAME?</v>
      </c>
      <c r="M379" s="23" t="e">
        <f t="shared" ca="1" si="32"/>
        <v>#NAME?</v>
      </c>
      <c r="N379" s="23" t="e">
        <f t="shared" ca="1" si="33"/>
        <v>#NAME?</v>
      </c>
      <c r="O379" s="27" t="e">
        <f t="shared" ca="1" si="34"/>
        <v>#NAME?</v>
      </c>
      <c r="P379" s="27" t="e">
        <f ca="1">'01_INPUTS'!B9*N379-K379</f>
        <v>#NAME?</v>
      </c>
      <c r="Q379" s="1" t="e">
        <f t="shared" ca="1" si="35"/>
        <v>#NAME?</v>
      </c>
      <c r="R379" s="28">
        <v>6.0692179715260863E-2</v>
      </c>
      <c r="S379" s="28">
        <v>0.87533864588476717</v>
      </c>
      <c r="T379" s="28">
        <v>0.17363649024628103</v>
      </c>
      <c r="U379" s="28">
        <v>0.97775391256436706</v>
      </c>
      <c r="V379" s="28">
        <v>0.61289792531169951</v>
      </c>
      <c r="W379" s="28">
        <v>0.24083074228838086</v>
      </c>
      <c r="X379" s="28">
        <v>0.99838030734099448</v>
      </c>
    </row>
    <row r="380" spans="1:24" ht="13.9">
      <c r="A380" s="1">
        <v>379</v>
      </c>
      <c r="B380" s="23" t="e">
        <f ca="1">_xludf.BETA.INV(R380,'04_PSA_INPUTS'!H5,'04_PSA_INPUTS'!I5)</f>
        <v>#NAME?</v>
      </c>
      <c r="C380" s="23" t="e">
        <f ca="1">_xludf.BETA.INV(S380,'04_PSA_INPUTS'!H6,'04_PSA_INPUTS'!I6)</f>
        <v>#NAME?</v>
      </c>
      <c r="D380" s="27" t="e">
        <f ca="1">_xludf.GAMMA.INV(T380,'04_PSA_INPUTS'!H7,'04_PSA_INPUTS'!I7)</f>
        <v>#NAME?</v>
      </c>
      <c r="E380" s="27" t="e">
        <f ca="1">_xludf.GAMMA.INV(U380,'04_PSA_INPUTS'!H8,'04_PSA_INPUTS'!I8)</f>
        <v>#NAME?</v>
      </c>
      <c r="F380" s="27" t="e">
        <f ca="1">_xludf.GAMMA.INV(V380,'04_PSA_INPUTS'!H9,'04_PSA_INPUTS'!I9)</f>
        <v>#NAME?</v>
      </c>
      <c r="G380" s="23" t="e">
        <f ca="1">_xludf.BETA.INV(W380,'04_PSA_INPUTS'!H10,'04_PSA_INPUTS'!I10)</f>
        <v>#NAME?</v>
      </c>
      <c r="H380" s="23" t="e">
        <f ca="1">_xludf.BETA.INV(X380,'04_PSA_INPUTS'!H11,'04_PSA_INPUTS'!I11)</f>
        <v>#NAME?</v>
      </c>
      <c r="I380" s="27" t="e">
        <f ca="1">D380+B380*F380+'01_INPUTS'!B20</f>
        <v>#NAME?</v>
      </c>
      <c r="J380" s="27" t="e">
        <f ca="1">E380+C380*F380+'01_INPUTS'!B21</f>
        <v>#NAME?</v>
      </c>
      <c r="K380" s="27" t="e">
        <f t="shared" ca="1" si="30"/>
        <v>#NAME?</v>
      </c>
      <c r="L380" s="23" t="e">
        <f t="shared" ca="1" si="31"/>
        <v>#NAME?</v>
      </c>
      <c r="M380" s="23" t="e">
        <f t="shared" ca="1" si="32"/>
        <v>#NAME?</v>
      </c>
      <c r="N380" s="23" t="e">
        <f t="shared" ca="1" si="33"/>
        <v>#NAME?</v>
      </c>
      <c r="O380" s="27" t="e">
        <f t="shared" ca="1" si="34"/>
        <v>#NAME?</v>
      </c>
      <c r="P380" s="27" t="e">
        <f ca="1">'01_INPUTS'!B9*N380-K380</f>
        <v>#NAME?</v>
      </c>
      <c r="Q380" s="1" t="e">
        <f t="shared" ca="1" si="35"/>
        <v>#NAME?</v>
      </c>
      <c r="R380" s="28">
        <v>0.2525056297890842</v>
      </c>
      <c r="S380" s="28">
        <v>0.93211036478169262</v>
      </c>
      <c r="T380" s="28">
        <v>0.30699932994320989</v>
      </c>
      <c r="U380" s="28">
        <v>0.70540568814612925</v>
      </c>
      <c r="V380" s="28">
        <v>2.3322900058701634E-2</v>
      </c>
      <c r="W380" s="28">
        <v>0.23471660283394158</v>
      </c>
      <c r="X380" s="28">
        <v>0.44711501686833799</v>
      </c>
    </row>
    <row r="381" spans="1:24" ht="13.9">
      <c r="A381" s="1">
        <v>380</v>
      </c>
      <c r="B381" s="23" t="e">
        <f ca="1">_xludf.BETA.INV(R381,'04_PSA_INPUTS'!H5,'04_PSA_INPUTS'!I5)</f>
        <v>#NAME?</v>
      </c>
      <c r="C381" s="23" t="e">
        <f ca="1">_xludf.BETA.INV(S381,'04_PSA_INPUTS'!H6,'04_PSA_INPUTS'!I6)</f>
        <v>#NAME?</v>
      </c>
      <c r="D381" s="27" t="e">
        <f ca="1">_xludf.GAMMA.INV(T381,'04_PSA_INPUTS'!H7,'04_PSA_INPUTS'!I7)</f>
        <v>#NAME?</v>
      </c>
      <c r="E381" s="27" t="e">
        <f ca="1">_xludf.GAMMA.INV(U381,'04_PSA_INPUTS'!H8,'04_PSA_INPUTS'!I8)</f>
        <v>#NAME?</v>
      </c>
      <c r="F381" s="27" t="e">
        <f ca="1">_xludf.GAMMA.INV(V381,'04_PSA_INPUTS'!H9,'04_PSA_INPUTS'!I9)</f>
        <v>#NAME?</v>
      </c>
      <c r="G381" s="23" t="e">
        <f ca="1">_xludf.BETA.INV(W381,'04_PSA_INPUTS'!H10,'04_PSA_INPUTS'!I10)</f>
        <v>#NAME?</v>
      </c>
      <c r="H381" s="23" t="e">
        <f ca="1">_xludf.BETA.INV(X381,'04_PSA_INPUTS'!H11,'04_PSA_INPUTS'!I11)</f>
        <v>#NAME?</v>
      </c>
      <c r="I381" s="27" t="e">
        <f ca="1">D381+B381*F381+'01_INPUTS'!B20</f>
        <v>#NAME?</v>
      </c>
      <c r="J381" s="27" t="e">
        <f ca="1">E381+C381*F381+'01_INPUTS'!B21</f>
        <v>#NAME?</v>
      </c>
      <c r="K381" s="27" t="e">
        <f t="shared" ca="1" si="30"/>
        <v>#NAME?</v>
      </c>
      <c r="L381" s="23" t="e">
        <f t="shared" ca="1" si="31"/>
        <v>#NAME?</v>
      </c>
      <c r="M381" s="23" t="e">
        <f t="shared" ca="1" si="32"/>
        <v>#NAME?</v>
      </c>
      <c r="N381" s="23" t="e">
        <f t="shared" ca="1" si="33"/>
        <v>#NAME?</v>
      </c>
      <c r="O381" s="27" t="e">
        <f t="shared" ca="1" si="34"/>
        <v>#NAME?</v>
      </c>
      <c r="P381" s="27" t="e">
        <f ca="1">'01_INPUTS'!B9*N381-K381</f>
        <v>#NAME?</v>
      </c>
      <c r="Q381" s="1" t="e">
        <f t="shared" ca="1" si="35"/>
        <v>#NAME?</v>
      </c>
      <c r="R381" s="28">
        <v>0.17371512809768319</v>
      </c>
      <c r="S381" s="28">
        <v>0.36910744849592447</v>
      </c>
      <c r="T381" s="28">
        <v>0.91320701781660318</v>
      </c>
      <c r="U381" s="28">
        <v>0.23421734594739974</v>
      </c>
      <c r="V381" s="28">
        <v>0.42790625663474202</v>
      </c>
      <c r="W381" s="28">
        <v>0.78958019823767245</v>
      </c>
      <c r="X381" s="28">
        <v>3.3600906142964959E-2</v>
      </c>
    </row>
    <row r="382" spans="1:24" ht="13.9">
      <c r="A382" s="1">
        <v>381</v>
      </c>
      <c r="B382" s="23" t="e">
        <f ca="1">_xludf.BETA.INV(R382,'04_PSA_INPUTS'!H5,'04_PSA_INPUTS'!I5)</f>
        <v>#NAME?</v>
      </c>
      <c r="C382" s="23" t="e">
        <f ca="1">_xludf.BETA.INV(S382,'04_PSA_INPUTS'!H6,'04_PSA_INPUTS'!I6)</f>
        <v>#NAME?</v>
      </c>
      <c r="D382" s="27" t="e">
        <f ca="1">_xludf.GAMMA.INV(T382,'04_PSA_INPUTS'!H7,'04_PSA_INPUTS'!I7)</f>
        <v>#NAME?</v>
      </c>
      <c r="E382" s="27" t="e">
        <f ca="1">_xludf.GAMMA.INV(U382,'04_PSA_INPUTS'!H8,'04_PSA_INPUTS'!I8)</f>
        <v>#NAME?</v>
      </c>
      <c r="F382" s="27" t="e">
        <f ca="1">_xludf.GAMMA.INV(V382,'04_PSA_INPUTS'!H9,'04_PSA_INPUTS'!I9)</f>
        <v>#NAME?</v>
      </c>
      <c r="G382" s="23" t="e">
        <f ca="1">_xludf.BETA.INV(W382,'04_PSA_INPUTS'!H10,'04_PSA_INPUTS'!I10)</f>
        <v>#NAME?</v>
      </c>
      <c r="H382" s="23" t="e">
        <f ca="1">_xludf.BETA.INV(X382,'04_PSA_INPUTS'!H11,'04_PSA_INPUTS'!I11)</f>
        <v>#NAME?</v>
      </c>
      <c r="I382" s="27" t="e">
        <f ca="1">D382+B382*F382+'01_INPUTS'!B20</f>
        <v>#NAME?</v>
      </c>
      <c r="J382" s="27" t="e">
        <f ca="1">E382+C382*F382+'01_INPUTS'!B21</f>
        <v>#NAME?</v>
      </c>
      <c r="K382" s="27" t="e">
        <f t="shared" ca="1" si="30"/>
        <v>#NAME?</v>
      </c>
      <c r="L382" s="23" t="e">
        <f t="shared" ca="1" si="31"/>
        <v>#NAME?</v>
      </c>
      <c r="M382" s="23" t="e">
        <f t="shared" ca="1" si="32"/>
        <v>#NAME?</v>
      </c>
      <c r="N382" s="23" t="e">
        <f t="shared" ca="1" si="33"/>
        <v>#NAME?</v>
      </c>
      <c r="O382" s="27" t="e">
        <f t="shared" ca="1" si="34"/>
        <v>#NAME?</v>
      </c>
      <c r="P382" s="27" t="e">
        <f ca="1">'01_INPUTS'!B9*N382-K382</f>
        <v>#NAME?</v>
      </c>
      <c r="Q382" s="1" t="e">
        <f t="shared" ca="1" si="35"/>
        <v>#NAME?</v>
      </c>
      <c r="R382" s="28">
        <v>0.82021209900267422</v>
      </c>
      <c r="S382" s="28">
        <v>0.6625117133371532</v>
      </c>
      <c r="T382" s="28">
        <v>0.13740361225791276</v>
      </c>
      <c r="U382" s="28">
        <v>0.82224002131260931</v>
      </c>
      <c r="V382" s="28">
        <v>0.23518480127677321</v>
      </c>
      <c r="W382" s="28">
        <v>0.93392073200084269</v>
      </c>
      <c r="X382" s="28">
        <v>0.69947846373543143</v>
      </c>
    </row>
    <row r="383" spans="1:24" ht="13.9">
      <c r="A383" s="1">
        <v>382</v>
      </c>
      <c r="B383" s="23" t="e">
        <f ca="1">_xludf.BETA.INV(R383,'04_PSA_INPUTS'!H5,'04_PSA_INPUTS'!I5)</f>
        <v>#NAME?</v>
      </c>
      <c r="C383" s="23" t="e">
        <f ca="1">_xludf.BETA.INV(S383,'04_PSA_INPUTS'!H6,'04_PSA_INPUTS'!I6)</f>
        <v>#NAME?</v>
      </c>
      <c r="D383" s="27" t="e">
        <f ca="1">_xludf.GAMMA.INV(T383,'04_PSA_INPUTS'!H7,'04_PSA_INPUTS'!I7)</f>
        <v>#NAME?</v>
      </c>
      <c r="E383" s="27" t="e">
        <f ca="1">_xludf.GAMMA.INV(U383,'04_PSA_INPUTS'!H8,'04_PSA_INPUTS'!I8)</f>
        <v>#NAME?</v>
      </c>
      <c r="F383" s="27" t="e">
        <f ca="1">_xludf.GAMMA.INV(V383,'04_PSA_INPUTS'!H9,'04_PSA_INPUTS'!I9)</f>
        <v>#NAME?</v>
      </c>
      <c r="G383" s="23" t="e">
        <f ca="1">_xludf.BETA.INV(W383,'04_PSA_INPUTS'!H10,'04_PSA_INPUTS'!I10)</f>
        <v>#NAME?</v>
      </c>
      <c r="H383" s="23" t="e">
        <f ca="1">_xludf.BETA.INV(X383,'04_PSA_INPUTS'!H11,'04_PSA_INPUTS'!I11)</f>
        <v>#NAME?</v>
      </c>
      <c r="I383" s="27" t="e">
        <f ca="1">D383+B383*F383+'01_INPUTS'!B20</f>
        <v>#NAME?</v>
      </c>
      <c r="J383" s="27" t="e">
        <f ca="1">E383+C383*F383+'01_INPUTS'!B21</f>
        <v>#NAME?</v>
      </c>
      <c r="K383" s="27" t="e">
        <f t="shared" ca="1" si="30"/>
        <v>#NAME?</v>
      </c>
      <c r="L383" s="23" t="e">
        <f t="shared" ca="1" si="31"/>
        <v>#NAME?</v>
      </c>
      <c r="M383" s="23" t="e">
        <f t="shared" ca="1" si="32"/>
        <v>#NAME?</v>
      </c>
      <c r="N383" s="23" t="e">
        <f t="shared" ca="1" si="33"/>
        <v>#NAME?</v>
      </c>
      <c r="O383" s="27" t="e">
        <f t="shared" ca="1" si="34"/>
        <v>#NAME?</v>
      </c>
      <c r="P383" s="27" t="e">
        <f ca="1">'01_INPUTS'!B9*N383-K383</f>
        <v>#NAME?</v>
      </c>
      <c r="Q383" s="1" t="e">
        <f t="shared" ca="1" si="35"/>
        <v>#NAME?</v>
      </c>
      <c r="R383" s="28">
        <v>0.67278707656078041</v>
      </c>
      <c r="S383" s="28">
        <v>0.60841368045657873</v>
      </c>
      <c r="T383" s="28">
        <v>5.9820012887939811E-2</v>
      </c>
      <c r="U383" s="28">
        <v>0.11267278110608459</v>
      </c>
      <c r="V383" s="28">
        <v>0.59329635067842901</v>
      </c>
      <c r="W383" s="28">
        <v>0.47729895054362714</v>
      </c>
      <c r="X383" s="28">
        <v>0.88809825456701219</v>
      </c>
    </row>
    <row r="384" spans="1:24" ht="13.9">
      <c r="A384" s="1">
        <v>383</v>
      </c>
      <c r="B384" s="23" t="e">
        <f ca="1">_xludf.BETA.INV(R384,'04_PSA_INPUTS'!H5,'04_PSA_INPUTS'!I5)</f>
        <v>#NAME?</v>
      </c>
      <c r="C384" s="23" t="e">
        <f ca="1">_xludf.BETA.INV(S384,'04_PSA_INPUTS'!H6,'04_PSA_INPUTS'!I6)</f>
        <v>#NAME?</v>
      </c>
      <c r="D384" s="27" t="e">
        <f ca="1">_xludf.GAMMA.INV(T384,'04_PSA_INPUTS'!H7,'04_PSA_INPUTS'!I7)</f>
        <v>#NAME?</v>
      </c>
      <c r="E384" s="27" t="e">
        <f ca="1">_xludf.GAMMA.INV(U384,'04_PSA_INPUTS'!H8,'04_PSA_INPUTS'!I8)</f>
        <v>#NAME?</v>
      </c>
      <c r="F384" s="27" t="e">
        <f ca="1">_xludf.GAMMA.INV(V384,'04_PSA_INPUTS'!H9,'04_PSA_INPUTS'!I9)</f>
        <v>#NAME?</v>
      </c>
      <c r="G384" s="23" t="e">
        <f ca="1">_xludf.BETA.INV(W384,'04_PSA_INPUTS'!H10,'04_PSA_INPUTS'!I10)</f>
        <v>#NAME?</v>
      </c>
      <c r="H384" s="23" t="e">
        <f ca="1">_xludf.BETA.INV(X384,'04_PSA_INPUTS'!H11,'04_PSA_INPUTS'!I11)</f>
        <v>#NAME?</v>
      </c>
      <c r="I384" s="27" t="e">
        <f ca="1">D384+B384*F384+'01_INPUTS'!B20</f>
        <v>#NAME?</v>
      </c>
      <c r="J384" s="27" t="e">
        <f ca="1">E384+C384*F384+'01_INPUTS'!B21</f>
        <v>#NAME?</v>
      </c>
      <c r="K384" s="27" t="e">
        <f t="shared" ca="1" si="30"/>
        <v>#NAME?</v>
      </c>
      <c r="L384" s="23" t="e">
        <f t="shared" ca="1" si="31"/>
        <v>#NAME?</v>
      </c>
      <c r="M384" s="23" t="e">
        <f t="shared" ca="1" si="32"/>
        <v>#NAME?</v>
      </c>
      <c r="N384" s="23" t="e">
        <f t="shared" ca="1" si="33"/>
        <v>#NAME?</v>
      </c>
      <c r="O384" s="27" t="e">
        <f t="shared" ca="1" si="34"/>
        <v>#NAME?</v>
      </c>
      <c r="P384" s="27" t="e">
        <f ca="1">'01_INPUTS'!B9*N384-K384</f>
        <v>#NAME?</v>
      </c>
      <c r="Q384" s="1" t="e">
        <f t="shared" ca="1" si="35"/>
        <v>#NAME?</v>
      </c>
      <c r="R384" s="28">
        <v>0.20653055515140295</v>
      </c>
      <c r="S384" s="28">
        <v>0.91912019951269031</v>
      </c>
      <c r="T384" s="28">
        <v>0.88601908856071532</v>
      </c>
      <c r="U384" s="28">
        <v>0.1475497221108526</v>
      </c>
      <c r="V384" s="28">
        <v>0.29704474238678813</v>
      </c>
      <c r="W384" s="28">
        <v>0.54079723823815584</v>
      </c>
      <c r="X384" s="28">
        <v>0.62991246441379189</v>
      </c>
    </row>
    <row r="385" spans="1:24" ht="13.9">
      <c r="A385" s="1">
        <v>384</v>
      </c>
      <c r="B385" s="23" t="e">
        <f ca="1">_xludf.BETA.INV(R385,'04_PSA_INPUTS'!H5,'04_PSA_INPUTS'!I5)</f>
        <v>#NAME?</v>
      </c>
      <c r="C385" s="23" t="e">
        <f ca="1">_xludf.BETA.INV(S385,'04_PSA_INPUTS'!H6,'04_PSA_INPUTS'!I6)</f>
        <v>#NAME?</v>
      </c>
      <c r="D385" s="27" t="e">
        <f ca="1">_xludf.GAMMA.INV(T385,'04_PSA_INPUTS'!H7,'04_PSA_INPUTS'!I7)</f>
        <v>#NAME?</v>
      </c>
      <c r="E385" s="27" t="e">
        <f ca="1">_xludf.GAMMA.INV(U385,'04_PSA_INPUTS'!H8,'04_PSA_INPUTS'!I8)</f>
        <v>#NAME?</v>
      </c>
      <c r="F385" s="27" t="e">
        <f ca="1">_xludf.GAMMA.INV(V385,'04_PSA_INPUTS'!H9,'04_PSA_INPUTS'!I9)</f>
        <v>#NAME?</v>
      </c>
      <c r="G385" s="23" t="e">
        <f ca="1">_xludf.BETA.INV(W385,'04_PSA_INPUTS'!H10,'04_PSA_INPUTS'!I10)</f>
        <v>#NAME?</v>
      </c>
      <c r="H385" s="23" t="e">
        <f ca="1">_xludf.BETA.INV(X385,'04_PSA_INPUTS'!H11,'04_PSA_INPUTS'!I11)</f>
        <v>#NAME?</v>
      </c>
      <c r="I385" s="27" t="e">
        <f ca="1">D385+B385*F385+'01_INPUTS'!B20</f>
        <v>#NAME?</v>
      </c>
      <c r="J385" s="27" t="e">
        <f ca="1">E385+C385*F385+'01_INPUTS'!B21</f>
        <v>#NAME?</v>
      </c>
      <c r="K385" s="27" t="e">
        <f t="shared" ca="1" si="30"/>
        <v>#NAME?</v>
      </c>
      <c r="L385" s="23" t="e">
        <f t="shared" ca="1" si="31"/>
        <v>#NAME?</v>
      </c>
      <c r="M385" s="23" t="e">
        <f t="shared" ca="1" si="32"/>
        <v>#NAME?</v>
      </c>
      <c r="N385" s="23" t="e">
        <f t="shared" ca="1" si="33"/>
        <v>#NAME?</v>
      </c>
      <c r="O385" s="27" t="e">
        <f t="shared" ca="1" si="34"/>
        <v>#NAME?</v>
      </c>
      <c r="P385" s="27" t="e">
        <f ca="1">'01_INPUTS'!B9*N385-K385</f>
        <v>#NAME?</v>
      </c>
      <c r="Q385" s="1" t="e">
        <f t="shared" ca="1" si="35"/>
        <v>#NAME?</v>
      </c>
      <c r="R385" s="28">
        <v>0.53948852908797562</v>
      </c>
      <c r="S385" s="28">
        <v>0.60513378004543483</v>
      </c>
      <c r="T385" s="28">
        <v>0.88025444000959396</v>
      </c>
      <c r="U385" s="28">
        <v>0.30922731920145452</v>
      </c>
      <c r="V385" s="28">
        <v>0.91095184534788132</v>
      </c>
      <c r="W385" s="28">
        <v>0.67588982242159545</v>
      </c>
      <c r="X385" s="28">
        <v>0.20275558461435139</v>
      </c>
    </row>
    <row r="386" spans="1:24" ht="13.9">
      <c r="A386" s="1">
        <v>385</v>
      </c>
      <c r="B386" s="23" t="e">
        <f ca="1">_xludf.BETA.INV(R386,'04_PSA_INPUTS'!H5,'04_PSA_INPUTS'!I5)</f>
        <v>#NAME?</v>
      </c>
      <c r="C386" s="23" t="e">
        <f ca="1">_xludf.BETA.INV(S386,'04_PSA_INPUTS'!H6,'04_PSA_INPUTS'!I6)</f>
        <v>#NAME?</v>
      </c>
      <c r="D386" s="27" t="e">
        <f ca="1">_xludf.GAMMA.INV(T386,'04_PSA_INPUTS'!H7,'04_PSA_INPUTS'!I7)</f>
        <v>#NAME?</v>
      </c>
      <c r="E386" s="27" t="e">
        <f ca="1">_xludf.GAMMA.INV(U386,'04_PSA_INPUTS'!H8,'04_PSA_INPUTS'!I8)</f>
        <v>#NAME?</v>
      </c>
      <c r="F386" s="27" t="e">
        <f ca="1">_xludf.GAMMA.INV(V386,'04_PSA_INPUTS'!H9,'04_PSA_INPUTS'!I9)</f>
        <v>#NAME?</v>
      </c>
      <c r="G386" s="23" t="e">
        <f ca="1">_xludf.BETA.INV(W386,'04_PSA_INPUTS'!H10,'04_PSA_INPUTS'!I10)</f>
        <v>#NAME?</v>
      </c>
      <c r="H386" s="23" t="e">
        <f ca="1">_xludf.BETA.INV(X386,'04_PSA_INPUTS'!H11,'04_PSA_INPUTS'!I11)</f>
        <v>#NAME?</v>
      </c>
      <c r="I386" s="27" t="e">
        <f ca="1">D386+B386*F386+'01_INPUTS'!B20</f>
        <v>#NAME?</v>
      </c>
      <c r="J386" s="27" t="e">
        <f ca="1">E386+C386*F386+'01_INPUTS'!B21</f>
        <v>#NAME?</v>
      </c>
      <c r="K386" s="27" t="e">
        <f t="shared" ref="K386:K449" ca="1" si="36">I386-J386</f>
        <v>#NAME?</v>
      </c>
      <c r="L386" s="23" t="e">
        <f t="shared" ref="L386:L449" ca="1" si="37">G386-B386*H386</f>
        <v>#NAME?</v>
      </c>
      <c r="M386" s="23" t="e">
        <f t="shared" ref="M386:M449" ca="1" si="38">G386-C386*H386</f>
        <v>#NAME?</v>
      </c>
      <c r="N386" s="23" t="e">
        <f t="shared" ref="N386:N449" ca="1" si="39">L386-M386</f>
        <v>#NAME?</v>
      </c>
      <c r="O386" s="27" t="e">
        <f t="shared" ref="O386:O449" ca="1" si="40">IF(N386=0,"",K386/N386)</f>
        <v>#NAME?</v>
      </c>
      <c r="P386" s="27" t="e">
        <f ca="1">'01_INPUTS'!B9*N386-K386</f>
        <v>#NAME?</v>
      </c>
      <c r="Q386" s="1" t="e">
        <f t="shared" ref="Q386:Q449" ca="1" si="41">IF(P386&gt;0,1,0)</f>
        <v>#NAME?</v>
      </c>
      <c r="R386" s="28">
        <v>0.83191691897809505</v>
      </c>
      <c r="S386" s="28">
        <v>0.80621463083662093</v>
      </c>
      <c r="T386" s="28">
        <v>0.87445562495850027</v>
      </c>
      <c r="U386" s="28">
        <v>0.99094980861991644</v>
      </c>
      <c r="V386" s="28">
        <v>0.94485329021699727</v>
      </c>
      <c r="W386" s="28">
        <v>4.0090594906359911E-2</v>
      </c>
      <c r="X386" s="28">
        <v>0.86761725624091923</v>
      </c>
    </row>
    <row r="387" spans="1:24" ht="13.9">
      <c r="A387" s="1">
        <v>386</v>
      </c>
      <c r="B387" s="23" t="e">
        <f ca="1">_xludf.BETA.INV(R387,'04_PSA_INPUTS'!H5,'04_PSA_INPUTS'!I5)</f>
        <v>#NAME?</v>
      </c>
      <c r="C387" s="23" t="e">
        <f ca="1">_xludf.BETA.INV(S387,'04_PSA_INPUTS'!H6,'04_PSA_INPUTS'!I6)</f>
        <v>#NAME?</v>
      </c>
      <c r="D387" s="27" t="e">
        <f ca="1">_xludf.GAMMA.INV(T387,'04_PSA_INPUTS'!H7,'04_PSA_INPUTS'!I7)</f>
        <v>#NAME?</v>
      </c>
      <c r="E387" s="27" t="e">
        <f ca="1">_xludf.GAMMA.INV(U387,'04_PSA_INPUTS'!H8,'04_PSA_INPUTS'!I8)</f>
        <v>#NAME?</v>
      </c>
      <c r="F387" s="27" t="e">
        <f ca="1">_xludf.GAMMA.INV(V387,'04_PSA_INPUTS'!H9,'04_PSA_INPUTS'!I9)</f>
        <v>#NAME?</v>
      </c>
      <c r="G387" s="23" t="e">
        <f ca="1">_xludf.BETA.INV(W387,'04_PSA_INPUTS'!H10,'04_PSA_INPUTS'!I10)</f>
        <v>#NAME?</v>
      </c>
      <c r="H387" s="23" t="e">
        <f ca="1">_xludf.BETA.INV(X387,'04_PSA_INPUTS'!H11,'04_PSA_INPUTS'!I11)</f>
        <v>#NAME?</v>
      </c>
      <c r="I387" s="27" t="e">
        <f ca="1">D387+B387*F387+'01_INPUTS'!B20</f>
        <v>#NAME?</v>
      </c>
      <c r="J387" s="27" t="e">
        <f ca="1">E387+C387*F387+'01_INPUTS'!B21</f>
        <v>#NAME?</v>
      </c>
      <c r="K387" s="27" t="e">
        <f t="shared" ca="1" si="36"/>
        <v>#NAME?</v>
      </c>
      <c r="L387" s="23" t="e">
        <f t="shared" ca="1" si="37"/>
        <v>#NAME?</v>
      </c>
      <c r="M387" s="23" t="e">
        <f t="shared" ca="1" si="38"/>
        <v>#NAME?</v>
      </c>
      <c r="N387" s="23" t="e">
        <f t="shared" ca="1" si="39"/>
        <v>#NAME?</v>
      </c>
      <c r="O387" s="27" t="e">
        <f t="shared" ca="1" si="40"/>
        <v>#NAME?</v>
      </c>
      <c r="P387" s="27" t="e">
        <f ca="1">'01_INPUTS'!B9*N387-K387</f>
        <v>#NAME?</v>
      </c>
      <c r="Q387" s="1" t="e">
        <f t="shared" ca="1" si="41"/>
        <v>#NAME?</v>
      </c>
      <c r="R387" s="28">
        <v>0.85098580829799175</v>
      </c>
      <c r="S387" s="28">
        <v>0.51089070132002234</v>
      </c>
      <c r="T387" s="28">
        <v>0.60287208668887615</v>
      </c>
      <c r="U387" s="28">
        <v>6.910883286036551E-2</v>
      </c>
      <c r="V387" s="28">
        <v>0.64825826813466847</v>
      </c>
      <c r="W387" s="28">
        <v>0.23002545582130551</v>
      </c>
      <c r="X387" s="28">
        <v>0.29532170877791941</v>
      </c>
    </row>
    <row r="388" spans="1:24" ht="13.9">
      <c r="A388" s="1">
        <v>387</v>
      </c>
      <c r="B388" s="23" t="e">
        <f ca="1">_xludf.BETA.INV(R388,'04_PSA_INPUTS'!H5,'04_PSA_INPUTS'!I5)</f>
        <v>#NAME?</v>
      </c>
      <c r="C388" s="23" t="e">
        <f ca="1">_xludf.BETA.INV(S388,'04_PSA_INPUTS'!H6,'04_PSA_INPUTS'!I6)</f>
        <v>#NAME?</v>
      </c>
      <c r="D388" s="27" t="e">
        <f ca="1">_xludf.GAMMA.INV(T388,'04_PSA_INPUTS'!H7,'04_PSA_INPUTS'!I7)</f>
        <v>#NAME?</v>
      </c>
      <c r="E388" s="27" t="e">
        <f ca="1">_xludf.GAMMA.INV(U388,'04_PSA_INPUTS'!H8,'04_PSA_INPUTS'!I8)</f>
        <v>#NAME?</v>
      </c>
      <c r="F388" s="27" t="e">
        <f ca="1">_xludf.GAMMA.INV(V388,'04_PSA_INPUTS'!H9,'04_PSA_INPUTS'!I9)</f>
        <v>#NAME?</v>
      </c>
      <c r="G388" s="23" t="e">
        <f ca="1">_xludf.BETA.INV(W388,'04_PSA_INPUTS'!H10,'04_PSA_INPUTS'!I10)</f>
        <v>#NAME?</v>
      </c>
      <c r="H388" s="23" t="e">
        <f ca="1">_xludf.BETA.INV(X388,'04_PSA_INPUTS'!H11,'04_PSA_INPUTS'!I11)</f>
        <v>#NAME?</v>
      </c>
      <c r="I388" s="27" t="e">
        <f ca="1">D388+B388*F388+'01_INPUTS'!B20</f>
        <v>#NAME?</v>
      </c>
      <c r="J388" s="27" t="e">
        <f ca="1">E388+C388*F388+'01_INPUTS'!B21</f>
        <v>#NAME?</v>
      </c>
      <c r="K388" s="27" t="e">
        <f t="shared" ca="1" si="36"/>
        <v>#NAME?</v>
      </c>
      <c r="L388" s="23" t="e">
        <f t="shared" ca="1" si="37"/>
        <v>#NAME?</v>
      </c>
      <c r="M388" s="23" t="e">
        <f t="shared" ca="1" si="38"/>
        <v>#NAME?</v>
      </c>
      <c r="N388" s="23" t="e">
        <f t="shared" ca="1" si="39"/>
        <v>#NAME?</v>
      </c>
      <c r="O388" s="27" t="e">
        <f t="shared" ca="1" si="40"/>
        <v>#NAME?</v>
      </c>
      <c r="P388" s="27" t="e">
        <f ca="1">'01_INPUTS'!B9*N388-K388</f>
        <v>#NAME?</v>
      </c>
      <c r="Q388" s="1" t="e">
        <f t="shared" ca="1" si="41"/>
        <v>#NAME?</v>
      </c>
      <c r="R388" s="28">
        <v>0.8934097196906805</v>
      </c>
      <c r="S388" s="28">
        <v>0.73926340998150408</v>
      </c>
      <c r="T388" s="28">
        <v>0.28030635952018201</v>
      </c>
      <c r="U388" s="28">
        <v>0.59038163954392076</v>
      </c>
      <c r="V388" s="28">
        <v>0.82655487325973809</v>
      </c>
      <c r="W388" s="28">
        <v>0.48747523385100067</v>
      </c>
      <c r="X388" s="28">
        <v>0.10742422053590417</v>
      </c>
    </row>
    <row r="389" spans="1:24" ht="13.9">
      <c r="A389" s="1">
        <v>388</v>
      </c>
      <c r="B389" s="23" t="e">
        <f ca="1">_xludf.BETA.INV(R389,'04_PSA_INPUTS'!H5,'04_PSA_INPUTS'!I5)</f>
        <v>#NAME?</v>
      </c>
      <c r="C389" s="23" t="e">
        <f ca="1">_xludf.BETA.INV(S389,'04_PSA_INPUTS'!H6,'04_PSA_INPUTS'!I6)</f>
        <v>#NAME?</v>
      </c>
      <c r="D389" s="27" t="e">
        <f ca="1">_xludf.GAMMA.INV(T389,'04_PSA_INPUTS'!H7,'04_PSA_INPUTS'!I7)</f>
        <v>#NAME?</v>
      </c>
      <c r="E389" s="27" t="e">
        <f ca="1">_xludf.GAMMA.INV(U389,'04_PSA_INPUTS'!H8,'04_PSA_INPUTS'!I8)</f>
        <v>#NAME?</v>
      </c>
      <c r="F389" s="27" t="e">
        <f ca="1">_xludf.GAMMA.INV(V389,'04_PSA_INPUTS'!H9,'04_PSA_INPUTS'!I9)</f>
        <v>#NAME?</v>
      </c>
      <c r="G389" s="23" t="e">
        <f ca="1">_xludf.BETA.INV(W389,'04_PSA_INPUTS'!H10,'04_PSA_INPUTS'!I10)</f>
        <v>#NAME?</v>
      </c>
      <c r="H389" s="23" t="e">
        <f ca="1">_xludf.BETA.INV(X389,'04_PSA_INPUTS'!H11,'04_PSA_INPUTS'!I11)</f>
        <v>#NAME?</v>
      </c>
      <c r="I389" s="27" t="e">
        <f ca="1">D389+B389*F389+'01_INPUTS'!B20</f>
        <v>#NAME?</v>
      </c>
      <c r="J389" s="27" t="e">
        <f ca="1">E389+C389*F389+'01_INPUTS'!B21</f>
        <v>#NAME?</v>
      </c>
      <c r="K389" s="27" t="e">
        <f t="shared" ca="1" si="36"/>
        <v>#NAME?</v>
      </c>
      <c r="L389" s="23" t="e">
        <f t="shared" ca="1" si="37"/>
        <v>#NAME?</v>
      </c>
      <c r="M389" s="23" t="e">
        <f t="shared" ca="1" si="38"/>
        <v>#NAME?</v>
      </c>
      <c r="N389" s="23" t="e">
        <f t="shared" ca="1" si="39"/>
        <v>#NAME?</v>
      </c>
      <c r="O389" s="27" t="e">
        <f t="shared" ca="1" si="40"/>
        <v>#NAME?</v>
      </c>
      <c r="P389" s="27" t="e">
        <f ca="1">'01_INPUTS'!B9*N389-K389</f>
        <v>#NAME?</v>
      </c>
      <c r="Q389" s="1" t="e">
        <f t="shared" ca="1" si="41"/>
        <v>#NAME?</v>
      </c>
      <c r="R389" s="28">
        <v>8.2297594053670764E-2</v>
      </c>
      <c r="S389" s="28">
        <v>0.26488823932595551</v>
      </c>
      <c r="T389" s="28">
        <v>0.89232304226607084</v>
      </c>
      <c r="U389" s="28">
        <v>0.16797712258994579</v>
      </c>
      <c r="V389" s="28">
        <v>0.44224792998284101</v>
      </c>
      <c r="W389" s="28">
        <v>0.95618888386525214</v>
      </c>
      <c r="X389" s="28">
        <v>0.86599016608670354</v>
      </c>
    </row>
    <row r="390" spans="1:24" ht="13.9">
      <c r="A390" s="1">
        <v>389</v>
      </c>
      <c r="B390" s="23" t="e">
        <f ca="1">_xludf.BETA.INV(R390,'04_PSA_INPUTS'!H5,'04_PSA_INPUTS'!I5)</f>
        <v>#NAME?</v>
      </c>
      <c r="C390" s="23" t="e">
        <f ca="1">_xludf.BETA.INV(S390,'04_PSA_INPUTS'!H6,'04_PSA_INPUTS'!I6)</f>
        <v>#NAME?</v>
      </c>
      <c r="D390" s="27" t="e">
        <f ca="1">_xludf.GAMMA.INV(T390,'04_PSA_INPUTS'!H7,'04_PSA_INPUTS'!I7)</f>
        <v>#NAME?</v>
      </c>
      <c r="E390" s="27" t="e">
        <f ca="1">_xludf.GAMMA.INV(U390,'04_PSA_INPUTS'!H8,'04_PSA_INPUTS'!I8)</f>
        <v>#NAME?</v>
      </c>
      <c r="F390" s="27" t="e">
        <f ca="1">_xludf.GAMMA.INV(V390,'04_PSA_INPUTS'!H9,'04_PSA_INPUTS'!I9)</f>
        <v>#NAME?</v>
      </c>
      <c r="G390" s="23" t="e">
        <f ca="1">_xludf.BETA.INV(W390,'04_PSA_INPUTS'!H10,'04_PSA_INPUTS'!I10)</f>
        <v>#NAME?</v>
      </c>
      <c r="H390" s="23" t="e">
        <f ca="1">_xludf.BETA.INV(X390,'04_PSA_INPUTS'!H11,'04_PSA_INPUTS'!I11)</f>
        <v>#NAME?</v>
      </c>
      <c r="I390" s="27" t="e">
        <f ca="1">D390+B390*F390+'01_INPUTS'!B20</f>
        <v>#NAME?</v>
      </c>
      <c r="J390" s="27" t="e">
        <f ca="1">E390+C390*F390+'01_INPUTS'!B21</f>
        <v>#NAME?</v>
      </c>
      <c r="K390" s="27" t="e">
        <f t="shared" ca="1" si="36"/>
        <v>#NAME?</v>
      </c>
      <c r="L390" s="23" t="e">
        <f t="shared" ca="1" si="37"/>
        <v>#NAME?</v>
      </c>
      <c r="M390" s="23" t="e">
        <f t="shared" ca="1" si="38"/>
        <v>#NAME?</v>
      </c>
      <c r="N390" s="23" t="e">
        <f t="shared" ca="1" si="39"/>
        <v>#NAME?</v>
      </c>
      <c r="O390" s="27" t="e">
        <f t="shared" ca="1" si="40"/>
        <v>#NAME?</v>
      </c>
      <c r="P390" s="27" t="e">
        <f ca="1">'01_INPUTS'!B9*N390-K390</f>
        <v>#NAME?</v>
      </c>
      <c r="Q390" s="1" t="e">
        <f t="shared" ca="1" si="41"/>
        <v>#NAME?</v>
      </c>
      <c r="R390" s="28">
        <v>0.45522927795536816</v>
      </c>
      <c r="S390" s="28">
        <v>0.42692847503349185</v>
      </c>
      <c r="T390" s="28">
        <v>8.1648716703057289E-2</v>
      </c>
      <c r="U390" s="28">
        <v>0.23319744784384966</v>
      </c>
      <c r="V390" s="28">
        <v>0.27294173277914524</v>
      </c>
      <c r="W390" s="28">
        <v>0.65416190633550286</v>
      </c>
      <c r="X390" s="28">
        <v>0.107908382313326</v>
      </c>
    </row>
    <row r="391" spans="1:24" ht="13.9">
      <c r="A391" s="1">
        <v>390</v>
      </c>
      <c r="B391" s="23" t="e">
        <f ca="1">_xludf.BETA.INV(R391,'04_PSA_INPUTS'!H5,'04_PSA_INPUTS'!I5)</f>
        <v>#NAME?</v>
      </c>
      <c r="C391" s="23" t="e">
        <f ca="1">_xludf.BETA.INV(S391,'04_PSA_INPUTS'!H6,'04_PSA_INPUTS'!I6)</f>
        <v>#NAME?</v>
      </c>
      <c r="D391" s="27" t="e">
        <f ca="1">_xludf.GAMMA.INV(T391,'04_PSA_INPUTS'!H7,'04_PSA_INPUTS'!I7)</f>
        <v>#NAME?</v>
      </c>
      <c r="E391" s="27" t="e">
        <f ca="1">_xludf.GAMMA.INV(U391,'04_PSA_INPUTS'!H8,'04_PSA_INPUTS'!I8)</f>
        <v>#NAME?</v>
      </c>
      <c r="F391" s="27" t="e">
        <f ca="1">_xludf.GAMMA.INV(V391,'04_PSA_INPUTS'!H9,'04_PSA_INPUTS'!I9)</f>
        <v>#NAME?</v>
      </c>
      <c r="G391" s="23" t="e">
        <f ca="1">_xludf.BETA.INV(W391,'04_PSA_INPUTS'!H10,'04_PSA_INPUTS'!I10)</f>
        <v>#NAME?</v>
      </c>
      <c r="H391" s="23" t="e">
        <f ca="1">_xludf.BETA.INV(X391,'04_PSA_INPUTS'!H11,'04_PSA_INPUTS'!I11)</f>
        <v>#NAME?</v>
      </c>
      <c r="I391" s="27" t="e">
        <f ca="1">D391+B391*F391+'01_INPUTS'!B20</f>
        <v>#NAME?</v>
      </c>
      <c r="J391" s="27" t="e">
        <f ca="1">E391+C391*F391+'01_INPUTS'!B21</f>
        <v>#NAME?</v>
      </c>
      <c r="K391" s="27" t="e">
        <f t="shared" ca="1" si="36"/>
        <v>#NAME?</v>
      </c>
      <c r="L391" s="23" t="e">
        <f t="shared" ca="1" si="37"/>
        <v>#NAME?</v>
      </c>
      <c r="M391" s="23" t="e">
        <f t="shared" ca="1" si="38"/>
        <v>#NAME?</v>
      </c>
      <c r="N391" s="23" t="e">
        <f t="shared" ca="1" si="39"/>
        <v>#NAME?</v>
      </c>
      <c r="O391" s="27" t="e">
        <f t="shared" ca="1" si="40"/>
        <v>#NAME?</v>
      </c>
      <c r="P391" s="27" t="e">
        <f ca="1">'01_INPUTS'!B9*N391-K391</f>
        <v>#NAME?</v>
      </c>
      <c r="Q391" s="1" t="e">
        <f t="shared" ca="1" si="41"/>
        <v>#NAME?</v>
      </c>
      <c r="R391" s="28">
        <v>0.53122727083973587</v>
      </c>
      <c r="S391" s="28">
        <v>0.47760646021924913</v>
      </c>
      <c r="T391" s="28">
        <v>0.79730435251258314</v>
      </c>
      <c r="U391" s="28">
        <v>0.51919388654641807</v>
      </c>
      <c r="V391" s="28">
        <v>0.23371931002475321</v>
      </c>
      <c r="W391" s="28">
        <v>0.50853430293500423</v>
      </c>
      <c r="X391" s="28">
        <v>0.54809237061999738</v>
      </c>
    </row>
    <row r="392" spans="1:24" ht="13.9">
      <c r="A392" s="1">
        <v>391</v>
      </c>
      <c r="B392" s="23" t="e">
        <f ca="1">_xludf.BETA.INV(R392,'04_PSA_INPUTS'!H5,'04_PSA_INPUTS'!I5)</f>
        <v>#NAME?</v>
      </c>
      <c r="C392" s="23" t="e">
        <f ca="1">_xludf.BETA.INV(S392,'04_PSA_INPUTS'!H6,'04_PSA_INPUTS'!I6)</f>
        <v>#NAME?</v>
      </c>
      <c r="D392" s="27" t="e">
        <f ca="1">_xludf.GAMMA.INV(T392,'04_PSA_INPUTS'!H7,'04_PSA_INPUTS'!I7)</f>
        <v>#NAME?</v>
      </c>
      <c r="E392" s="27" t="e">
        <f ca="1">_xludf.GAMMA.INV(U392,'04_PSA_INPUTS'!H8,'04_PSA_INPUTS'!I8)</f>
        <v>#NAME?</v>
      </c>
      <c r="F392" s="27" t="e">
        <f ca="1">_xludf.GAMMA.INV(V392,'04_PSA_INPUTS'!H9,'04_PSA_INPUTS'!I9)</f>
        <v>#NAME?</v>
      </c>
      <c r="G392" s="23" t="e">
        <f ca="1">_xludf.BETA.INV(W392,'04_PSA_INPUTS'!H10,'04_PSA_INPUTS'!I10)</f>
        <v>#NAME?</v>
      </c>
      <c r="H392" s="23" t="e">
        <f ca="1">_xludf.BETA.INV(X392,'04_PSA_INPUTS'!H11,'04_PSA_INPUTS'!I11)</f>
        <v>#NAME?</v>
      </c>
      <c r="I392" s="27" t="e">
        <f ca="1">D392+B392*F392+'01_INPUTS'!B20</f>
        <v>#NAME?</v>
      </c>
      <c r="J392" s="27" t="e">
        <f ca="1">E392+C392*F392+'01_INPUTS'!B21</f>
        <v>#NAME?</v>
      </c>
      <c r="K392" s="27" t="e">
        <f t="shared" ca="1" si="36"/>
        <v>#NAME?</v>
      </c>
      <c r="L392" s="23" t="e">
        <f t="shared" ca="1" si="37"/>
        <v>#NAME?</v>
      </c>
      <c r="M392" s="23" t="e">
        <f t="shared" ca="1" si="38"/>
        <v>#NAME?</v>
      </c>
      <c r="N392" s="23" t="e">
        <f t="shared" ca="1" si="39"/>
        <v>#NAME?</v>
      </c>
      <c r="O392" s="27" t="e">
        <f t="shared" ca="1" si="40"/>
        <v>#NAME?</v>
      </c>
      <c r="P392" s="27" t="e">
        <f ca="1">'01_INPUTS'!B9*N392-K392</f>
        <v>#NAME?</v>
      </c>
      <c r="Q392" s="1" t="e">
        <f t="shared" ca="1" si="41"/>
        <v>#NAME?</v>
      </c>
      <c r="R392" s="28">
        <v>5.9722836595028639E-2</v>
      </c>
      <c r="S392" s="28">
        <v>0.74306197254918516</v>
      </c>
      <c r="T392" s="28">
        <v>2.4598144227638841E-2</v>
      </c>
      <c r="U392" s="28">
        <v>0.28476676344871521</v>
      </c>
      <c r="V392" s="28">
        <v>0.19337642309255898</v>
      </c>
      <c r="W392" s="28">
        <v>0.15964115620590746</v>
      </c>
      <c r="X392" s="28">
        <v>0.84928856161423028</v>
      </c>
    </row>
    <row r="393" spans="1:24" ht="13.9">
      <c r="A393" s="1">
        <v>392</v>
      </c>
      <c r="B393" s="23" t="e">
        <f ca="1">_xludf.BETA.INV(R393,'04_PSA_INPUTS'!H5,'04_PSA_INPUTS'!I5)</f>
        <v>#NAME?</v>
      </c>
      <c r="C393" s="23" t="e">
        <f ca="1">_xludf.BETA.INV(S393,'04_PSA_INPUTS'!H6,'04_PSA_INPUTS'!I6)</f>
        <v>#NAME?</v>
      </c>
      <c r="D393" s="27" t="e">
        <f ca="1">_xludf.GAMMA.INV(T393,'04_PSA_INPUTS'!H7,'04_PSA_INPUTS'!I7)</f>
        <v>#NAME?</v>
      </c>
      <c r="E393" s="27" t="e">
        <f ca="1">_xludf.GAMMA.INV(U393,'04_PSA_INPUTS'!H8,'04_PSA_INPUTS'!I8)</f>
        <v>#NAME?</v>
      </c>
      <c r="F393" s="27" t="e">
        <f ca="1">_xludf.GAMMA.INV(V393,'04_PSA_INPUTS'!H9,'04_PSA_INPUTS'!I9)</f>
        <v>#NAME?</v>
      </c>
      <c r="G393" s="23" t="e">
        <f ca="1">_xludf.BETA.INV(W393,'04_PSA_INPUTS'!H10,'04_PSA_INPUTS'!I10)</f>
        <v>#NAME?</v>
      </c>
      <c r="H393" s="23" t="e">
        <f ca="1">_xludf.BETA.INV(X393,'04_PSA_INPUTS'!H11,'04_PSA_INPUTS'!I11)</f>
        <v>#NAME?</v>
      </c>
      <c r="I393" s="27" t="e">
        <f ca="1">D393+B393*F393+'01_INPUTS'!B20</f>
        <v>#NAME?</v>
      </c>
      <c r="J393" s="27" t="e">
        <f ca="1">E393+C393*F393+'01_INPUTS'!B21</f>
        <v>#NAME?</v>
      </c>
      <c r="K393" s="27" t="e">
        <f t="shared" ca="1" si="36"/>
        <v>#NAME?</v>
      </c>
      <c r="L393" s="23" t="e">
        <f t="shared" ca="1" si="37"/>
        <v>#NAME?</v>
      </c>
      <c r="M393" s="23" t="e">
        <f t="shared" ca="1" si="38"/>
        <v>#NAME?</v>
      </c>
      <c r="N393" s="23" t="e">
        <f t="shared" ca="1" si="39"/>
        <v>#NAME?</v>
      </c>
      <c r="O393" s="27" t="e">
        <f t="shared" ca="1" si="40"/>
        <v>#NAME?</v>
      </c>
      <c r="P393" s="27" t="e">
        <f ca="1">'01_INPUTS'!B9*N393-K393</f>
        <v>#NAME?</v>
      </c>
      <c r="Q393" s="1" t="e">
        <f t="shared" ca="1" si="41"/>
        <v>#NAME?</v>
      </c>
      <c r="R393" s="28">
        <v>0.51700281887315214</v>
      </c>
      <c r="S393" s="28">
        <v>0.83314324053935707</v>
      </c>
      <c r="T393" s="28">
        <v>0.68852090742439032</v>
      </c>
      <c r="U393" s="28">
        <v>0.72926758718676865</v>
      </c>
      <c r="V393" s="28">
        <v>1.9218368222936988E-2</v>
      </c>
      <c r="W393" s="28">
        <v>0.8807719717733562</v>
      </c>
      <c r="X393" s="28">
        <v>0.34729475318454206</v>
      </c>
    </row>
    <row r="394" spans="1:24" ht="13.9">
      <c r="A394" s="1">
        <v>393</v>
      </c>
      <c r="B394" s="23" t="e">
        <f ca="1">_xludf.BETA.INV(R394,'04_PSA_INPUTS'!H5,'04_PSA_INPUTS'!I5)</f>
        <v>#NAME?</v>
      </c>
      <c r="C394" s="23" t="e">
        <f ca="1">_xludf.BETA.INV(S394,'04_PSA_INPUTS'!H6,'04_PSA_INPUTS'!I6)</f>
        <v>#NAME?</v>
      </c>
      <c r="D394" s="27" t="e">
        <f ca="1">_xludf.GAMMA.INV(T394,'04_PSA_INPUTS'!H7,'04_PSA_INPUTS'!I7)</f>
        <v>#NAME?</v>
      </c>
      <c r="E394" s="27" t="e">
        <f ca="1">_xludf.GAMMA.INV(U394,'04_PSA_INPUTS'!H8,'04_PSA_INPUTS'!I8)</f>
        <v>#NAME?</v>
      </c>
      <c r="F394" s="27" t="e">
        <f ca="1">_xludf.GAMMA.INV(V394,'04_PSA_INPUTS'!H9,'04_PSA_INPUTS'!I9)</f>
        <v>#NAME?</v>
      </c>
      <c r="G394" s="23" t="e">
        <f ca="1">_xludf.BETA.INV(W394,'04_PSA_INPUTS'!H10,'04_PSA_INPUTS'!I10)</f>
        <v>#NAME?</v>
      </c>
      <c r="H394" s="23" t="e">
        <f ca="1">_xludf.BETA.INV(X394,'04_PSA_INPUTS'!H11,'04_PSA_INPUTS'!I11)</f>
        <v>#NAME?</v>
      </c>
      <c r="I394" s="27" t="e">
        <f ca="1">D394+B394*F394+'01_INPUTS'!B20</f>
        <v>#NAME?</v>
      </c>
      <c r="J394" s="27" t="e">
        <f ca="1">E394+C394*F394+'01_INPUTS'!B21</f>
        <v>#NAME?</v>
      </c>
      <c r="K394" s="27" t="e">
        <f t="shared" ca="1" si="36"/>
        <v>#NAME?</v>
      </c>
      <c r="L394" s="23" t="e">
        <f t="shared" ca="1" si="37"/>
        <v>#NAME?</v>
      </c>
      <c r="M394" s="23" t="e">
        <f t="shared" ca="1" si="38"/>
        <v>#NAME?</v>
      </c>
      <c r="N394" s="23" t="e">
        <f t="shared" ca="1" si="39"/>
        <v>#NAME?</v>
      </c>
      <c r="O394" s="27" t="e">
        <f t="shared" ca="1" si="40"/>
        <v>#NAME?</v>
      </c>
      <c r="P394" s="27" t="e">
        <f ca="1">'01_INPUTS'!B9*N394-K394</f>
        <v>#NAME?</v>
      </c>
      <c r="Q394" s="1" t="e">
        <f t="shared" ca="1" si="41"/>
        <v>#NAME?</v>
      </c>
      <c r="R394" s="28">
        <v>0.87806366640143096</v>
      </c>
      <c r="S394" s="28">
        <v>0.36291500693187118</v>
      </c>
      <c r="T394" s="28">
        <v>0.40108881425112486</v>
      </c>
      <c r="U394" s="28">
        <v>0.18278164672665298</v>
      </c>
      <c r="V394" s="28">
        <v>0.22730131447315216</v>
      </c>
      <c r="W394" s="28">
        <v>0.72536139283329248</v>
      </c>
      <c r="X394" s="28">
        <v>0.45546070020645857</v>
      </c>
    </row>
    <row r="395" spans="1:24" ht="13.9">
      <c r="A395" s="1">
        <v>394</v>
      </c>
      <c r="B395" s="23" t="e">
        <f ca="1">_xludf.BETA.INV(R395,'04_PSA_INPUTS'!H5,'04_PSA_INPUTS'!I5)</f>
        <v>#NAME?</v>
      </c>
      <c r="C395" s="23" t="e">
        <f ca="1">_xludf.BETA.INV(S395,'04_PSA_INPUTS'!H6,'04_PSA_INPUTS'!I6)</f>
        <v>#NAME?</v>
      </c>
      <c r="D395" s="27" t="e">
        <f ca="1">_xludf.GAMMA.INV(T395,'04_PSA_INPUTS'!H7,'04_PSA_INPUTS'!I7)</f>
        <v>#NAME?</v>
      </c>
      <c r="E395" s="27" t="e">
        <f ca="1">_xludf.GAMMA.INV(U395,'04_PSA_INPUTS'!H8,'04_PSA_INPUTS'!I8)</f>
        <v>#NAME?</v>
      </c>
      <c r="F395" s="27" t="e">
        <f ca="1">_xludf.GAMMA.INV(V395,'04_PSA_INPUTS'!H9,'04_PSA_INPUTS'!I9)</f>
        <v>#NAME?</v>
      </c>
      <c r="G395" s="23" t="e">
        <f ca="1">_xludf.BETA.INV(W395,'04_PSA_INPUTS'!H10,'04_PSA_INPUTS'!I10)</f>
        <v>#NAME?</v>
      </c>
      <c r="H395" s="23" t="e">
        <f ca="1">_xludf.BETA.INV(X395,'04_PSA_INPUTS'!H11,'04_PSA_INPUTS'!I11)</f>
        <v>#NAME?</v>
      </c>
      <c r="I395" s="27" t="e">
        <f ca="1">D395+B395*F395+'01_INPUTS'!B20</f>
        <v>#NAME?</v>
      </c>
      <c r="J395" s="27" t="e">
        <f ca="1">E395+C395*F395+'01_INPUTS'!B21</f>
        <v>#NAME?</v>
      </c>
      <c r="K395" s="27" t="e">
        <f t="shared" ca="1" si="36"/>
        <v>#NAME?</v>
      </c>
      <c r="L395" s="23" t="e">
        <f t="shared" ca="1" si="37"/>
        <v>#NAME?</v>
      </c>
      <c r="M395" s="23" t="e">
        <f t="shared" ca="1" si="38"/>
        <v>#NAME?</v>
      </c>
      <c r="N395" s="23" t="e">
        <f t="shared" ca="1" si="39"/>
        <v>#NAME?</v>
      </c>
      <c r="O395" s="27" t="e">
        <f t="shared" ca="1" si="40"/>
        <v>#NAME?</v>
      </c>
      <c r="P395" s="27" t="e">
        <f ca="1">'01_INPUTS'!B9*N395-K395</f>
        <v>#NAME?</v>
      </c>
      <c r="Q395" s="1" t="e">
        <f t="shared" ca="1" si="41"/>
        <v>#NAME?</v>
      </c>
      <c r="R395" s="28">
        <v>0.25864412565715611</v>
      </c>
      <c r="S395" s="28">
        <v>0.71432006498798728</v>
      </c>
      <c r="T395" s="28">
        <v>0.16450271219946444</v>
      </c>
      <c r="U395" s="28">
        <v>0.92491242405958474</v>
      </c>
      <c r="V395" s="28">
        <v>0.68524788971990347</v>
      </c>
      <c r="W395" s="28">
        <v>0.26119147660210729</v>
      </c>
      <c r="X395" s="28">
        <v>0.23382465401664376</v>
      </c>
    </row>
    <row r="396" spans="1:24" ht="13.9">
      <c r="A396" s="1">
        <v>395</v>
      </c>
      <c r="B396" s="23" t="e">
        <f ca="1">_xludf.BETA.INV(R396,'04_PSA_INPUTS'!H5,'04_PSA_INPUTS'!I5)</f>
        <v>#NAME?</v>
      </c>
      <c r="C396" s="23" t="e">
        <f ca="1">_xludf.BETA.INV(S396,'04_PSA_INPUTS'!H6,'04_PSA_INPUTS'!I6)</f>
        <v>#NAME?</v>
      </c>
      <c r="D396" s="27" t="e">
        <f ca="1">_xludf.GAMMA.INV(T396,'04_PSA_INPUTS'!H7,'04_PSA_INPUTS'!I7)</f>
        <v>#NAME?</v>
      </c>
      <c r="E396" s="27" t="e">
        <f ca="1">_xludf.GAMMA.INV(U396,'04_PSA_INPUTS'!H8,'04_PSA_INPUTS'!I8)</f>
        <v>#NAME?</v>
      </c>
      <c r="F396" s="27" t="e">
        <f ca="1">_xludf.GAMMA.INV(V396,'04_PSA_INPUTS'!H9,'04_PSA_INPUTS'!I9)</f>
        <v>#NAME?</v>
      </c>
      <c r="G396" s="23" t="e">
        <f ca="1">_xludf.BETA.INV(W396,'04_PSA_INPUTS'!H10,'04_PSA_INPUTS'!I10)</f>
        <v>#NAME?</v>
      </c>
      <c r="H396" s="23" t="e">
        <f ca="1">_xludf.BETA.INV(X396,'04_PSA_INPUTS'!H11,'04_PSA_INPUTS'!I11)</f>
        <v>#NAME?</v>
      </c>
      <c r="I396" s="27" t="e">
        <f ca="1">D396+B396*F396+'01_INPUTS'!B20</f>
        <v>#NAME?</v>
      </c>
      <c r="J396" s="27" t="e">
        <f ca="1">E396+C396*F396+'01_INPUTS'!B21</f>
        <v>#NAME?</v>
      </c>
      <c r="K396" s="27" t="e">
        <f t="shared" ca="1" si="36"/>
        <v>#NAME?</v>
      </c>
      <c r="L396" s="23" t="e">
        <f t="shared" ca="1" si="37"/>
        <v>#NAME?</v>
      </c>
      <c r="M396" s="23" t="e">
        <f t="shared" ca="1" si="38"/>
        <v>#NAME?</v>
      </c>
      <c r="N396" s="23" t="e">
        <f t="shared" ca="1" si="39"/>
        <v>#NAME?</v>
      </c>
      <c r="O396" s="27" t="e">
        <f t="shared" ca="1" si="40"/>
        <v>#NAME?</v>
      </c>
      <c r="P396" s="27" t="e">
        <f ca="1">'01_INPUTS'!B9*N396-K396</f>
        <v>#NAME?</v>
      </c>
      <c r="Q396" s="1" t="e">
        <f t="shared" ca="1" si="41"/>
        <v>#NAME?</v>
      </c>
      <c r="R396" s="28">
        <v>2.0912354812026024E-2</v>
      </c>
      <c r="S396" s="28">
        <v>0.99436916620470583</v>
      </c>
      <c r="T396" s="28">
        <v>4.1530118323862553E-3</v>
      </c>
      <c r="U396" s="28">
        <v>0.57730472041293979</v>
      </c>
      <c r="V396" s="28">
        <v>0.67277258448302746</v>
      </c>
      <c r="W396" s="28">
        <v>0.95980777801014483</v>
      </c>
      <c r="X396" s="28">
        <v>0.31267535104416311</v>
      </c>
    </row>
    <row r="397" spans="1:24" ht="13.9">
      <c r="A397" s="1">
        <v>396</v>
      </c>
      <c r="B397" s="23" t="e">
        <f ca="1">_xludf.BETA.INV(R397,'04_PSA_INPUTS'!H5,'04_PSA_INPUTS'!I5)</f>
        <v>#NAME?</v>
      </c>
      <c r="C397" s="23" t="e">
        <f ca="1">_xludf.BETA.INV(S397,'04_PSA_INPUTS'!H6,'04_PSA_INPUTS'!I6)</f>
        <v>#NAME?</v>
      </c>
      <c r="D397" s="27" t="e">
        <f ca="1">_xludf.GAMMA.INV(T397,'04_PSA_INPUTS'!H7,'04_PSA_INPUTS'!I7)</f>
        <v>#NAME?</v>
      </c>
      <c r="E397" s="27" t="e">
        <f ca="1">_xludf.GAMMA.INV(U397,'04_PSA_INPUTS'!H8,'04_PSA_INPUTS'!I8)</f>
        <v>#NAME?</v>
      </c>
      <c r="F397" s="27" t="e">
        <f ca="1">_xludf.GAMMA.INV(V397,'04_PSA_INPUTS'!H9,'04_PSA_INPUTS'!I9)</f>
        <v>#NAME?</v>
      </c>
      <c r="G397" s="23" t="e">
        <f ca="1">_xludf.BETA.INV(W397,'04_PSA_INPUTS'!H10,'04_PSA_INPUTS'!I10)</f>
        <v>#NAME?</v>
      </c>
      <c r="H397" s="23" t="e">
        <f ca="1">_xludf.BETA.INV(X397,'04_PSA_INPUTS'!H11,'04_PSA_INPUTS'!I11)</f>
        <v>#NAME?</v>
      </c>
      <c r="I397" s="27" t="e">
        <f ca="1">D397+B397*F397+'01_INPUTS'!B20</f>
        <v>#NAME?</v>
      </c>
      <c r="J397" s="27" t="e">
        <f ca="1">E397+C397*F397+'01_INPUTS'!B21</f>
        <v>#NAME?</v>
      </c>
      <c r="K397" s="27" t="e">
        <f t="shared" ca="1" si="36"/>
        <v>#NAME?</v>
      </c>
      <c r="L397" s="23" t="e">
        <f t="shared" ca="1" si="37"/>
        <v>#NAME?</v>
      </c>
      <c r="M397" s="23" t="e">
        <f t="shared" ca="1" si="38"/>
        <v>#NAME?</v>
      </c>
      <c r="N397" s="23" t="e">
        <f t="shared" ca="1" si="39"/>
        <v>#NAME?</v>
      </c>
      <c r="O397" s="27" t="e">
        <f t="shared" ca="1" si="40"/>
        <v>#NAME?</v>
      </c>
      <c r="P397" s="27" t="e">
        <f ca="1">'01_INPUTS'!B9*N397-K397</f>
        <v>#NAME?</v>
      </c>
      <c r="Q397" s="1" t="e">
        <f t="shared" ca="1" si="41"/>
        <v>#NAME?</v>
      </c>
      <c r="R397" s="28">
        <v>0.12301903055049479</v>
      </c>
      <c r="S397" s="28">
        <v>0.67046661535277963</v>
      </c>
      <c r="T397" s="28">
        <v>0.98094068188220263</v>
      </c>
      <c r="U397" s="28">
        <v>0.31217111926525831</v>
      </c>
      <c r="V397" s="28">
        <v>0.77877607778646052</v>
      </c>
      <c r="W397" s="28">
        <v>8.6420038947835565E-2</v>
      </c>
      <c r="X397" s="28">
        <v>0.81073262612335384</v>
      </c>
    </row>
    <row r="398" spans="1:24" ht="13.9">
      <c r="A398" s="1">
        <v>397</v>
      </c>
      <c r="B398" s="23" t="e">
        <f ca="1">_xludf.BETA.INV(R398,'04_PSA_INPUTS'!H5,'04_PSA_INPUTS'!I5)</f>
        <v>#NAME?</v>
      </c>
      <c r="C398" s="23" t="e">
        <f ca="1">_xludf.BETA.INV(S398,'04_PSA_INPUTS'!H6,'04_PSA_INPUTS'!I6)</f>
        <v>#NAME?</v>
      </c>
      <c r="D398" s="27" t="e">
        <f ca="1">_xludf.GAMMA.INV(T398,'04_PSA_INPUTS'!H7,'04_PSA_INPUTS'!I7)</f>
        <v>#NAME?</v>
      </c>
      <c r="E398" s="27" t="e">
        <f ca="1">_xludf.GAMMA.INV(U398,'04_PSA_INPUTS'!H8,'04_PSA_INPUTS'!I8)</f>
        <v>#NAME?</v>
      </c>
      <c r="F398" s="27" t="e">
        <f ca="1">_xludf.GAMMA.INV(V398,'04_PSA_INPUTS'!H9,'04_PSA_INPUTS'!I9)</f>
        <v>#NAME?</v>
      </c>
      <c r="G398" s="23" t="e">
        <f ca="1">_xludf.BETA.INV(W398,'04_PSA_INPUTS'!H10,'04_PSA_INPUTS'!I10)</f>
        <v>#NAME?</v>
      </c>
      <c r="H398" s="23" t="e">
        <f ca="1">_xludf.BETA.INV(X398,'04_PSA_INPUTS'!H11,'04_PSA_INPUTS'!I11)</f>
        <v>#NAME?</v>
      </c>
      <c r="I398" s="27" t="e">
        <f ca="1">D398+B398*F398+'01_INPUTS'!B20</f>
        <v>#NAME?</v>
      </c>
      <c r="J398" s="27" t="e">
        <f ca="1">E398+C398*F398+'01_INPUTS'!B21</f>
        <v>#NAME?</v>
      </c>
      <c r="K398" s="27" t="e">
        <f t="shared" ca="1" si="36"/>
        <v>#NAME?</v>
      </c>
      <c r="L398" s="23" t="e">
        <f t="shared" ca="1" si="37"/>
        <v>#NAME?</v>
      </c>
      <c r="M398" s="23" t="e">
        <f t="shared" ca="1" si="38"/>
        <v>#NAME?</v>
      </c>
      <c r="N398" s="23" t="e">
        <f t="shared" ca="1" si="39"/>
        <v>#NAME?</v>
      </c>
      <c r="O398" s="27" t="e">
        <f t="shared" ca="1" si="40"/>
        <v>#NAME?</v>
      </c>
      <c r="P398" s="27" t="e">
        <f ca="1">'01_INPUTS'!B9*N398-K398</f>
        <v>#NAME?</v>
      </c>
      <c r="Q398" s="1" t="e">
        <f t="shared" ca="1" si="41"/>
        <v>#NAME?</v>
      </c>
      <c r="R398" s="28">
        <v>0.92937406711280346</v>
      </c>
      <c r="S398" s="28">
        <v>0.274430948542431</v>
      </c>
      <c r="T398" s="28">
        <v>0.66602956736460328</v>
      </c>
      <c r="U398" s="28">
        <v>0.92212245729751885</v>
      </c>
      <c r="V398" s="28">
        <v>8.3919016644358635E-2</v>
      </c>
      <c r="W398" s="28">
        <v>0.84180734399706125</v>
      </c>
      <c r="X398" s="28">
        <v>0.19602379063144326</v>
      </c>
    </row>
    <row r="399" spans="1:24" ht="13.9">
      <c r="A399" s="1">
        <v>398</v>
      </c>
      <c r="B399" s="23" t="e">
        <f ca="1">_xludf.BETA.INV(R399,'04_PSA_INPUTS'!H5,'04_PSA_INPUTS'!I5)</f>
        <v>#NAME?</v>
      </c>
      <c r="C399" s="23" t="e">
        <f ca="1">_xludf.BETA.INV(S399,'04_PSA_INPUTS'!H6,'04_PSA_INPUTS'!I6)</f>
        <v>#NAME?</v>
      </c>
      <c r="D399" s="27" t="e">
        <f ca="1">_xludf.GAMMA.INV(T399,'04_PSA_INPUTS'!H7,'04_PSA_INPUTS'!I7)</f>
        <v>#NAME?</v>
      </c>
      <c r="E399" s="27" t="e">
        <f ca="1">_xludf.GAMMA.INV(U399,'04_PSA_INPUTS'!H8,'04_PSA_INPUTS'!I8)</f>
        <v>#NAME?</v>
      </c>
      <c r="F399" s="27" t="e">
        <f ca="1">_xludf.GAMMA.INV(V399,'04_PSA_INPUTS'!H9,'04_PSA_INPUTS'!I9)</f>
        <v>#NAME?</v>
      </c>
      <c r="G399" s="23" t="e">
        <f ca="1">_xludf.BETA.INV(W399,'04_PSA_INPUTS'!H10,'04_PSA_INPUTS'!I10)</f>
        <v>#NAME?</v>
      </c>
      <c r="H399" s="23" t="e">
        <f ca="1">_xludf.BETA.INV(X399,'04_PSA_INPUTS'!H11,'04_PSA_INPUTS'!I11)</f>
        <v>#NAME?</v>
      </c>
      <c r="I399" s="27" t="e">
        <f ca="1">D399+B399*F399+'01_INPUTS'!B20</f>
        <v>#NAME?</v>
      </c>
      <c r="J399" s="27" t="e">
        <f ca="1">E399+C399*F399+'01_INPUTS'!B21</f>
        <v>#NAME?</v>
      </c>
      <c r="K399" s="27" t="e">
        <f t="shared" ca="1" si="36"/>
        <v>#NAME?</v>
      </c>
      <c r="L399" s="23" t="e">
        <f t="shared" ca="1" si="37"/>
        <v>#NAME?</v>
      </c>
      <c r="M399" s="23" t="e">
        <f t="shared" ca="1" si="38"/>
        <v>#NAME?</v>
      </c>
      <c r="N399" s="23" t="e">
        <f t="shared" ca="1" si="39"/>
        <v>#NAME?</v>
      </c>
      <c r="O399" s="27" t="e">
        <f t="shared" ca="1" si="40"/>
        <v>#NAME?</v>
      </c>
      <c r="P399" s="27" t="e">
        <f ca="1">'01_INPUTS'!B9*N399-K399</f>
        <v>#NAME?</v>
      </c>
      <c r="Q399" s="1" t="e">
        <f t="shared" ca="1" si="41"/>
        <v>#NAME?</v>
      </c>
      <c r="R399" s="28">
        <v>0.1824459710624069</v>
      </c>
      <c r="S399" s="28">
        <v>0.19607449718751013</v>
      </c>
      <c r="T399" s="28">
        <v>0.39201367413625121</v>
      </c>
      <c r="U399" s="28">
        <v>0.82246110239066184</v>
      </c>
      <c r="V399" s="28">
        <v>8.6006117751821876E-2</v>
      </c>
      <c r="W399" s="28">
        <v>0.25890413857996464</v>
      </c>
      <c r="X399" s="28">
        <v>0.24412466445937753</v>
      </c>
    </row>
    <row r="400" spans="1:24" ht="13.9">
      <c r="A400" s="1">
        <v>399</v>
      </c>
      <c r="B400" s="23" t="e">
        <f ca="1">_xludf.BETA.INV(R400,'04_PSA_INPUTS'!H5,'04_PSA_INPUTS'!I5)</f>
        <v>#NAME?</v>
      </c>
      <c r="C400" s="23" t="e">
        <f ca="1">_xludf.BETA.INV(S400,'04_PSA_INPUTS'!H6,'04_PSA_INPUTS'!I6)</f>
        <v>#NAME?</v>
      </c>
      <c r="D400" s="27" t="e">
        <f ca="1">_xludf.GAMMA.INV(T400,'04_PSA_INPUTS'!H7,'04_PSA_INPUTS'!I7)</f>
        <v>#NAME?</v>
      </c>
      <c r="E400" s="27" t="e">
        <f ca="1">_xludf.GAMMA.INV(U400,'04_PSA_INPUTS'!H8,'04_PSA_INPUTS'!I8)</f>
        <v>#NAME?</v>
      </c>
      <c r="F400" s="27" t="e">
        <f ca="1">_xludf.GAMMA.INV(V400,'04_PSA_INPUTS'!H9,'04_PSA_INPUTS'!I9)</f>
        <v>#NAME?</v>
      </c>
      <c r="G400" s="23" t="e">
        <f ca="1">_xludf.BETA.INV(W400,'04_PSA_INPUTS'!H10,'04_PSA_INPUTS'!I10)</f>
        <v>#NAME?</v>
      </c>
      <c r="H400" s="23" t="e">
        <f ca="1">_xludf.BETA.INV(X400,'04_PSA_INPUTS'!H11,'04_PSA_INPUTS'!I11)</f>
        <v>#NAME?</v>
      </c>
      <c r="I400" s="27" t="e">
        <f ca="1">D400+B400*F400+'01_INPUTS'!B20</f>
        <v>#NAME?</v>
      </c>
      <c r="J400" s="27" t="e">
        <f ca="1">E400+C400*F400+'01_INPUTS'!B21</f>
        <v>#NAME?</v>
      </c>
      <c r="K400" s="27" t="e">
        <f t="shared" ca="1" si="36"/>
        <v>#NAME?</v>
      </c>
      <c r="L400" s="23" t="e">
        <f t="shared" ca="1" si="37"/>
        <v>#NAME?</v>
      </c>
      <c r="M400" s="23" t="e">
        <f t="shared" ca="1" si="38"/>
        <v>#NAME?</v>
      </c>
      <c r="N400" s="23" t="e">
        <f t="shared" ca="1" si="39"/>
        <v>#NAME?</v>
      </c>
      <c r="O400" s="27" t="e">
        <f t="shared" ca="1" si="40"/>
        <v>#NAME?</v>
      </c>
      <c r="P400" s="27" t="e">
        <f ca="1">'01_INPUTS'!B9*N400-K400</f>
        <v>#NAME?</v>
      </c>
      <c r="Q400" s="1" t="e">
        <f t="shared" ca="1" si="41"/>
        <v>#NAME?</v>
      </c>
      <c r="R400" s="28">
        <v>0.30487020360305905</v>
      </c>
      <c r="S400" s="28">
        <v>0.31855326308868825</v>
      </c>
      <c r="T400" s="28">
        <v>0.40664514829404652</v>
      </c>
      <c r="U400" s="28">
        <v>0.63773344084620476</v>
      </c>
      <c r="V400" s="28">
        <v>0.36086928099393845</v>
      </c>
      <c r="W400" s="28">
        <v>0.19018631242215633</v>
      </c>
      <c r="X400" s="28">
        <v>0.34446162427775562</v>
      </c>
    </row>
    <row r="401" spans="1:24" ht="13.9">
      <c r="A401" s="1">
        <v>400</v>
      </c>
      <c r="B401" s="23" t="e">
        <f ca="1">_xludf.BETA.INV(R401,'04_PSA_INPUTS'!H5,'04_PSA_INPUTS'!I5)</f>
        <v>#NAME?</v>
      </c>
      <c r="C401" s="23" t="e">
        <f ca="1">_xludf.BETA.INV(S401,'04_PSA_INPUTS'!H6,'04_PSA_INPUTS'!I6)</f>
        <v>#NAME?</v>
      </c>
      <c r="D401" s="27" t="e">
        <f ca="1">_xludf.GAMMA.INV(T401,'04_PSA_INPUTS'!H7,'04_PSA_INPUTS'!I7)</f>
        <v>#NAME?</v>
      </c>
      <c r="E401" s="27" t="e">
        <f ca="1">_xludf.GAMMA.INV(U401,'04_PSA_INPUTS'!H8,'04_PSA_INPUTS'!I8)</f>
        <v>#NAME?</v>
      </c>
      <c r="F401" s="27" t="e">
        <f ca="1">_xludf.GAMMA.INV(V401,'04_PSA_INPUTS'!H9,'04_PSA_INPUTS'!I9)</f>
        <v>#NAME?</v>
      </c>
      <c r="G401" s="23" t="e">
        <f ca="1">_xludf.BETA.INV(W401,'04_PSA_INPUTS'!H10,'04_PSA_INPUTS'!I10)</f>
        <v>#NAME?</v>
      </c>
      <c r="H401" s="23" t="e">
        <f ca="1">_xludf.BETA.INV(X401,'04_PSA_INPUTS'!H11,'04_PSA_INPUTS'!I11)</f>
        <v>#NAME?</v>
      </c>
      <c r="I401" s="27" t="e">
        <f ca="1">D401+B401*F401+'01_INPUTS'!B20</f>
        <v>#NAME?</v>
      </c>
      <c r="J401" s="27" t="e">
        <f ca="1">E401+C401*F401+'01_INPUTS'!B21</f>
        <v>#NAME?</v>
      </c>
      <c r="K401" s="27" t="e">
        <f t="shared" ca="1" si="36"/>
        <v>#NAME?</v>
      </c>
      <c r="L401" s="23" t="e">
        <f t="shared" ca="1" si="37"/>
        <v>#NAME?</v>
      </c>
      <c r="M401" s="23" t="e">
        <f t="shared" ca="1" si="38"/>
        <v>#NAME?</v>
      </c>
      <c r="N401" s="23" t="e">
        <f t="shared" ca="1" si="39"/>
        <v>#NAME?</v>
      </c>
      <c r="O401" s="27" t="e">
        <f t="shared" ca="1" si="40"/>
        <v>#NAME?</v>
      </c>
      <c r="P401" s="27" t="e">
        <f ca="1">'01_INPUTS'!B9*N401-K401</f>
        <v>#NAME?</v>
      </c>
      <c r="Q401" s="1" t="e">
        <f t="shared" ca="1" si="41"/>
        <v>#NAME?</v>
      </c>
      <c r="R401" s="28">
        <v>0.83111802092753351</v>
      </c>
      <c r="S401" s="28">
        <v>0.61753998720087111</v>
      </c>
      <c r="T401" s="28">
        <v>0.28075887844897807</v>
      </c>
      <c r="U401" s="28">
        <v>0.6223728135228157</v>
      </c>
      <c r="V401" s="28">
        <v>0.2782740113325417</v>
      </c>
      <c r="W401" s="28">
        <v>2.7400193503126502E-2</v>
      </c>
      <c r="X401" s="28">
        <v>2.1975002950057387E-2</v>
      </c>
    </row>
    <row r="402" spans="1:24" ht="13.9">
      <c r="A402" s="1">
        <v>401</v>
      </c>
      <c r="B402" s="23" t="e">
        <f ca="1">_xludf.BETA.INV(R402,'04_PSA_INPUTS'!H5,'04_PSA_INPUTS'!I5)</f>
        <v>#NAME?</v>
      </c>
      <c r="C402" s="23" t="e">
        <f ca="1">_xludf.BETA.INV(S402,'04_PSA_INPUTS'!H6,'04_PSA_INPUTS'!I6)</f>
        <v>#NAME?</v>
      </c>
      <c r="D402" s="27" t="e">
        <f ca="1">_xludf.GAMMA.INV(T402,'04_PSA_INPUTS'!H7,'04_PSA_INPUTS'!I7)</f>
        <v>#NAME?</v>
      </c>
      <c r="E402" s="27" t="e">
        <f ca="1">_xludf.GAMMA.INV(U402,'04_PSA_INPUTS'!H8,'04_PSA_INPUTS'!I8)</f>
        <v>#NAME?</v>
      </c>
      <c r="F402" s="27" t="e">
        <f ca="1">_xludf.GAMMA.INV(V402,'04_PSA_INPUTS'!H9,'04_PSA_INPUTS'!I9)</f>
        <v>#NAME?</v>
      </c>
      <c r="G402" s="23" t="e">
        <f ca="1">_xludf.BETA.INV(W402,'04_PSA_INPUTS'!H10,'04_PSA_INPUTS'!I10)</f>
        <v>#NAME?</v>
      </c>
      <c r="H402" s="23" t="e">
        <f ca="1">_xludf.BETA.INV(X402,'04_PSA_INPUTS'!H11,'04_PSA_INPUTS'!I11)</f>
        <v>#NAME?</v>
      </c>
      <c r="I402" s="27" t="e">
        <f ca="1">D402+B402*F402+'01_INPUTS'!B20</f>
        <v>#NAME?</v>
      </c>
      <c r="J402" s="27" t="e">
        <f ca="1">E402+C402*F402+'01_INPUTS'!B21</f>
        <v>#NAME?</v>
      </c>
      <c r="K402" s="27" t="e">
        <f t="shared" ca="1" si="36"/>
        <v>#NAME?</v>
      </c>
      <c r="L402" s="23" t="e">
        <f t="shared" ca="1" si="37"/>
        <v>#NAME?</v>
      </c>
      <c r="M402" s="23" t="e">
        <f t="shared" ca="1" si="38"/>
        <v>#NAME?</v>
      </c>
      <c r="N402" s="23" t="e">
        <f t="shared" ca="1" si="39"/>
        <v>#NAME?</v>
      </c>
      <c r="O402" s="27" t="e">
        <f t="shared" ca="1" si="40"/>
        <v>#NAME?</v>
      </c>
      <c r="P402" s="27" t="e">
        <f ca="1">'01_INPUTS'!B9*N402-K402</f>
        <v>#NAME?</v>
      </c>
      <c r="Q402" s="1" t="e">
        <f t="shared" ca="1" si="41"/>
        <v>#NAME?</v>
      </c>
      <c r="R402" s="28">
        <v>0.92725752131082118</v>
      </c>
      <c r="S402" s="28">
        <v>0.2292466638609767</v>
      </c>
      <c r="T402" s="28">
        <v>0.84687024285085499</v>
      </c>
      <c r="U402" s="28">
        <v>0.5115436464548111</v>
      </c>
      <c r="V402" s="28">
        <v>0.71555851143784821</v>
      </c>
      <c r="W402" s="28">
        <v>0.43979524471797049</v>
      </c>
      <c r="X402" s="28">
        <v>0.59885501000098884</v>
      </c>
    </row>
    <row r="403" spans="1:24" ht="13.9">
      <c r="A403" s="1">
        <v>402</v>
      </c>
      <c r="B403" s="23" t="e">
        <f ca="1">_xludf.BETA.INV(R403,'04_PSA_INPUTS'!H5,'04_PSA_INPUTS'!I5)</f>
        <v>#NAME?</v>
      </c>
      <c r="C403" s="23" t="e">
        <f ca="1">_xludf.BETA.INV(S403,'04_PSA_INPUTS'!H6,'04_PSA_INPUTS'!I6)</f>
        <v>#NAME?</v>
      </c>
      <c r="D403" s="27" t="e">
        <f ca="1">_xludf.GAMMA.INV(T403,'04_PSA_INPUTS'!H7,'04_PSA_INPUTS'!I7)</f>
        <v>#NAME?</v>
      </c>
      <c r="E403" s="27" t="e">
        <f ca="1">_xludf.GAMMA.INV(U403,'04_PSA_INPUTS'!H8,'04_PSA_INPUTS'!I8)</f>
        <v>#NAME?</v>
      </c>
      <c r="F403" s="27" t="e">
        <f ca="1">_xludf.GAMMA.INV(V403,'04_PSA_INPUTS'!H9,'04_PSA_INPUTS'!I9)</f>
        <v>#NAME?</v>
      </c>
      <c r="G403" s="23" t="e">
        <f ca="1">_xludf.BETA.INV(W403,'04_PSA_INPUTS'!H10,'04_PSA_INPUTS'!I10)</f>
        <v>#NAME?</v>
      </c>
      <c r="H403" s="23" t="e">
        <f ca="1">_xludf.BETA.INV(X403,'04_PSA_INPUTS'!H11,'04_PSA_INPUTS'!I11)</f>
        <v>#NAME?</v>
      </c>
      <c r="I403" s="27" t="e">
        <f ca="1">D403+B403*F403+'01_INPUTS'!B20</f>
        <v>#NAME?</v>
      </c>
      <c r="J403" s="27" t="e">
        <f ca="1">E403+C403*F403+'01_INPUTS'!B21</f>
        <v>#NAME?</v>
      </c>
      <c r="K403" s="27" t="e">
        <f t="shared" ca="1" si="36"/>
        <v>#NAME?</v>
      </c>
      <c r="L403" s="23" t="e">
        <f t="shared" ca="1" si="37"/>
        <v>#NAME?</v>
      </c>
      <c r="M403" s="23" t="e">
        <f t="shared" ca="1" si="38"/>
        <v>#NAME?</v>
      </c>
      <c r="N403" s="23" t="e">
        <f t="shared" ca="1" si="39"/>
        <v>#NAME?</v>
      </c>
      <c r="O403" s="27" t="e">
        <f t="shared" ca="1" si="40"/>
        <v>#NAME?</v>
      </c>
      <c r="P403" s="27" t="e">
        <f ca="1">'01_INPUTS'!B9*N403-K403</f>
        <v>#NAME?</v>
      </c>
      <c r="Q403" s="1" t="e">
        <f t="shared" ca="1" si="41"/>
        <v>#NAME?</v>
      </c>
      <c r="R403" s="28">
        <v>7.6772220199927688E-2</v>
      </c>
      <c r="S403" s="28">
        <v>0.74451747490093112</v>
      </c>
      <c r="T403" s="28">
        <v>0.71783307287842035</v>
      </c>
      <c r="U403" s="28">
        <v>0.46312477043829858</v>
      </c>
      <c r="V403" s="28">
        <v>0.63636127207428217</v>
      </c>
      <c r="W403" s="28">
        <v>0.48050722107291222</v>
      </c>
      <c r="X403" s="28">
        <v>0.50958969234488904</v>
      </c>
    </row>
    <row r="404" spans="1:24" ht="13.9">
      <c r="A404" s="1">
        <v>403</v>
      </c>
      <c r="B404" s="23" t="e">
        <f ca="1">_xludf.BETA.INV(R404,'04_PSA_INPUTS'!H5,'04_PSA_INPUTS'!I5)</f>
        <v>#NAME?</v>
      </c>
      <c r="C404" s="23" t="e">
        <f ca="1">_xludf.BETA.INV(S404,'04_PSA_INPUTS'!H6,'04_PSA_INPUTS'!I6)</f>
        <v>#NAME?</v>
      </c>
      <c r="D404" s="27" t="e">
        <f ca="1">_xludf.GAMMA.INV(T404,'04_PSA_INPUTS'!H7,'04_PSA_INPUTS'!I7)</f>
        <v>#NAME?</v>
      </c>
      <c r="E404" s="27" t="e">
        <f ca="1">_xludf.GAMMA.INV(U404,'04_PSA_INPUTS'!H8,'04_PSA_INPUTS'!I8)</f>
        <v>#NAME?</v>
      </c>
      <c r="F404" s="27" t="e">
        <f ca="1">_xludf.GAMMA.INV(V404,'04_PSA_INPUTS'!H9,'04_PSA_INPUTS'!I9)</f>
        <v>#NAME?</v>
      </c>
      <c r="G404" s="23" t="e">
        <f ca="1">_xludf.BETA.INV(W404,'04_PSA_INPUTS'!H10,'04_PSA_INPUTS'!I10)</f>
        <v>#NAME?</v>
      </c>
      <c r="H404" s="23" t="e">
        <f ca="1">_xludf.BETA.INV(X404,'04_PSA_INPUTS'!H11,'04_PSA_INPUTS'!I11)</f>
        <v>#NAME?</v>
      </c>
      <c r="I404" s="27" t="e">
        <f ca="1">D404+B404*F404+'01_INPUTS'!B20</f>
        <v>#NAME?</v>
      </c>
      <c r="J404" s="27" t="e">
        <f ca="1">E404+C404*F404+'01_INPUTS'!B21</f>
        <v>#NAME?</v>
      </c>
      <c r="K404" s="27" t="e">
        <f t="shared" ca="1" si="36"/>
        <v>#NAME?</v>
      </c>
      <c r="L404" s="23" t="e">
        <f t="shared" ca="1" si="37"/>
        <v>#NAME?</v>
      </c>
      <c r="M404" s="23" t="e">
        <f t="shared" ca="1" si="38"/>
        <v>#NAME?</v>
      </c>
      <c r="N404" s="23" t="e">
        <f t="shared" ca="1" si="39"/>
        <v>#NAME?</v>
      </c>
      <c r="O404" s="27" t="e">
        <f t="shared" ca="1" si="40"/>
        <v>#NAME?</v>
      </c>
      <c r="P404" s="27" t="e">
        <f ca="1">'01_INPUTS'!B9*N404-K404</f>
        <v>#NAME?</v>
      </c>
      <c r="Q404" s="1" t="e">
        <f t="shared" ca="1" si="41"/>
        <v>#NAME?</v>
      </c>
      <c r="R404" s="28">
        <v>0.42977722198702395</v>
      </c>
      <c r="S404" s="28">
        <v>0.57996470294892788</v>
      </c>
      <c r="T404" s="28">
        <v>0.77610475686378777</v>
      </c>
      <c r="U404" s="28">
        <v>0.89953446947038174</v>
      </c>
      <c r="V404" s="28">
        <v>0.77218730049207807</v>
      </c>
      <c r="W404" s="28">
        <v>0.73698688554577529</v>
      </c>
      <c r="X404" s="28">
        <v>0.55517092323862016</v>
      </c>
    </row>
    <row r="405" spans="1:24" ht="13.9">
      <c r="A405" s="1">
        <v>404</v>
      </c>
      <c r="B405" s="23" t="e">
        <f ca="1">_xludf.BETA.INV(R405,'04_PSA_INPUTS'!H5,'04_PSA_INPUTS'!I5)</f>
        <v>#NAME?</v>
      </c>
      <c r="C405" s="23" t="e">
        <f ca="1">_xludf.BETA.INV(S405,'04_PSA_INPUTS'!H6,'04_PSA_INPUTS'!I6)</f>
        <v>#NAME?</v>
      </c>
      <c r="D405" s="27" t="e">
        <f ca="1">_xludf.GAMMA.INV(T405,'04_PSA_INPUTS'!H7,'04_PSA_INPUTS'!I7)</f>
        <v>#NAME?</v>
      </c>
      <c r="E405" s="27" t="e">
        <f ca="1">_xludf.GAMMA.INV(U405,'04_PSA_INPUTS'!H8,'04_PSA_INPUTS'!I8)</f>
        <v>#NAME?</v>
      </c>
      <c r="F405" s="27" t="e">
        <f ca="1">_xludf.GAMMA.INV(V405,'04_PSA_INPUTS'!H9,'04_PSA_INPUTS'!I9)</f>
        <v>#NAME?</v>
      </c>
      <c r="G405" s="23" t="e">
        <f ca="1">_xludf.BETA.INV(W405,'04_PSA_INPUTS'!H10,'04_PSA_INPUTS'!I10)</f>
        <v>#NAME?</v>
      </c>
      <c r="H405" s="23" t="e">
        <f ca="1">_xludf.BETA.INV(X405,'04_PSA_INPUTS'!H11,'04_PSA_INPUTS'!I11)</f>
        <v>#NAME?</v>
      </c>
      <c r="I405" s="27" t="e">
        <f ca="1">D405+B405*F405+'01_INPUTS'!B20</f>
        <v>#NAME?</v>
      </c>
      <c r="J405" s="27" t="e">
        <f ca="1">E405+C405*F405+'01_INPUTS'!B21</f>
        <v>#NAME?</v>
      </c>
      <c r="K405" s="27" t="e">
        <f t="shared" ca="1" si="36"/>
        <v>#NAME?</v>
      </c>
      <c r="L405" s="23" t="e">
        <f t="shared" ca="1" si="37"/>
        <v>#NAME?</v>
      </c>
      <c r="M405" s="23" t="e">
        <f t="shared" ca="1" si="38"/>
        <v>#NAME?</v>
      </c>
      <c r="N405" s="23" t="e">
        <f t="shared" ca="1" si="39"/>
        <v>#NAME?</v>
      </c>
      <c r="O405" s="27" t="e">
        <f t="shared" ca="1" si="40"/>
        <v>#NAME?</v>
      </c>
      <c r="P405" s="27" t="e">
        <f ca="1">'01_INPUTS'!B9*N405-K405</f>
        <v>#NAME?</v>
      </c>
      <c r="Q405" s="1" t="e">
        <f t="shared" ca="1" si="41"/>
        <v>#NAME?</v>
      </c>
      <c r="R405" s="28">
        <v>0.40614408371038735</v>
      </c>
      <c r="S405" s="28">
        <v>0.21345889917574823</v>
      </c>
      <c r="T405" s="28">
        <v>0.21615562657825649</v>
      </c>
      <c r="U405" s="28">
        <v>0.29656710219569504</v>
      </c>
      <c r="V405" s="28">
        <v>0.30083407857455313</v>
      </c>
      <c r="W405" s="28">
        <v>0.84574838122352958</v>
      </c>
      <c r="X405" s="28">
        <v>0.38613195740617812</v>
      </c>
    </row>
    <row r="406" spans="1:24" ht="13.9">
      <c r="A406" s="1">
        <v>405</v>
      </c>
      <c r="B406" s="23" t="e">
        <f ca="1">_xludf.BETA.INV(R406,'04_PSA_INPUTS'!H5,'04_PSA_INPUTS'!I5)</f>
        <v>#NAME?</v>
      </c>
      <c r="C406" s="23" t="e">
        <f ca="1">_xludf.BETA.INV(S406,'04_PSA_INPUTS'!H6,'04_PSA_INPUTS'!I6)</f>
        <v>#NAME?</v>
      </c>
      <c r="D406" s="27" t="e">
        <f ca="1">_xludf.GAMMA.INV(T406,'04_PSA_INPUTS'!H7,'04_PSA_INPUTS'!I7)</f>
        <v>#NAME?</v>
      </c>
      <c r="E406" s="27" t="e">
        <f ca="1">_xludf.GAMMA.INV(U406,'04_PSA_INPUTS'!H8,'04_PSA_INPUTS'!I8)</f>
        <v>#NAME?</v>
      </c>
      <c r="F406" s="27" t="e">
        <f ca="1">_xludf.GAMMA.INV(V406,'04_PSA_INPUTS'!H9,'04_PSA_INPUTS'!I9)</f>
        <v>#NAME?</v>
      </c>
      <c r="G406" s="23" t="e">
        <f ca="1">_xludf.BETA.INV(W406,'04_PSA_INPUTS'!H10,'04_PSA_INPUTS'!I10)</f>
        <v>#NAME?</v>
      </c>
      <c r="H406" s="23" t="e">
        <f ca="1">_xludf.BETA.INV(X406,'04_PSA_INPUTS'!H11,'04_PSA_INPUTS'!I11)</f>
        <v>#NAME?</v>
      </c>
      <c r="I406" s="27" t="e">
        <f ca="1">D406+B406*F406+'01_INPUTS'!B20</f>
        <v>#NAME?</v>
      </c>
      <c r="J406" s="27" t="e">
        <f ca="1">E406+C406*F406+'01_INPUTS'!B21</f>
        <v>#NAME?</v>
      </c>
      <c r="K406" s="27" t="e">
        <f t="shared" ca="1" si="36"/>
        <v>#NAME?</v>
      </c>
      <c r="L406" s="23" t="e">
        <f t="shared" ca="1" si="37"/>
        <v>#NAME?</v>
      </c>
      <c r="M406" s="23" t="e">
        <f t="shared" ca="1" si="38"/>
        <v>#NAME?</v>
      </c>
      <c r="N406" s="23" t="e">
        <f t="shared" ca="1" si="39"/>
        <v>#NAME?</v>
      </c>
      <c r="O406" s="27" t="e">
        <f t="shared" ca="1" si="40"/>
        <v>#NAME?</v>
      </c>
      <c r="P406" s="27" t="e">
        <f ca="1">'01_INPUTS'!B9*N406-K406</f>
        <v>#NAME?</v>
      </c>
      <c r="Q406" s="1" t="e">
        <f t="shared" ca="1" si="41"/>
        <v>#NAME?</v>
      </c>
      <c r="R406" s="28">
        <v>0.35219311388209462</v>
      </c>
      <c r="S406" s="28">
        <v>0.82856255839578807</v>
      </c>
      <c r="T406" s="28">
        <v>0.30696734576486051</v>
      </c>
      <c r="U406" s="28">
        <v>0.38634393736720085</v>
      </c>
      <c r="V406" s="28">
        <v>0.92209164705127478</v>
      </c>
      <c r="W406" s="28">
        <v>0.8269098938908428</v>
      </c>
      <c r="X406" s="28">
        <v>0.47351913922466338</v>
      </c>
    </row>
    <row r="407" spans="1:24" ht="13.9">
      <c r="A407" s="1">
        <v>406</v>
      </c>
      <c r="B407" s="23" t="e">
        <f ca="1">_xludf.BETA.INV(R407,'04_PSA_INPUTS'!H5,'04_PSA_INPUTS'!I5)</f>
        <v>#NAME?</v>
      </c>
      <c r="C407" s="23" t="e">
        <f ca="1">_xludf.BETA.INV(S407,'04_PSA_INPUTS'!H6,'04_PSA_INPUTS'!I6)</f>
        <v>#NAME?</v>
      </c>
      <c r="D407" s="27" t="e">
        <f ca="1">_xludf.GAMMA.INV(T407,'04_PSA_INPUTS'!H7,'04_PSA_INPUTS'!I7)</f>
        <v>#NAME?</v>
      </c>
      <c r="E407" s="27" t="e">
        <f ca="1">_xludf.GAMMA.INV(U407,'04_PSA_INPUTS'!H8,'04_PSA_INPUTS'!I8)</f>
        <v>#NAME?</v>
      </c>
      <c r="F407" s="27" t="e">
        <f ca="1">_xludf.GAMMA.INV(V407,'04_PSA_INPUTS'!H9,'04_PSA_INPUTS'!I9)</f>
        <v>#NAME?</v>
      </c>
      <c r="G407" s="23" t="e">
        <f ca="1">_xludf.BETA.INV(W407,'04_PSA_INPUTS'!H10,'04_PSA_INPUTS'!I10)</f>
        <v>#NAME?</v>
      </c>
      <c r="H407" s="23" t="e">
        <f ca="1">_xludf.BETA.INV(X407,'04_PSA_INPUTS'!H11,'04_PSA_INPUTS'!I11)</f>
        <v>#NAME?</v>
      </c>
      <c r="I407" s="27" t="e">
        <f ca="1">D407+B407*F407+'01_INPUTS'!B20</f>
        <v>#NAME?</v>
      </c>
      <c r="J407" s="27" t="e">
        <f ca="1">E407+C407*F407+'01_INPUTS'!B21</f>
        <v>#NAME?</v>
      </c>
      <c r="K407" s="27" t="e">
        <f t="shared" ca="1" si="36"/>
        <v>#NAME?</v>
      </c>
      <c r="L407" s="23" t="e">
        <f t="shared" ca="1" si="37"/>
        <v>#NAME?</v>
      </c>
      <c r="M407" s="23" t="e">
        <f t="shared" ca="1" si="38"/>
        <v>#NAME?</v>
      </c>
      <c r="N407" s="23" t="e">
        <f t="shared" ca="1" si="39"/>
        <v>#NAME?</v>
      </c>
      <c r="O407" s="27" t="e">
        <f t="shared" ca="1" si="40"/>
        <v>#NAME?</v>
      </c>
      <c r="P407" s="27" t="e">
        <f ca="1">'01_INPUTS'!B9*N407-K407</f>
        <v>#NAME?</v>
      </c>
      <c r="Q407" s="1" t="e">
        <f t="shared" ca="1" si="41"/>
        <v>#NAME?</v>
      </c>
      <c r="R407" s="28">
        <v>0.9530150645878166</v>
      </c>
      <c r="S407" s="28">
        <v>0.56131868297234178</v>
      </c>
      <c r="T407" s="28">
        <v>1.4685808215290308E-2</v>
      </c>
      <c r="U407" s="28">
        <v>0.13448492623865604</v>
      </c>
      <c r="V407" s="28">
        <v>0.17386058974079788</v>
      </c>
      <c r="W407" s="28">
        <v>0.34120328444987535</v>
      </c>
      <c r="X407" s="28">
        <v>4.0734128560870886E-2</v>
      </c>
    </row>
    <row r="408" spans="1:24" ht="13.9">
      <c r="A408" s="1">
        <v>407</v>
      </c>
      <c r="B408" s="23" t="e">
        <f ca="1">_xludf.BETA.INV(R408,'04_PSA_INPUTS'!H5,'04_PSA_INPUTS'!I5)</f>
        <v>#NAME?</v>
      </c>
      <c r="C408" s="23" t="e">
        <f ca="1">_xludf.BETA.INV(S408,'04_PSA_INPUTS'!H6,'04_PSA_INPUTS'!I6)</f>
        <v>#NAME?</v>
      </c>
      <c r="D408" s="27" t="e">
        <f ca="1">_xludf.GAMMA.INV(T408,'04_PSA_INPUTS'!H7,'04_PSA_INPUTS'!I7)</f>
        <v>#NAME?</v>
      </c>
      <c r="E408" s="27" t="e">
        <f ca="1">_xludf.GAMMA.INV(U408,'04_PSA_INPUTS'!H8,'04_PSA_INPUTS'!I8)</f>
        <v>#NAME?</v>
      </c>
      <c r="F408" s="27" t="e">
        <f ca="1">_xludf.GAMMA.INV(V408,'04_PSA_INPUTS'!H9,'04_PSA_INPUTS'!I9)</f>
        <v>#NAME?</v>
      </c>
      <c r="G408" s="23" t="e">
        <f ca="1">_xludf.BETA.INV(W408,'04_PSA_INPUTS'!H10,'04_PSA_INPUTS'!I10)</f>
        <v>#NAME?</v>
      </c>
      <c r="H408" s="23" t="e">
        <f ca="1">_xludf.BETA.INV(X408,'04_PSA_INPUTS'!H11,'04_PSA_INPUTS'!I11)</f>
        <v>#NAME?</v>
      </c>
      <c r="I408" s="27" t="e">
        <f ca="1">D408+B408*F408+'01_INPUTS'!B20</f>
        <v>#NAME?</v>
      </c>
      <c r="J408" s="27" t="e">
        <f ca="1">E408+C408*F408+'01_INPUTS'!B21</f>
        <v>#NAME?</v>
      </c>
      <c r="K408" s="27" t="e">
        <f t="shared" ca="1" si="36"/>
        <v>#NAME?</v>
      </c>
      <c r="L408" s="23" t="e">
        <f t="shared" ca="1" si="37"/>
        <v>#NAME?</v>
      </c>
      <c r="M408" s="23" t="e">
        <f t="shared" ca="1" si="38"/>
        <v>#NAME?</v>
      </c>
      <c r="N408" s="23" t="e">
        <f t="shared" ca="1" si="39"/>
        <v>#NAME?</v>
      </c>
      <c r="O408" s="27" t="e">
        <f t="shared" ca="1" si="40"/>
        <v>#NAME?</v>
      </c>
      <c r="P408" s="27" t="e">
        <f ca="1">'01_INPUTS'!B9*N408-K408</f>
        <v>#NAME?</v>
      </c>
      <c r="Q408" s="1" t="e">
        <f t="shared" ca="1" si="41"/>
        <v>#NAME?</v>
      </c>
      <c r="R408" s="28">
        <v>0.31212412030436099</v>
      </c>
      <c r="S408" s="28">
        <v>9.3499079812318087E-3</v>
      </c>
      <c r="T408" s="28">
        <v>0.12704652734100819</v>
      </c>
      <c r="U408" s="28">
        <v>0.9312232774682343</v>
      </c>
      <c r="V408" s="28">
        <v>0.79705847520381212</v>
      </c>
      <c r="W408" s="28">
        <v>0.86403639847412705</v>
      </c>
      <c r="X408" s="28">
        <v>0.32427719980478287</v>
      </c>
    </row>
    <row r="409" spans="1:24" ht="13.9">
      <c r="A409" s="1">
        <v>408</v>
      </c>
      <c r="B409" s="23" t="e">
        <f ca="1">_xludf.BETA.INV(R409,'04_PSA_INPUTS'!H5,'04_PSA_INPUTS'!I5)</f>
        <v>#NAME?</v>
      </c>
      <c r="C409" s="23" t="e">
        <f ca="1">_xludf.BETA.INV(S409,'04_PSA_INPUTS'!H6,'04_PSA_INPUTS'!I6)</f>
        <v>#NAME?</v>
      </c>
      <c r="D409" s="27" t="e">
        <f ca="1">_xludf.GAMMA.INV(T409,'04_PSA_INPUTS'!H7,'04_PSA_INPUTS'!I7)</f>
        <v>#NAME?</v>
      </c>
      <c r="E409" s="27" t="e">
        <f ca="1">_xludf.GAMMA.INV(U409,'04_PSA_INPUTS'!H8,'04_PSA_INPUTS'!I8)</f>
        <v>#NAME?</v>
      </c>
      <c r="F409" s="27" t="e">
        <f ca="1">_xludf.GAMMA.INV(V409,'04_PSA_INPUTS'!H9,'04_PSA_INPUTS'!I9)</f>
        <v>#NAME?</v>
      </c>
      <c r="G409" s="23" t="e">
        <f ca="1">_xludf.BETA.INV(W409,'04_PSA_INPUTS'!H10,'04_PSA_INPUTS'!I10)</f>
        <v>#NAME?</v>
      </c>
      <c r="H409" s="23" t="e">
        <f ca="1">_xludf.BETA.INV(X409,'04_PSA_INPUTS'!H11,'04_PSA_INPUTS'!I11)</f>
        <v>#NAME?</v>
      </c>
      <c r="I409" s="27" t="e">
        <f ca="1">D409+B409*F409+'01_INPUTS'!B20</f>
        <v>#NAME?</v>
      </c>
      <c r="J409" s="27" t="e">
        <f ca="1">E409+C409*F409+'01_INPUTS'!B21</f>
        <v>#NAME?</v>
      </c>
      <c r="K409" s="27" t="e">
        <f t="shared" ca="1" si="36"/>
        <v>#NAME?</v>
      </c>
      <c r="L409" s="23" t="e">
        <f t="shared" ca="1" si="37"/>
        <v>#NAME?</v>
      </c>
      <c r="M409" s="23" t="e">
        <f t="shared" ca="1" si="38"/>
        <v>#NAME?</v>
      </c>
      <c r="N409" s="23" t="e">
        <f t="shared" ca="1" si="39"/>
        <v>#NAME?</v>
      </c>
      <c r="O409" s="27" t="e">
        <f t="shared" ca="1" si="40"/>
        <v>#NAME?</v>
      </c>
      <c r="P409" s="27" t="e">
        <f ca="1">'01_INPUTS'!B9*N409-K409</f>
        <v>#NAME?</v>
      </c>
      <c r="Q409" s="1" t="e">
        <f t="shared" ca="1" si="41"/>
        <v>#NAME?</v>
      </c>
      <c r="R409" s="28">
        <v>0.20011001196689904</v>
      </c>
      <c r="S409" s="28">
        <v>0.95837120874784887</v>
      </c>
      <c r="T409" s="28">
        <v>0.17735462775453925</v>
      </c>
      <c r="U409" s="28">
        <v>0.12242941767908633</v>
      </c>
      <c r="V409" s="28">
        <v>0.90221422910690308</v>
      </c>
      <c r="W409" s="28">
        <v>0.3399080210365355</v>
      </c>
      <c r="X409" s="28">
        <v>0.7475244221277535</v>
      </c>
    </row>
    <row r="410" spans="1:24" ht="13.9">
      <c r="A410" s="1">
        <v>409</v>
      </c>
      <c r="B410" s="23" t="e">
        <f ca="1">_xludf.BETA.INV(R410,'04_PSA_INPUTS'!H5,'04_PSA_INPUTS'!I5)</f>
        <v>#NAME?</v>
      </c>
      <c r="C410" s="23" t="e">
        <f ca="1">_xludf.BETA.INV(S410,'04_PSA_INPUTS'!H6,'04_PSA_INPUTS'!I6)</f>
        <v>#NAME?</v>
      </c>
      <c r="D410" s="27" t="e">
        <f ca="1">_xludf.GAMMA.INV(T410,'04_PSA_INPUTS'!H7,'04_PSA_INPUTS'!I7)</f>
        <v>#NAME?</v>
      </c>
      <c r="E410" s="27" t="e">
        <f ca="1">_xludf.GAMMA.INV(U410,'04_PSA_INPUTS'!H8,'04_PSA_INPUTS'!I8)</f>
        <v>#NAME?</v>
      </c>
      <c r="F410" s="27" t="e">
        <f ca="1">_xludf.GAMMA.INV(V410,'04_PSA_INPUTS'!H9,'04_PSA_INPUTS'!I9)</f>
        <v>#NAME?</v>
      </c>
      <c r="G410" s="23" t="e">
        <f ca="1">_xludf.BETA.INV(W410,'04_PSA_INPUTS'!H10,'04_PSA_INPUTS'!I10)</f>
        <v>#NAME?</v>
      </c>
      <c r="H410" s="23" t="e">
        <f ca="1">_xludf.BETA.INV(X410,'04_PSA_INPUTS'!H11,'04_PSA_INPUTS'!I11)</f>
        <v>#NAME?</v>
      </c>
      <c r="I410" s="27" t="e">
        <f ca="1">D410+B410*F410+'01_INPUTS'!B20</f>
        <v>#NAME?</v>
      </c>
      <c r="J410" s="27" t="e">
        <f ca="1">E410+C410*F410+'01_INPUTS'!B21</f>
        <v>#NAME?</v>
      </c>
      <c r="K410" s="27" t="e">
        <f t="shared" ca="1" si="36"/>
        <v>#NAME?</v>
      </c>
      <c r="L410" s="23" t="e">
        <f t="shared" ca="1" si="37"/>
        <v>#NAME?</v>
      </c>
      <c r="M410" s="23" t="e">
        <f t="shared" ca="1" si="38"/>
        <v>#NAME?</v>
      </c>
      <c r="N410" s="23" t="e">
        <f t="shared" ca="1" si="39"/>
        <v>#NAME?</v>
      </c>
      <c r="O410" s="27" t="e">
        <f t="shared" ca="1" si="40"/>
        <v>#NAME?</v>
      </c>
      <c r="P410" s="27" t="e">
        <f ca="1">'01_INPUTS'!B9*N410-K410</f>
        <v>#NAME?</v>
      </c>
      <c r="Q410" s="1" t="e">
        <f t="shared" ca="1" si="41"/>
        <v>#NAME?</v>
      </c>
      <c r="R410" s="28">
        <v>0.70602883142419159</v>
      </c>
      <c r="S410" s="28">
        <v>0.93131682509556413</v>
      </c>
      <c r="T410" s="28">
        <v>0.36788230808451772</v>
      </c>
      <c r="U410" s="28">
        <v>0.60613642889074981</v>
      </c>
      <c r="V410" s="28">
        <v>2.1828322671353817E-2</v>
      </c>
      <c r="W410" s="28">
        <v>0.7030458627268672</v>
      </c>
      <c r="X410" s="28">
        <v>7.7399832662194967E-2</v>
      </c>
    </row>
    <row r="411" spans="1:24" ht="13.9">
      <c r="A411" s="1">
        <v>410</v>
      </c>
      <c r="B411" s="23" t="e">
        <f ca="1">_xludf.BETA.INV(R411,'04_PSA_INPUTS'!H5,'04_PSA_INPUTS'!I5)</f>
        <v>#NAME?</v>
      </c>
      <c r="C411" s="23" t="e">
        <f ca="1">_xludf.BETA.INV(S411,'04_PSA_INPUTS'!H6,'04_PSA_INPUTS'!I6)</f>
        <v>#NAME?</v>
      </c>
      <c r="D411" s="27" t="e">
        <f ca="1">_xludf.GAMMA.INV(T411,'04_PSA_INPUTS'!H7,'04_PSA_INPUTS'!I7)</f>
        <v>#NAME?</v>
      </c>
      <c r="E411" s="27" t="e">
        <f ca="1">_xludf.GAMMA.INV(U411,'04_PSA_INPUTS'!H8,'04_PSA_INPUTS'!I8)</f>
        <v>#NAME?</v>
      </c>
      <c r="F411" s="27" t="e">
        <f ca="1">_xludf.GAMMA.INV(V411,'04_PSA_INPUTS'!H9,'04_PSA_INPUTS'!I9)</f>
        <v>#NAME?</v>
      </c>
      <c r="G411" s="23" t="e">
        <f ca="1">_xludf.BETA.INV(W411,'04_PSA_INPUTS'!H10,'04_PSA_INPUTS'!I10)</f>
        <v>#NAME?</v>
      </c>
      <c r="H411" s="23" t="e">
        <f ca="1">_xludf.BETA.INV(X411,'04_PSA_INPUTS'!H11,'04_PSA_INPUTS'!I11)</f>
        <v>#NAME?</v>
      </c>
      <c r="I411" s="27" t="e">
        <f ca="1">D411+B411*F411+'01_INPUTS'!B20</f>
        <v>#NAME?</v>
      </c>
      <c r="J411" s="27" t="e">
        <f ca="1">E411+C411*F411+'01_INPUTS'!B21</f>
        <v>#NAME?</v>
      </c>
      <c r="K411" s="27" t="e">
        <f t="shared" ca="1" si="36"/>
        <v>#NAME?</v>
      </c>
      <c r="L411" s="23" t="e">
        <f t="shared" ca="1" si="37"/>
        <v>#NAME?</v>
      </c>
      <c r="M411" s="23" t="e">
        <f t="shared" ca="1" si="38"/>
        <v>#NAME?</v>
      </c>
      <c r="N411" s="23" t="e">
        <f t="shared" ca="1" si="39"/>
        <v>#NAME?</v>
      </c>
      <c r="O411" s="27" t="e">
        <f t="shared" ca="1" si="40"/>
        <v>#NAME?</v>
      </c>
      <c r="P411" s="27" t="e">
        <f ca="1">'01_INPUTS'!B9*N411-K411</f>
        <v>#NAME?</v>
      </c>
      <c r="Q411" s="1" t="e">
        <f t="shared" ca="1" si="41"/>
        <v>#NAME?</v>
      </c>
      <c r="R411" s="28">
        <v>0.52898267190903425</v>
      </c>
      <c r="S411" s="28">
        <v>0.11625762516632676</v>
      </c>
      <c r="T411" s="28">
        <v>0.87399565242230892</v>
      </c>
      <c r="U411" s="28">
        <v>0.41272665909491479</v>
      </c>
      <c r="V411" s="28">
        <v>0.61815926944836974</v>
      </c>
      <c r="W411" s="28">
        <v>3.6452791886404157E-2</v>
      </c>
      <c r="X411" s="28">
        <v>0.91764460527338088</v>
      </c>
    </row>
    <row r="412" spans="1:24" ht="13.9">
      <c r="A412" s="1">
        <v>411</v>
      </c>
      <c r="B412" s="23" t="e">
        <f ca="1">_xludf.BETA.INV(R412,'04_PSA_INPUTS'!H5,'04_PSA_INPUTS'!I5)</f>
        <v>#NAME?</v>
      </c>
      <c r="C412" s="23" t="e">
        <f ca="1">_xludf.BETA.INV(S412,'04_PSA_INPUTS'!H6,'04_PSA_INPUTS'!I6)</f>
        <v>#NAME?</v>
      </c>
      <c r="D412" s="27" t="e">
        <f ca="1">_xludf.GAMMA.INV(T412,'04_PSA_INPUTS'!H7,'04_PSA_INPUTS'!I7)</f>
        <v>#NAME?</v>
      </c>
      <c r="E412" s="27" t="e">
        <f ca="1">_xludf.GAMMA.INV(U412,'04_PSA_INPUTS'!H8,'04_PSA_INPUTS'!I8)</f>
        <v>#NAME?</v>
      </c>
      <c r="F412" s="27" t="e">
        <f ca="1">_xludf.GAMMA.INV(V412,'04_PSA_INPUTS'!H9,'04_PSA_INPUTS'!I9)</f>
        <v>#NAME?</v>
      </c>
      <c r="G412" s="23" t="e">
        <f ca="1">_xludf.BETA.INV(W412,'04_PSA_INPUTS'!H10,'04_PSA_INPUTS'!I10)</f>
        <v>#NAME?</v>
      </c>
      <c r="H412" s="23" t="e">
        <f ca="1">_xludf.BETA.INV(X412,'04_PSA_INPUTS'!H11,'04_PSA_INPUTS'!I11)</f>
        <v>#NAME?</v>
      </c>
      <c r="I412" s="27" t="e">
        <f ca="1">D412+B412*F412+'01_INPUTS'!B20</f>
        <v>#NAME?</v>
      </c>
      <c r="J412" s="27" t="e">
        <f ca="1">E412+C412*F412+'01_INPUTS'!B21</f>
        <v>#NAME?</v>
      </c>
      <c r="K412" s="27" t="e">
        <f t="shared" ca="1" si="36"/>
        <v>#NAME?</v>
      </c>
      <c r="L412" s="23" t="e">
        <f t="shared" ca="1" si="37"/>
        <v>#NAME?</v>
      </c>
      <c r="M412" s="23" t="e">
        <f t="shared" ca="1" si="38"/>
        <v>#NAME?</v>
      </c>
      <c r="N412" s="23" t="e">
        <f t="shared" ca="1" si="39"/>
        <v>#NAME?</v>
      </c>
      <c r="O412" s="27" t="e">
        <f t="shared" ca="1" si="40"/>
        <v>#NAME?</v>
      </c>
      <c r="P412" s="27" t="e">
        <f ca="1">'01_INPUTS'!B9*N412-K412</f>
        <v>#NAME?</v>
      </c>
      <c r="Q412" s="1" t="e">
        <f t="shared" ca="1" si="41"/>
        <v>#NAME?</v>
      </c>
      <c r="R412" s="28">
        <v>4.2841038666665554E-3</v>
      </c>
      <c r="S412" s="28">
        <v>0.89730477333068848</v>
      </c>
      <c r="T412" s="28">
        <v>0.7374997278675437</v>
      </c>
      <c r="U412" s="28">
        <v>0.43559301784262061</v>
      </c>
      <c r="V412" s="28">
        <v>0.37331234221346676</v>
      </c>
      <c r="W412" s="28">
        <v>0.33951315260492265</v>
      </c>
      <c r="X412" s="28">
        <v>0.60824014153331518</v>
      </c>
    </row>
    <row r="413" spans="1:24" ht="13.9">
      <c r="A413" s="1">
        <v>412</v>
      </c>
      <c r="B413" s="23" t="e">
        <f ca="1">_xludf.BETA.INV(R413,'04_PSA_INPUTS'!H5,'04_PSA_INPUTS'!I5)</f>
        <v>#NAME?</v>
      </c>
      <c r="C413" s="23" t="e">
        <f ca="1">_xludf.BETA.INV(S413,'04_PSA_INPUTS'!H6,'04_PSA_INPUTS'!I6)</f>
        <v>#NAME?</v>
      </c>
      <c r="D413" s="27" t="e">
        <f ca="1">_xludf.GAMMA.INV(T413,'04_PSA_INPUTS'!H7,'04_PSA_INPUTS'!I7)</f>
        <v>#NAME?</v>
      </c>
      <c r="E413" s="27" t="e">
        <f ca="1">_xludf.GAMMA.INV(U413,'04_PSA_INPUTS'!H8,'04_PSA_INPUTS'!I8)</f>
        <v>#NAME?</v>
      </c>
      <c r="F413" s="27" t="e">
        <f ca="1">_xludf.GAMMA.INV(V413,'04_PSA_INPUTS'!H9,'04_PSA_INPUTS'!I9)</f>
        <v>#NAME?</v>
      </c>
      <c r="G413" s="23" t="e">
        <f ca="1">_xludf.BETA.INV(W413,'04_PSA_INPUTS'!H10,'04_PSA_INPUTS'!I10)</f>
        <v>#NAME?</v>
      </c>
      <c r="H413" s="23" t="e">
        <f ca="1">_xludf.BETA.INV(X413,'04_PSA_INPUTS'!H11,'04_PSA_INPUTS'!I11)</f>
        <v>#NAME?</v>
      </c>
      <c r="I413" s="27" t="e">
        <f ca="1">D413+B413*F413+'01_INPUTS'!B20</f>
        <v>#NAME?</v>
      </c>
      <c r="J413" s="27" t="e">
        <f ca="1">E413+C413*F413+'01_INPUTS'!B21</f>
        <v>#NAME?</v>
      </c>
      <c r="K413" s="27" t="e">
        <f t="shared" ca="1" si="36"/>
        <v>#NAME?</v>
      </c>
      <c r="L413" s="23" t="e">
        <f t="shared" ca="1" si="37"/>
        <v>#NAME?</v>
      </c>
      <c r="M413" s="23" t="e">
        <f t="shared" ca="1" si="38"/>
        <v>#NAME?</v>
      </c>
      <c r="N413" s="23" t="e">
        <f t="shared" ca="1" si="39"/>
        <v>#NAME?</v>
      </c>
      <c r="O413" s="27" t="e">
        <f t="shared" ca="1" si="40"/>
        <v>#NAME?</v>
      </c>
      <c r="P413" s="27" t="e">
        <f ca="1">'01_INPUTS'!B9*N413-K413</f>
        <v>#NAME?</v>
      </c>
      <c r="Q413" s="1" t="e">
        <f t="shared" ca="1" si="41"/>
        <v>#NAME?</v>
      </c>
      <c r="R413" s="28">
        <v>0.29766417620703578</v>
      </c>
      <c r="S413" s="28">
        <v>0.49425091617740691</v>
      </c>
      <c r="T413" s="28">
        <v>0.43271336844190955</v>
      </c>
      <c r="U413" s="28">
        <v>0.41670419671572745</v>
      </c>
      <c r="V413" s="28">
        <v>0.15515871252864599</v>
      </c>
      <c r="W413" s="28">
        <v>0.61858357745222747</v>
      </c>
      <c r="X413" s="28">
        <v>0.72285110130906105</v>
      </c>
    </row>
    <row r="414" spans="1:24" ht="13.9">
      <c r="A414" s="1">
        <v>413</v>
      </c>
      <c r="B414" s="23" t="e">
        <f ca="1">_xludf.BETA.INV(R414,'04_PSA_INPUTS'!H5,'04_PSA_INPUTS'!I5)</f>
        <v>#NAME?</v>
      </c>
      <c r="C414" s="23" t="e">
        <f ca="1">_xludf.BETA.INV(S414,'04_PSA_INPUTS'!H6,'04_PSA_INPUTS'!I6)</f>
        <v>#NAME?</v>
      </c>
      <c r="D414" s="27" t="e">
        <f ca="1">_xludf.GAMMA.INV(T414,'04_PSA_INPUTS'!H7,'04_PSA_INPUTS'!I7)</f>
        <v>#NAME?</v>
      </c>
      <c r="E414" s="27" t="e">
        <f ca="1">_xludf.GAMMA.INV(U414,'04_PSA_INPUTS'!H8,'04_PSA_INPUTS'!I8)</f>
        <v>#NAME?</v>
      </c>
      <c r="F414" s="27" t="e">
        <f ca="1">_xludf.GAMMA.INV(V414,'04_PSA_INPUTS'!H9,'04_PSA_INPUTS'!I9)</f>
        <v>#NAME?</v>
      </c>
      <c r="G414" s="23" t="e">
        <f ca="1">_xludf.BETA.INV(W414,'04_PSA_INPUTS'!H10,'04_PSA_INPUTS'!I10)</f>
        <v>#NAME?</v>
      </c>
      <c r="H414" s="23" t="e">
        <f ca="1">_xludf.BETA.INV(X414,'04_PSA_INPUTS'!H11,'04_PSA_INPUTS'!I11)</f>
        <v>#NAME?</v>
      </c>
      <c r="I414" s="27" t="e">
        <f ca="1">D414+B414*F414+'01_INPUTS'!B20</f>
        <v>#NAME?</v>
      </c>
      <c r="J414" s="27" t="e">
        <f ca="1">E414+C414*F414+'01_INPUTS'!B21</f>
        <v>#NAME?</v>
      </c>
      <c r="K414" s="27" t="e">
        <f t="shared" ca="1" si="36"/>
        <v>#NAME?</v>
      </c>
      <c r="L414" s="23" t="e">
        <f t="shared" ca="1" si="37"/>
        <v>#NAME?</v>
      </c>
      <c r="M414" s="23" t="e">
        <f t="shared" ca="1" si="38"/>
        <v>#NAME?</v>
      </c>
      <c r="N414" s="23" t="e">
        <f t="shared" ca="1" si="39"/>
        <v>#NAME?</v>
      </c>
      <c r="O414" s="27" t="e">
        <f t="shared" ca="1" si="40"/>
        <v>#NAME?</v>
      </c>
      <c r="P414" s="27" t="e">
        <f ca="1">'01_INPUTS'!B9*N414-K414</f>
        <v>#NAME?</v>
      </c>
      <c r="Q414" s="1" t="e">
        <f t="shared" ca="1" si="41"/>
        <v>#NAME?</v>
      </c>
      <c r="R414" s="28">
        <v>0.51694127451628447</v>
      </c>
      <c r="S414" s="28">
        <v>0.56831246777437627</v>
      </c>
      <c r="T414" s="28">
        <v>0.87017655139788985</v>
      </c>
      <c r="U414" s="28">
        <v>0.64390336931683123</v>
      </c>
      <c r="V414" s="28">
        <v>0.46826899261213839</v>
      </c>
      <c r="W414" s="28">
        <v>0.83316158456727862</v>
      </c>
      <c r="X414" s="28">
        <v>0.13863924145698547</v>
      </c>
    </row>
    <row r="415" spans="1:24" ht="13.9">
      <c r="A415" s="1">
        <v>414</v>
      </c>
      <c r="B415" s="23" t="e">
        <f ca="1">_xludf.BETA.INV(R415,'04_PSA_INPUTS'!H5,'04_PSA_INPUTS'!I5)</f>
        <v>#NAME?</v>
      </c>
      <c r="C415" s="23" t="e">
        <f ca="1">_xludf.BETA.INV(S415,'04_PSA_INPUTS'!H6,'04_PSA_INPUTS'!I6)</f>
        <v>#NAME?</v>
      </c>
      <c r="D415" s="27" t="e">
        <f ca="1">_xludf.GAMMA.INV(T415,'04_PSA_INPUTS'!H7,'04_PSA_INPUTS'!I7)</f>
        <v>#NAME?</v>
      </c>
      <c r="E415" s="27" t="e">
        <f ca="1">_xludf.GAMMA.INV(U415,'04_PSA_INPUTS'!H8,'04_PSA_INPUTS'!I8)</f>
        <v>#NAME?</v>
      </c>
      <c r="F415" s="27" t="e">
        <f ca="1">_xludf.GAMMA.INV(V415,'04_PSA_INPUTS'!H9,'04_PSA_INPUTS'!I9)</f>
        <v>#NAME?</v>
      </c>
      <c r="G415" s="23" t="e">
        <f ca="1">_xludf.BETA.INV(W415,'04_PSA_INPUTS'!H10,'04_PSA_INPUTS'!I10)</f>
        <v>#NAME?</v>
      </c>
      <c r="H415" s="23" t="e">
        <f ca="1">_xludf.BETA.INV(X415,'04_PSA_INPUTS'!H11,'04_PSA_INPUTS'!I11)</f>
        <v>#NAME?</v>
      </c>
      <c r="I415" s="27" t="e">
        <f ca="1">D415+B415*F415+'01_INPUTS'!B20</f>
        <v>#NAME?</v>
      </c>
      <c r="J415" s="27" t="e">
        <f ca="1">E415+C415*F415+'01_INPUTS'!B21</f>
        <v>#NAME?</v>
      </c>
      <c r="K415" s="27" t="e">
        <f t="shared" ca="1" si="36"/>
        <v>#NAME?</v>
      </c>
      <c r="L415" s="23" t="e">
        <f t="shared" ca="1" si="37"/>
        <v>#NAME?</v>
      </c>
      <c r="M415" s="23" t="e">
        <f t="shared" ca="1" si="38"/>
        <v>#NAME?</v>
      </c>
      <c r="N415" s="23" t="e">
        <f t="shared" ca="1" si="39"/>
        <v>#NAME?</v>
      </c>
      <c r="O415" s="27" t="e">
        <f t="shared" ca="1" si="40"/>
        <v>#NAME?</v>
      </c>
      <c r="P415" s="27" t="e">
        <f ca="1">'01_INPUTS'!B9*N415-K415</f>
        <v>#NAME?</v>
      </c>
      <c r="Q415" s="1" t="e">
        <f t="shared" ca="1" si="41"/>
        <v>#NAME?</v>
      </c>
      <c r="R415" s="28">
        <v>0.98194928141310811</v>
      </c>
      <c r="S415" s="28">
        <v>0.49811630719341338</v>
      </c>
      <c r="T415" s="28">
        <v>0.48153765476308763</v>
      </c>
      <c r="U415" s="28">
        <v>0.76047232304699719</v>
      </c>
      <c r="V415" s="28">
        <v>0.68109750095754862</v>
      </c>
      <c r="W415" s="28">
        <v>0.66832862538285553</v>
      </c>
      <c r="X415" s="28">
        <v>0.96890811854973435</v>
      </c>
    </row>
    <row r="416" spans="1:24" ht="13.9">
      <c r="A416" s="1">
        <v>415</v>
      </c>
      <c r="B416" s="23" t="e">
        <f ca="1">_xludf.BETA.INV(R416,'04_PSA_INPUTS'!H5,'04_PSA_INPUTS'!I5)</f>
        <v>#NAME?</v>
      </c>
      <c r="C416" s="23" t="e">
        <f ca="1">_xludf.BETA.INV(S416,'04_PSA_INPUTS'!H6,'04_PSA_INPUTS'!I6)</f>
        <v>#NAME?</v>
      </c>
      <c r="D416" s="27" t="e">
        <f ca="1">_xludf.GAMMA.INV(T416,'04_PSA_INPUTS'!H7,'04_PSA_INPUTS'!I7)</f>
        <v>#NAME?</v>
      </c>
      <c r="E416" s="27" t="e">
        <f ca="1">_xludf.GAMMA.INV(U416,'04_PSA_INPUTS'!H8,'04_PSA_INPUTS'!I8)</f>
        <v>#NAME?</v>
      </c>
      <c r="F416" s="27" t="e">
        <f ca="1">_xludf.GAMMA.INV(V416,'04_PSA_INPUTS'!H9,'04_PSA_INPUTS'!I9)</f>
        <v>#NAME?</v>
      </c>
      <c r="G416" s="23" t="e">
        <f ca="1">_xludf.BETA.INV(W416,'04_PSA_INPUTS'!H10,'04_PSA_INPUTS'!I10)</f>
        <v>#NAME?</v>
      </c>
      <c r="H416" s="23" t="e">
        <f ca="1">_xludf.BETA.INV(X416,'04_PSA_INPUTS'!H11,'04_PSA_INPUTS'!I11)</f>
        <v>#NAME?</v>
      </c>
      <c r="I416" s="27" t="e">
        <f ca="1">D416+B416*F416+'01_INPUTS'!B20</f>
        <v>#NAME?</v>
      </c>
      <c r="J416" s="27" t="e">
        <f ca="1">E416+C416*F416+'01_INPUTS'!B21</f>
        <v>#NAME?</v>
      </c>
      <c r="K416" s="27" t="e">
        <f t="shared" ca="1" si="36"/>
        <v>#NAME?</v>
      </c>
      <c r="L416" s="23" t="e">
        <f t="shared" ca="1" si="37"/>
        <v>#NAME?</v>
      </c>
      <c r="M416" s="23" t="e">
        <f t="shared" ca="1" si="38"/>
        <v>#NAME?</v>
      </c>
      <c r="N416" s="23" t="e">
        <f t="shared" ca="1" si="39"/>
        <v>#NAME?</v>
      </c>
      <c r="O416" s="27" t="e">
        <f t="shared" ca="1" si="40"/>
        <v>#NAME?</v>
      </c>
      <c r="P416" s="27" t="e">
        <f ca="1">'01_INPUTS'!B9*N416-K416</f>
        <v>#NAME?</v>
      </c>
      <c r="Q416" s="1" t="e">
        <f t="shared" ca="1" si="41"/>
        <v>#NAME?</v>
      </c>
      <c r="R416" s="28">
        <v>0.65495500364340842</v>
      </c>
      <c r="S416" s="28">
        <v>0.64146437239833176</v>
      </c>
      <c r="T416" s="28">
        <v>0.60827473294921219</v>
      </c>
      <c r="U416" s="28">
        <v>3.4147312398999929E-2</v>
      </c>
      <c r="V416" s="28">
        <v>0.21137190889567137</v>
      </c>
      <c r="W416" s="28">
        <v>0.65139448130503297</v>
      </c>
      <c r="X416" s="28">
        <v>0.69185833306983113</v>
      </c>
    </row>
    <row r="417" spans="1:24" ht="13.9">
      <c r="A417" s="1">
        <v>416</v>
      </c>
      <c r="B417" s="23" t="e">
        <f ca="1">_xludf.BETA.INV(R417,'04_PSA_INPUTS'!H5,'04_PSA_INPUTS'!I5)</f>
        <v>#NAME?</v>
      </c>
      <c r="C417" s="23" t="e">
        <f ca="1">_xludf.BETA.INV(S417,'04_PSA_INPUTS'!H6,'04_PSA_INPUTS'!I6)</f>
        <v>#NAME?</v>
      </c>
      <c r="D417" s="27" t="e">
        <f ca="1">_xludf.GAMMA.INV(T417,'04_PSA_INPUTS'!H7,'04_PSA_INPUTS'!I7)</f>
        <v>#NAME?</v>
      </c>
      <c r="E417" s="27" t="e">
        <f ca="1">_xludf.GAMMA.INV(U417,'04_PSA_INPUTS'!H8,'04_PSA_INPUTS'!I8)</f>
        <v>#NAME?</v>
      </c>
      <c r="F417" s="27" t="e">
        <f ca="1">_xludf.GAMMA.INV(V417,'04_PSA_INPUTS'!H9,'04_PSA_INPUTS'!I9)</f>
        <v>#NAME?</v>
      </c>
      <c r="G417" s="23" t="e">
        <f ca="1">_xludf.BETA.INV(W417,'04_PSA_INPUTS'!H10,'04_PSA_INPUTS'!I10)</f>
        <v>#NAME?</v>
      </c>
      <c r="H417" s="23" t="e">
        <f ca="1">_xludf.BETA.INV(X417,'04_PSA_INPUTS'!H11,'04_PSA_INPUTS'!I11)</f>
        <v>#NAME?</v>
      </c>
      <c r="I417" s="27" t="e">
        <f ca="1">D417+B417*F417+'01_INPUTS'!B20</f>
        <v>#NAME?</v>
      </c>
      <c r="J417" s="27" t="e">
        <f ca="1">E417+C417*F417+'01_INPUTS'!B21</f>
        <v>#NAME?</v>
      </c>
      <c r="K417" s="27" t="e">
        <f t="shared" ca="1" si="36"/>
        <v>#NAME?</v>
      </c>
      <c r="L417" s="23" t="e">
        <f t="shared" ca="1" si="37"/>
        <v>#NAME?</v>
      </c>
      <c r="M417" s="23" t="e">
        <f t="shared" ca="1" si="38"/>
        <v>#NAME?</v>
      </c>
      <c r="N417" s="23" t="e">
        <f t="shared" ca="1" si="39"/>
        <v>#NAME?</v>
      </c>
      <c r="O417" s="27" t="e">
        <f t="shared" ca="1" si="40"/>
        <v>#NAME?</v>
      </c>
      <c r="P417" s="27" t="e">
        <f ca="1">'01_INPUTS'!B9*N417-K417</f>
        <v>#NAME?</v>
      </c>
      <c r="Q417" s="1" t="e">
        <f t="shared" ca="1" si="41"/>
        <v>#NAME?</v>
      </c>
      <c r="R417" s="28">
        <v>0.27801041537895799</v>
      </c>
      <c r="S417" s="28">
        <v>0.17486824304796755</v>
      </c>
      <c r="T417" s="28">
        <v>9.5346262212842703E-2</v>
      </c>
      <c r="U417" s="28">
        <v>0.5580927818082273</v>
      </c>
      <c r="V417" s="28">
        <v>0.34791479329578578</v>
      </c>
      <c r="W417" s="28">
        <v>0.46533345757052302</v>
      </c>
      <c r="X417" s="28">
        <v>0.13631293666549027</v>
      </c>
    </row>
    <row r="418" spans="1:24" ht="13.9">
      <c r="A418" s="1">
        <v>417</v>
      </c>
      <c r="B418" s="23" t="e">
        <f ca="1">_xludf.BETA.INV(R418,'04_PSA_INPUTS'!H5,'04_PSA_INPUTS'!I5)</f>
        <v>#NAME?</v>
      </c>
      <c r="C418" s="23" t="e">
        <f ca="1">_xludf.BETA.INV(S418,'04_PSA_INPUTS'!H6,'04_PSA_INPUTS'!I6)</f>
        <v>#NAME?</v>
      </c>
      <c r="D418" s="27" t="e">
        <f ca="1">_xludf.GAMMA.INV(T418,'04_PSA_INPUTS'!H7,'04_PSA_INPUTS'!I7)</f>
        <v>#NAME?</v>
      </c>
      <c r="E418" s="27" t="e">
        <f ca="1">_xludf.GAMMA.INV(U418,'04_PSA_INPUTS'!H8,'04_PSA_INPUTS'!I8)</f>
        <v>#NAME?</v>
      </c>
      <c r="F418" s="27" t="e">
        <f ca="1">_xludf.GAMMA.INV(V418,'04_PSA_INPUTS'!H9,'04_PSA_INPUTS'!I9)</f>
        <v>#NAME?</v>
      </c>
      <c r="G418" s="23" t="e">
        <f ca="1">_xludf.BETA.INV(W418,'04_PSA_INPUTS'!H10,'04_PSA_INPUTS'!I10)</f>
        <v>#NAME?</v>
      </c>
      <c r="H418" s="23" t="e">
        <f ca="1">_xludf.BETA.INV(X418,'04_PSA_INPUTS'!H11,'04_PSA_INPUTS'!I11)</f>
        <v>#NAME?</v>
      </c>
      <c r="I418" s="27" t="e">
        <f ca="1">D418+B418*F418+'01_INPUTS'!B20</f>
        <v>#NAME?</v>
      </c>
      <c r="J418" s="27" t="e">
        <f ca="1">E418+C418*F418+'01_INPUTS'!B21</f>
        <v>#NAME?</v>
      </c>
      <c r="K418" s="27" t="e">
        <f t="shared" ca="1" si="36"/>
        <v>#NAME?</v>
      </c>
      <c r="L418" s="23" t="e">
        <f t="shared" ca="1" si="37"/>
        <v>#NAME?</v>
      </c>
      <c r="M418" s="23" t="e">
        <f t="shared" ca="1" si="38"/>
        <v>#NAME?</v>
      </c>
      <c r="N418" s="23" t="e">
        <f t="shared" ca="1" si="39"/>
        <v>#NAME?</v>
      </c>
      <c r="O418" s="27" t="e">
        <f t="shared" ca="1" si="40"/>
        <v>#NAME?</v>
      </c>
      <c r="P418" s="27" t="e">
        <f ca="1">'01_INPUTS'!B9*N418-K418</f>
        <v>#NAME?</v>
      </c>
      <c r="Q418" s="1" t="e">
        <f t="shared" ca="1" si="41"/>
        <v>#NAME?</v>
      </c>
      <c r="R418" s="28">
        <v>0.37172625074163079</v>
      </c>
      <c r="S418" s="28">
        <v>0.7506905454210937</v>
      </c>
      <c r="T418" s="28">
        <v>0.94818012183532119</v>
      </c>
      <c r="U418" s="28">
        <v>0.56853355886414647</v>
      </c>
      <c r="V418" s="28">
        <v>0.95823195646516979</v>
      </c>
      <c r="W418" s="28">
        <v>0.16805278602987528</v>
      </c>
      <c r="X418" s="28">
        <v>0.43059965339489281</v>
      </c>
    </row>
    <row r="419" spans="1:24" ht="13.9">
      <c r="A419" s="1">
        <v>418</v>
      </c>
      <c r="B419" s="23" t="e">
        <f ca="1">_xludf.BETA.INV(R419,'04_PSA_INPUTS'!H5,'04_PSA_INPUTS'!I5)</f>
        <v>#NAME?</v>
      </c>
      <c r="C419" s="23" t="e">
        <f ca="1">_xludf.BETA.INV(S419,'04_PSA_INPUTS'!H6,'04_PSA_INPUTS'!I6)</f>
        <v>#NAME?</v>
      </c>
      <c r="D419" s="27" t="e">
        <f ca="1">_xludf.GAMMA.INV(T419,'04_PSA_INPUTS'!H7,'04_PSA_INPUTS'!I7)</f>
        <v>#NAME?</v>
      </c>
      <c r="E419" s="27" t="e">
        <f ca="1">_xludf.GAMMA.INV(U419,'04_PSA_INPUTS'!H8,'04_PSA_INPUTS'!I8)</f>
        <v>#NAME?</v>
      </c>
      <c r="F419" s="27" t="e">
        <f ca="1">_xludf.GAMMA.INV(V419,'04_PSA_INPUTS'!H9,'04_PSA_INPUTS'!I9)</f>
        <v>#NAME?</v>
      </c>
      <c r="G419" s="23" t="e">
        <f ca="1">_xludf.BETA.INV(W419,'04_PSA_INPUTS'!H10,'04_PSA_INPUTS'!I10)</f>
        <v>#NAME?</v>
      </c>
      <c r="H419" s="23" t="e">
        <f ca="1">_xludf.BETA.INV(X419,'04_PSA_INPUTS'!H11,'04_PSA_INPUTS'!I11)</f>
        <v>#NAME?</v>
      </c>
      <c r="I419" s="27" t="e">
        <f ca="1">D419+B419*F419+'01_INPUTS'!B20</f>
        <v>#NAME?</v>
      </c>
      <c r="J419" s="27" t="e">
        <f ca="1">E419+C419*F419+'01_INPUTS'!B21</f>
        <v>#NAME?</v>
      </c>
      <c r="K419" s="27" t="e">
        <f t="shared" ca="1" si="36"/>
        <v>#NAME?</v>
      </c>
      <c r="L419" s="23" t="e">
        <f t="shared" ca="1" si="37"/>
        <v>#NAME?</v>
      </c>
      <c r="M419" s="23" t="e">
        <f t="shared" ca="1" si="38"/>
        <v>#NAME?</v>
      </c>
      <c r="N419" s="23" t="e">
        <f t="shared" ca="1" si="39"/>
        <v>#NAME?</v>
      </c>
      <c r="O419" s="27" t="e">
        <f t="shared" ca="1" si="40"/>
        <v>#NAME?</v>
      </c>
      <c r="P419" s="27" t="e">
        <f ca="1">'01_INPUTS'!B9*N419-K419</f>
        <v>#NAME?</v>
      </c>
      <c r="Q419" s="1" t="e">
        <f t="shared" ca="1" si="41"/>
        <v>#NAME?</v>
      </c>
      <c r="R419" s="28">
        <v>0.1528863322455436</v>
      </c>
      <c r="S419" s="28">
        <v>0.15081544546410441</v>
      </c>
      <c r="T419" s="28">
        <v>0.29967398452572525</v>
      </c>
      <c r="U419" s="28">
        <v>0.19413103628903627</v>
      </c>
      <c r="V419" s="28">
        <v>0.59948247019201517</v>
      </c>
      <c r="W419" s="28">
        <v>0.47131908079609275</v>
      </c>
      <c r="X419" s="28">
        <v>0.38475088635459542</v>
      </c>
    </row>
    <row r="420" spans="1:24" ht="13.9">
      <c r="A420" s="1">
        <v>419</v>
      </c>
      <c r="B420" s="23" t="e">
        <f ca="1">_xludf.BETA.INV(R420,'04_PSA_INPUTS'!H5,'04_PSA_INPUTS'!I5)</f>
        <v>#NAME?</v>
      </c>
      <c r="C420" s="23" t="e">
        <f ca="1">_xludf.BETA.INV(S420,'04_PSA_INPUTS'!H6,'04_PSA_INPUTS'!I6)</f>
        <v>#NAME?</v>
      </c>
      <c r="D420" s="27" t="e">
        <f ca="1">_xludf.GAMMA.INV(T420,'04_PSA_INPUTS'!H7,'04_PSA_INPUTS'!I7)</f>
        <v>#NAME?</v>
      </c>
      <c r="E420" s="27" t="e">
        <f ca="1">_xludf.GAMMA.INV(U420,'04_PSA_INPUTS'!H8,'04_PSA_INPUTS'!I8)</f>
        <v>#NAME?</v>
      </c>
      <c r="F420" s="27" t="e">
        <f ca="1">_xludf.GAMMA.INV(V420,'04_PSA_INPUTS'!H9,'04_PSA_INPUTS'!I9)</f>
        <v>#NAME?</v>
      </c>
      <c r="G420" s="23" t="e">
        <f ca="1">_xludf.BETA.INV(W420,'04_PSA_INPUTS'!H10,'04_PSA_INPUTS'!I10)</f>
        <v>#NAME?</v>
      </c>
      <c r="H420" s="23" t="e">
        <f ca="1">_xludf.BETA.INV(X420,'04_PSA_INPUTS'!H11,'04_PSA_INPUTS'!I11)</f>
        <v>#NAME?</v>
      </c>
      <c r="I420" s="27" t="e">
        <f ca="1">D420+B420*F420+'01_INPUTS'!B20</f>
        <v>#NAME?</v>
      </c>
      <c r="J420" s="27" t="e">
        <f ca="1">E420+C420*F420+'01_INPUTS'!B21</f>
        <v>#NAME?</v>
      </c>
      <c r="K420" s="27" t="e">
        <f t="shared" ca="1" si="36"/>
        <v>#NAME?</v>
      </c>
      <c r="L420" s="23" t="e">
        <f t="shared" ca="1" si="37"/>
        <v>#NAME?</v>
      </c>
      <c r="M420" s="23" t="e">
        <f t="shared" ca="1" si="38"/>
        <v>#NAME?</v>
      </c>
      <c r="N420" s="23" t="e">
        <f t="shared" ca="1" si="39"/>
        <v>#NAME?</v>
      </c>
      <c r="O420" s="27" t="e">
        <f t="shared" ca="1" si="40"/>
        <v>#NAME?</v>
      </c>
      <c r="P420" s="27" t="e">
        <f ca="1">'01_INPUTS'!B9*N420-K420</f>
        <v>#NAME?</v>
      </c>
      <c r="Q420" s="1" t="e">
        <f t="shared" ca="1" si="41"/>
        <v>#NAME?</v>
      </c>
      <c r="R420" s="28">
        <v>0.8235260983929038</v>
      </c>
      <c r="S420" s="28">
        <v>0.59702122071757913</v>
      </c>
      <c r="T420" s="28">
        <v>0.79775289236567914</v>
      </c>
      <c r="U420" s="28">
        <v>0.56112828990444541</v>
      </c>
      <c r="V420" s="28">
        <v>2.9012855840846896E-2</v>
      </c>
      <c r="W420" s="28">
        <v>0.2347950809635222</v>
      </c>
      <c r="X420" s="28">
        <v>0.74110206658951938</v>
      </c>
    </row>
    <row r="421" spans="1:24" ht="13.9">
      <c r="A421" s="1">
        <v>420</v>
      </c>
      <c r="B421" s="23" t="e">
        <f ca="1">_xludf.BETA.INV(R421,'04_PSA_INPUTS'!H5,'04_PSA_INPUTS'!I5)</f>
        <v>#NAME?</v>
      </c>
      <c r="C421" s="23" t="e">
        <f ca="1">_xludf.BETA.INV(S421,'04_PSA_INPUTS'!H6,'04_PSA_INPUTS'!I6)</f>
        <v>#NAME?</v>
      </c>
      <c r="D421" s="27" t="e">
        <f ca="1">_xludf.GAMMA.INV(T421,'04_PSA_INPUTS'!H7,'04_PSA_INPUTS'!I7)</f>
        <v>#NAME?</v>
      </c>
      <c r="E421" s="27" t="e">
        <f ca="1">_xludf.GAMMA.INV(U421,'04_PSA_INPUTS'!H8,'04_PSA_INPUTS'!I8)</f>
        <v>#NAME?</v>
      </c>
      <c r="F421" s="27" t="e">
        <f ca="1">_xludf.GAMMA.INV(V421,'04_PSA_INPUTS'!H9,'04_PSA_INPUTS'!I9)</f>
        <v>#NAME?</v>
      </c>
      <c r="G421" s="23" t="e">
        <f ca="1">_xludf.BETA.INV(W421,'04_PSA_INPUTS'!H10,'04_PSA_INPUTS'!I10)</f>
        <v>#NAME?</v>
      </c>
      <c r="H421" s="23" t="e">
        <f ca="1">_xludf.BETA.INV(X421,'04_PSA_INPUTS'!H11,'04_PSA_INPUTS'!I11)</f>
        <v>#NAME?</v>
      </c>
      <c r="I421" s="27" t="e">
        <f ca="1">D421+B421*F421+'01_INPUTS'!B20</f>
        <v>#NAME?</v>
      </c>
      <c r="J421" s="27" t="e">
        <f ca="1">E421+C421*F421+'01_INPUTS'!B21</f>
        <v>#NAME?</v>
      </c>
      <c r="K421" s="27" t="e">
        <f t="shared" ca="1" si="36"/>
        <v>#NAME?</v>
      </c>
      <c r="L421" s="23" t="e">
        <f t="shared" ca="1" si="37"/>
        <v>#NAME?</v>
      </c>
      <c r="M421" s="23" t="e">
        <f t="shared" ca="1" si="38"/>
        <v>#NAME?</v>
      </c>
      <c r="N421" s="23" t="e">
        <f t="shared" ca="1" si="39"/>
        <v>#NAME?</v>
      </c>
      <c r="O421" s="27" t="e">
        <f t="shared" ca="1" si="40"/>
        <v>#NAME?</v>
      </c>
      <c r="P421" s="27" t="e">
        <f ca="1">'01_INPUTS'!B9*N421-K421</f>
        <v>#NAME?</v>
      </c>
      <c r="Q421" s="1" t="e">
        <f t="shared" ca="1" si="41"/>
        <v>#NAME?</v>
      </c>
      <c r="R421" s="28">
        <v>0.31321019516326487</v>
      </c>
      <c r="S421" s="28">
        <v>0.99791476014070213</v>
      </c>
      <c r="T421" s="28">
        <v>9.8558375611901283E-5</v>
      </c>
      <c r="U421" s="28">
        <v>6.2409961828961968E-2</v>
      </c>
      <c r="V421" s="28">
        <v>0.10733927460387349</v>
      </c>
      <c r="W421" s="28">
        <v>0.77755832951515913</v>
      </c>
      <c r="X421" s="28">
        <v>0.95943965297192335</v>
      </c>
    </row>
    <row r="422" spans="1:24" ht="13.9">
      <c r="A422" s="1">
        <v>421</v>
      </c>
      <c r="B422" s="23" t="e">
        <f ca="1">_xludf.BETA.INV(R422,'04_PSA_INPUTS'!H5,'04_PSA_INPUTS'!I5)</f>
        <v>#NAME?</v>
      </c>
      <c r="C422" s="23" t="e">
        <f ca="1">_xludf.BETA.INV(S422,'04_PSA_INPUTS'!H6,'04_PSA_INPUTS'!I6)</f>
        <v>#NAME?</v>
      </c>
      <c r="D422" s="27" t="e">
        <f ca="1">_xludf.GAMMA.INV(T422,'04_PSA_INPUTS'!H7,'04_PSA_INPUTS'!I7)</f>
        <v>#NAME?</v>
      </c>
      <c r="E422" s="27" t="e">
        <f ca="1">_xludf.GAMMA.INV(U422,'04_PSA_INPUTS'!H8,'04_PSA_INPUTS'!I8)</f>
        <v>#NAME?</v>
      </c>
      <c r="F422" s="27" t="e">
        <f ca="1">_xludf.GAMMA.INV(V422,'04_PSA_INPUTS'!H9,'04_PSA_INPUTS'!I9)</f>
        <v>#NAME?</v>
      </c>
      <c r="G422" s="23" t="e">
        <f ca="1">_xludf.BETA.INV(W422,'04_PSA_INPUTS'!H10,'04_PSA_INPUTS'!I10)</f>
        <v>#NAME?</v>
      </c>
      <c r="H422" s="23" t="e">
        <f ca="1">_xludf.BETA.INV(X422,'04_PSA_INPUTS'!H11,'04_PSA_INPUTS'!I11)</f>
        <v>#NAME?</v>
      </c>
      <c r="I422" s="27" t="e">
        <f ca="1">D422+B422*F422+'01_INPUTS'!B20</f>
        <v>#NAME?</v>
      </c>
      <c r="J422" s="27" t="e">
        <f ca="1">E422+C422*F422+'01_INPUTS'!B21</f>
        <v>#NAME?</v>
      </c>
      <c r="K422" s="27" t="e">
        <f t="shared" ca="1" si="36"/>
        <v>#NAME?</v>
      </c>
      <c r="L422" s="23" t="e">
        <f t="shared" ca="1" si="37"/>
        <v>#NAME?</v>
      </c>
      <c r="M422" s="23" t="e">
        <f t="shared" ca="1" si="38"/>
        <v>#NAME?</v>
      </c>
      <c r="N422" s="23" t="e">
        <f t="shared" ca="1" si="39"/>
        <v>#NAME?</v>
      </c>
      <c r="O422" s="27" t="e">
        <f t="shared" ca="1" si="40"/>
        <v>#NAME?</v>
      </c>
      <c r="P422" s="27" t="e">
        <f ca="1">'01_INPUTS'!B9*N422-K422</f>
        <v>#NAME?</v>
      </c>
      <c r="Q422" s="1" t="e">
        <f t="shared" ca="1" si="41"/>
        <v>#NAME?</v>
      </c>
      <c r="R422" s="28">
        <v>0.80847890488803387</v>
      </c>
      <c r="S422" s="28">
        <v>0.31173338694497943</v>
      </c>
      <c r="T422" s="28">
        <v>0.52750925533473492</v>
      </c>
      <c r="U422" s="28">
        <v>0.10430452669970691</v>
      </c>
      <c r="V422" s="28">
        <v>0.97406471450813115</v>
      </c>
      <c r="W422" s="28">
        <v>0.81319040362723172</v>
      </c>
      <c r="X422" s="28">
        <v>0.79012394789606333</v>
      </c>
    </row>
    <row r="423" spans="1:24" ht="13.9">
      <c r="A423" s="1">
        <v>422</v>
      </c>
      <c r="B423" s="23" t="e">
        <f ca="1">_xludf.BETA.INV(R423,'04_PSA_INPUTS'!H5,'04_PSA_INPUTS'!I5)</f>
        <v>#NAME?</v>
      </c>
      <c r="C423" s="23" t="e">
        <f ca="1">_xludf.BETA.INV(S423,'04_PSA_INPUTS'!H6,'04_PSA_INPUTS'!I6)</f>
        <v>#NAME?</v>
      </c>
      <c r="D423" s="27" t="e">
        <f ca="1">_xludf.GAMMA.INV(T423,'04_PSA_INPUTS'!H7,'04_PSA_INPUTS'!I7)</f>
        <v>#NAME?</v>
      </c>
      <c r="E423" s="27" t="e">
        <f ca="1">_xludf.GAMMA.INV(U423,'04_PSA_INPUTS'!H8,'04_PSA_INPUTS'!I8)</f>
        <v>#NAME?</v>
      </c>
      <c r="F423" s="27" t="e">
        <f ca="1">_xludf.GAMMA.INV(V423,'04_PSA_INPUTS'!H9,'04_PSA_INPUTS'!I9)</f>
        <v>#NAME?</v>
      </c>
      <c r="G423" s="23" t="e">
        <f ca="1">_xludf.BETA.INV(W423,'04_PSA_INPUTS'!H10,'04_PSA_INPUTS'!I10)</f>
        <v>#NAME?</v>
      </c>
      <c r="H423" s="23" t="e">
        <f ca="1">_xludf.BETA.INV(X423,'04_PSA_INPUTS'!H11,'04_PSA_INPUTS'!I11)</f>
        <v>#NAME?</v>
      </c>
      <c r="I423" s="27" t="e">
        <f ca="1">D423+B423*F423+'01_INPUTS'!B20</f>
        <v>#NAME?</v>
      </c>
      <c r="J423" s="27" t="e">
        <f ca="1">E423+C423*F423+'01_INPUTS'!B21</f>
        <v>#NAME?</v>
      </c>
      <c r="K423" s="27" t="e">
        <f t="shared" ca="1" si="36"/>
        <v>#NAME?</v>
      </c>
      <c r="L423" s="23" t="e">
        <f t="shared" ca="1" si="37"/>
        <v>#NAME?</v>
      </c>
      <c r="M423" s="23" t="e">
        <f t="shared" ca="1" si="38"/>
        <v>#NAME?</v>
      </c>
      <c r="N423" s="23" t="e">
        <f t="shared" ca="1" si="39"/>
        <v>#NAME?</v>
      </c>
      <c r="O423" s="27" t="e">
        <f t="shared" ca="1" si="40"/>
        <v>#NAME?</v>
      </c>
      <c r="P423" s="27" t="e">
        <f ca="1">'01_INPUTS'!B9*N423-K423</f>
        <v>#NAME?</v>
      </c>
      <c r="Q423" s="1" t="e">
        <f t="shared" ca="1" si="41"/>
        <v>#NAME?</v>
      </c>
      <c r="R423" s="28">
        <v>0.87399449665099382</v>
      </c>
      <c r="S423" s="28">
        <v>0.7416704180650413</v>
      </c>
      <c r="T423" s="28">
        <v>0.20409827423281968</v>
      </c>
      <c r="U423" s="28">
        <v>0.7729267340619117</v>
      </c>
      <c r="V423" s="28">
        <v>4.0645563276484609E-2</v>
      </c>
      <c r="W423" s="28">
        <v>0.57924428838305175</v>
      </c>
      <c r="X423" s="28">
        <v>0.14465805236250162</v>
      </c>
    </row>
    <row r="424" spans="1:24" ht="13.9">
      <c r="A424" s="1">
        <v>423</v>
      </c>
      <c r="B424" s="23" t="e">
        <f ca="1">_xludf.BETA.INV(R424,'04_PSA_INPUTS'!H5,'04_PSA_INPUTS'!I5)</f>
        <v>#NAME?</v>
      </c>
      <c r="C424" s="23" t="e">
        <f ca="1">_xludf.BETA.INV(S424,'04_PSA_INPUTS'!H6,'04_PSA_INPUTS'!I6)</f>
        <v>#NAME?</v>
      </c>
      <c r="D424" s="27" t="e">
        <f ca="1">_xludf.GAMMA.INV(T424,'04_PSA_INPUTS'!H7,'04_PSA_INPUTS'!I7)</f>
        <v>#NAME?</v>
      </c>
      <c r="E424" s="27" t="e">
        <f ca="1">_xludf.GAMMA.INV(U424,'04_PSA_INPUTS'!H8,'04_PSA_INPUTS'!I8)</f>
        <v>#NAME?</v>
      </c>
      <c r="F424" s="27" t="e">
        <f ca="1">_xludf.GAMMA.INV(V424,'04_PSA_INPUTS'!H9,'04_PSA_INPUTS'!I9)</f>
        <v>#NAME?</v>
      </c>
      <c r="G424" s="23" t="e">
        <f ca="1">_xludf.BETA.INV(W424,'04_PSA_INPUTS'!H10,'04_PSA_INPUTS'!I10)</f>
        <v>#NAME?</v>
      </c>
      <c r="H424" s="23" t="e">
        <f ca="1">_xludf.BETA.INV(X424,'04_PSA_INPUTS'!H11,'04_PSA_INPUTS'!I11)</f>
        <v>#NAME?</v>
      </c>
      <c r="I424" s="27" t="e">
        <f ca="1">D424+B424*F424+'01_INPUTS'!B20</f>
        <v>#NAME?</v>
      </c>
      <c r="J424" s="27" t="e">
        <f ca="1">E424+C424*F424+'01_INPUTS'!B21</f>
        <v>#NAME?</v>
      </c>
      <c r="K424" s="27" t="e">
        <f t="shared" ca="1" si="36"/>
        <v>#NAME?</v>
      </c>
      <c r="L424" s="23" t="e">
        <f t="shared" ca="1" si="37"/>
        <v>#NAME?</v>
      </c>
      <c r="M424" s="23" t="e">
        <f t="shared" ca="1" si="38"/>
        <v>#NAME?</v>
      </c>
      <c r="N424" s="23" t="e">
        <f t="shared" ca="1" si="39"/>
        <v>#NAME?</v>
      </c>
      <c r="O424" s="27" t="e">
        <f t="shared" ca="1" si="40"/>
        <v>#NAME?</v>
      </c>
      <c r="P424" s="27" t="e">
        <f ca="1">'01_INPUTS'!B9*N424-K424</f>
        <v>#NAME?</v>
      </c>
      <c r="Q424" s="1" t="e">
        <f t="shared" ca="1" si="41"/>
        <v>#NAME?</v>
      </c>
      <c r="R424" s="28">
        <v>0.33355298335663974</v>
      </c>
      <c r="S424" s="28">
        <v>0.12500362540595233</v>
      </c>
      <c r="T424" s="28">
        <v>0.2520393228624016</v>
      </c>
      <c r="U424" s="28">
        <v>8.4963220870122313E-2</v>
      </c>
      <c r="V424" s="28">
        <v>0.1569029085803777</v>
      </c>
      <c r="W424" s="28">
        <v>0.39523179526440799</v>
      </c>
      <c r="X424" s="28">
        <v>0.53617160441353917</v>
      </c>
    </row>
    <row r="425" spans="1:24" ht="13.9">
      <c r="A425" s="1">
        <v>424</v>
      </c>
      <c r="B425" s="23" t="e">
        <f ca="1">_xludf.BETA.INV(R425,'04_PSA_INPUTS'!H5,'04_PSA_INPUTS'!I5)</f>
        <v>#NAME?</v>
      </c>
      <c r="C425" s="23" t="e">
        <f ca="1">_xludf.BETA.INV(S425,'04_PSA_INPUTS'!H6,'04_PSA_INPUTS'!I6)</f>
        <v>#NAME?</v>
      </c>
      <c r="D425" s="27" t="e">
        <f ca="1">_xludf.GAMMA.INV(T425,'04_PSA_INPUTS'!H7,'04_PSA_INPUTS'!I7)</f>
        <v>#NAME?</v>
      </c>
      <c r="E425" s="27" t="e">
        <f ca="1">_xludf.GAMMA.INV(U425,'04_PSA_INPUTS'!H8,'04_PSA_INPUTS'!I8)</f>
        <v>#NAME?</v>
      </c>
      <c r="F425" s="27" t="e">
        <f ca="1">_xludf.GAMMA.INV(V425,'04_PSA_INPUTS'!H9,'04_PSA_INPUTS'!I9)</f>
        <v>#NAME?</v>
      </c>
      <c r="G425" s="23" t="e">
        <f ca="1">_xludf.BETA.INV(W425,'04_PSA_INPUTS'!H10,'04_PSA_INPUTS'!I10)</f>
        <v>#NAME?</v>
      </c>
      <c r="H425" s="23" t="e">
        <f ca="1">_xludf.BETA.INV(X425,'04_PSA_INPUTS'!H11,'04_PSA_INPUTS'!I11)</f>
        <v>#NAME?</v>
      </c>
      <c r="I425" s="27" t="e">
        <f ca="1">D425+B425*F425+'01_INPUTS'!B20</f>
        <v>#NAME?</v>
      </c>
      <c r="J425" s="27" t="e">
        <f ca="1">E425+C425*F425+'01_INPUTS'!B21</f>
        <v>#NAME?</v>
      </c>
      <c r="K425" s="27" t="e">
        <f t="shared" ca="1" si="36"/>
        <v>#NAME?</v>
      </c>
      <c r="L425" s="23" t="e">
        <f t="shared" ca="1" si="37"/>
        <v>#NAME?</v>
      </c>
      <c r="M425" s="23" t="e">
        <f t="shared" ca="1" si="38"/>
        <v>#NAME?</v>
      </c>
      <c r="N425" s="23" t="e">
        <f t="shared" ca="1" si="39"/>
        <v>#NAME?</v>
      </c>
      <c r="O425" s="27" t="e">
        <f t="shared" ca="1" si="40"/>
        <v>#NAME?</v>
      </c>
      <c r="P425" s="27" t="e">
        <f ca="1">'01_INPUTS'!B9*N425-K425</f>
        <v>#NAME?</v>
      </c>
      <c r="Q425" s="1" t="e">
        <f t="shared" ca="1" si="41"/>
        <v>#NAME?</v>
      </c>
      <c r="R425" s="28">
        <v>7.3515248950570822E-2</v>
      </c>
      <c r="S425" s="28">
        <v>0.14567202795296907</v>
      </c>
      <c r="T425" s="28">
        <v>0.50239183753728867</v>
      </c>
      <c r="U425" s="28">
        <v>0.649007000727579</v>
      </c>
      <c r="V425" s="28">
        <v>0.64907851186580956</v>
      </c>
      <c r="W425" s="28">
        <v>0.78331801760941744</v>
      </c>
      <c r="X425" s="28">
        <v>0.73262922768481076</v>
      </c>
    </row>
    <row r="426" spans="1:24" ht="13.9">
      <c r="A426" s="1">
        <v>425</v>
      </c>
      <c r="B426" s="23" t="e">
        <f ca="1">_xludf.BETA.INV(R426,'04_PSA_INPUTS'!H5,'04_PSA_INPUTS'!I5)</f>
        <v>#NAME?</v>
      </c>
      <c r="C426" s="23" t="e">
        <f ca="1">_xludf.BETA.INV(S426,'04_PSA_INPUTS'!H6,'04_PSA_INPUTS'!I6)</f>
        <v>#NAME?</v>
      </c>
      <c r="D426" s="27" t="e">
        <f ca="1">_xludf.GAMMA.INV(T426,'04_PSA_INPUTS'!H7,'04_PSA_INPUTS'!I7)</f>
        <v>#NAME?</v>
      </c>
      <c r="E426" s="27" t="e">
        <f ca="1">_xludf.GAMMA.INV(U426,'04_PSA_INPUTS'!H8,'04_PSA_INPUTS'!I8)</f>
        <v>#NAME?</v>
      </c>
      <c r="F426" s="27" t="e">
        <f ca="1">_xludf.GAMMA.INV(V426,'04_PSA_INPUTS'!H9,'04_PSA_INPUTS'!I9)</f>
        <v>#NAME?</v>
      </c>
      <c r="G426" s="23" t="e">
        <f ca="1">_xludf.BETA.INV(W426,'04_PSA_INPUTS'!H10,'04_PSA_INPUTS'!I10)</f>
        <v>#NAME?</v>
      </c>
      <c r="H426" s="23" t="e">
        <f ca="1">_xludf.BETA.INV(X426,'04_PSA_INPUTS'!H11,'04_PSA_INPUTS'!I11)</f>
        <v>#NAME?</v>
      </c>
      <c r="I426" s="27" t="e">
        <f ca="1">D426+B426*F426+'01_INPUTS'!B20</f>
        <v>#NAME?</v>
      </c>
      <c r="J426" s="27" t="e">
        <f ca="1">E426+C426*F426+'01_INPUTS'!B21</f>
        <v>#NAME?</v>
      </c>
      <c r="K426" s="27" t="e">
        <f t="shared" ca="1" si="36"/>
        <v>#NAME?</v>
      </c>
      <c r="L426" s="23" t="e">
        <f t="shared" ca="1" si="37"/>
        <v>#NAME?</v>
      </c>
      <c r="M426" s="23" t="e">
        <f t="shared" ca="1" si="38"/>
        <v>#NAME?</v>
      </c>
      <c r="N426" s="23" t="e">
        <f t="shared" ca="1" si="39"/>
        <v>#NAME?</v>
      </c>
      <c r="O426" s="27" t="e">
        <f t="shared" ca="1" si="40"/>
        <v>#NAME?</v>
      </c>
      <c r="P426" s="27" t="e">
        <f ca="1">'01_INPUTS'!B9*N426-K426</f>
        <v>#NAME?</v>
      </c>
      <c r="Q426" s="1" t="e">
        <f t="shared" ca="1" si="41"/>
        <v>#NAME?</v>
      </c>
      <c r="R426" s="28">
        <v>0.7379384464584291</v>
      </c>
      <c r="S426" s="28">
        <v>0.2305115710478276</v>
      </c>
      <c r="T426" s="28">
        <v>4.5694672269746661E-2</v>
      </c>
      <c r="U426" s="28">
        <v>0.81590653536841273</v>
      </c>
      <c r="V426" s="28">
        <v>0.81421040440909564</v>
      </c>
      <c r="W426" s="28">
        <v>0.79770868644118309</v>
      </c>
      <c r="X426" s="28">
        <v>0.32061778753995895</v>
      </c>
    </row>
    <row r="427" spans="1:24" ht="13.9">
      <c r="A427" s="1">
        <v>426</v>
      </c>
      <c r="B427" s="23" t="e">
        <f ca="1">_xludf.BETA.INV(R427,'04_PSA_INPUTS'!H5,'04_PSA_INPUTS'!I5)</f>
        <v>#NAME?</v>
      </c>
      <c r="C427" s="23" t="e">
        <f ca="1">_xludf.BETA.INV(S427,'04_PSA_INPUTS'!H6,'04_PSA_INPUTS'!I6)</f>
        <v>#NAME?</v>
      </c>
      <c r="D427" s="27" t="e">
        <f ca="1">_xludf.GAMMA.INV(T427,'04_PSA_INPUTS'!H7,'04_PSA_INPUTS'!I7)</f>
        <v>#NAME?</v>
      </c>
      <c r="E427" s="27" t="e">
        <f ca="1">_xludf.GAMMA.INV(U427,'04_PSA_INPUTS'!H8,'04_PSA_INPUTS'!I8)</f>
        <v>#NAME?</v>
      </c>
      <c r="F427" s="27" t="e">
        <f ca="1">_xludf.GAMMA.INV(V427,'04_PSA_INPUTS'!H9,'04_PSA_INPUTS'!I9)</f>
        <v>#NAME?</v>
      </c>
      <c r="G427" s="23" t="e">
        <f ca="1">_xludf.BETA.INV(W427,'04_PSA_INPUTS'!H10,'04_PSA_INPUTS'!I10)</f>
        <v>#NAME?</v>
      </c>
      <c r="H427" s="23" t="e">
        <f ca="1">_xludf.BETA.INV(X427,'04_PSA_INPUTS'!H11,'04_PSA_INPUTS'!I11)</f>
        <v>#NAME?</v>
      </c>
      <c r="I427" s="27" t="e">
        <f ca="1">D427+B427*F427+'01_INPUTS'!B20</f>
        <v>#NAME?</v>
      </c>
      <c r="J427" s="27" t="e">
        <f ca="1">E427+C427*F427+'01_INPUTS'!B21</f>
        <v>#NAME?</v>
      </c>
      <c r="K427" s="27" t="e">
        <f t="shared" ca="1" si="36"/>
        <v>#NAME?</v>
      </c>
      <c r="L427" s="23" t="e">
        <f t="shared" ca="1" si="37"/>
        <v>#NAME?</v>
      </c>
      <c r="M427" s="23" t="e">
        <f t="shared" ca="1" si="38"/>
        <v>#NAME?</v>
      </c>
      <c r="N427" s="23" t="e">
        <f t="shared" ca="1" si="39"/>
        <v>#NAME?</v>
      </c>
      <c r="O427" s="27" t="e">
        <f t="shared" ca="1" si="40"/>
        <v>#NAME?</v>
      </c>
      <c r="P427" s="27" t="e">
        <f ca="1">'01_INPUTS'!B9*N427-K427</f>
        <v>#NAME?</v>
      </c>
      <c r="Q427" s="1" t="e">
        <f t="shared" ca="1" si="41"/>
        <v>#NAME?</v>
      </c>
      <c r="R427" s="28">
        <v>0.72148108505643904</v>
      </c>
      <c r="S427" s="28">
        <v>0.90385839785449207</v>
      </c>
      <c r="T427" s="28">
        <v>0.5362208487931639</v>
      </c>
      <c r="U427" s="28">
        <v>0.40094854380004108</v>
      </c>
      <c r="V427" s="28">
        <v>0.38144994154572487</v>
      </c>
      <c r="W427" s="28">
        <v>0.74070395343005657</v>
      </c>
      <c r="X427" s="28">
        <v>0.51137574249878526</v>
      </c>
    </row>
    <row r="428" spans="1:24" ht="13.9">
      <c r="A428" s="1">
        <v>427</v>
      </c>
      <c r="B428" s="23" t="e">
        <f ca="1">_xludf.BETA.INV(R428,'04_PSA_INPUTS'!H5,'04_PSA_INPUTS'!I5)</f>
        <v>#NAME?</v>
      </c>
      <c r="C428" s="23" t="e">
        <f ca="1">_xludf.BETA.INV(S428,'04_PSA_INPUTS'!H6,'04_PSA_INPUTS'!I6)</f>
        <v>#NAME?</v>
      </c>
      <c r="D428" s="27" t="e">
        <f ca="1">_xludf.GAMMA.INV(T428,'04_PSA_INPUTS'!H7,'04_PSA_INPUTS'!I7)</f>
        <v>#NAME?</v>
      </c>
      <c r="E428" s="27" t="e">
        <f ca="1">_xludf.GAMMA.INV(U428,'04_PSA_INPUTS'!H8,'04_PSA_INPUTS'!I8)</f>
        <v>#NAME?</v>
      </c>
      <c r="F428" s="27" t="e">
        <f ca="1">_xludf.GAMMA.INV(V428,'04_PSA_INPUTS'!H9,'04_PSA_INPUTS'!I9)</f>
        <v>#NAME?</v>
      </c>
      <c r="G428" s="23" t="e">
        <f ca="1">_xludf.BETA.INV(W428,'04_PSA_INPUTS'!H10,'04_PSA_INPUTS'!I10)</f>
        <v>#NAME?</v>
      </c>
      <c r="H428" s="23" t="e">
        <f ca="1">_xludf.BETA.INV(X428,'04_PSA_INPUTS'!H11,'04_PSA_INPUTS'!I11)</f>
        <v>#NAME?</v>
      </c>
      <c r="I428" s="27" t="e">
        <f ca="1">D428+B428*F428+'01_INPUTS'!B20</f>
        <v>#NAME?</v>
      </c>
      <c r="J428" s="27" t="e">
        <f ca="1">E428+C428*F428+'01_INPUTS'!B21</f>
        <v>#NAME?</v>
      </c>
      <c r="K428" s="27" t="e">
        <f t="shared" ca="1" si="36"/>
        <v>#NAME?</v>
      </c>
      <c r="L428" s="23" t="e">
        <f t="shared" ca="1" si="37"/>
        <v>#NAME?</v>
      </c>
      <c r="M428" s="23" t="e">
        <f t="shared" ca="1" si="38"/>
        <v>#NAME?</v>
      </c>
      <c r="N428" s="23" t="e">
        <f t="shared" ca="1" si="39"/>
        <v>#NAME?</v>
      </c>
      <c r="O428" s="27" t="e">
        <f t="shared" ca="1" si="40"/>
        <v>#NAME?</v>
      </c>
      <c r="P428" s="27" t="e">
        <f ca="1">'01_INPUTS'!B9*N428-K428</f>
        <v>#NAME?</v>
      </c>
      <c r="Q428" s="1" t="e">
        <f t="shared" ca="1" si="41"/>
        <v>#NAME?</v>
      </c>
      <c r="R428" s="28">
        <v>0.76618231530301273</v>
      </c>
      <c r="S428" s="28">
        <v>8.860207418911159E-2</v>
      </c>
      <c r="T428" s="28">
        <v>0.725190399447456</v>
      </c>
      <c r="U428" s="28">
        <v>0.63189866789616644</v>
      </c>
      <c r="V428" s="28">
        <v>0.39087483449839056</v>
      </c>
      <c r="W428" s="28">
        <v>0.92440020712092519</v>
      </c>
      <c r="X428" s="28">
        <v>0.80511860130354762</v>
      </c>
    </row>
    <row r="429" spans="1:24" ht="13.9">
      <c r="A429" s="1">
        <v>428</v>
      </c>
      <c r="B429" s="23" t="e">
        <f ca="1">_xludf.BETA.INV(R429,'04_PSA_INPUTS'!H5,'04_PSA_INPUTS'!I5)</f>
        <v>#NAME?</v>
      </c>
      <c r="C429" s="23" t="e">
        <f ca="1">_xludf.BETA.INV(S429,'04_PSA_INPUTS'!H6,'04_PSA_INPUTS'!I6)</f>
        <v>#NAME?</v>
      </c>
      <c r="D429" s="27" t="e">
        <f ca="1">_xludf.GAMMA.INV(T429,'04_PSA_INPUTS'!H7,'04_PSA_INPUTS'!I7)</f>
        <v>#NAME?</v>
      </c>
      <c r="E429" s="27" t="e">
        <f ca="1">_xludf.GAMMA.INV(U429,'04_PSA_INPUTS'!H8,'04_PSA_INPUTS'!I8)</f>
        <v>#NAME?</v>
      </c>
      <c r="F429" s="27" t="e">
        <f ca="1">_xludf.GAMMA.INV(V429,'04_PSA_INPUTS'!H9,'04_PSA_INPUTS'!I9)</f>
        <v>#NAME?</v>
      </c>
      <c r="G429" s="23" t="e">
        <f ca="1">_xludf.BETA.INV(W429,'04_PSA_INPUTS'!H10,'04_PSA_INPUTS'!I10)</f>
        <v>#NAME?</v>
      </c>
      <c r="H429" s="23" t="e">
        <f ca="1">_xludf.BETA.INV(X429,'04_PSA_INPUTS'!H11,'04_PSA_INPUTS'!I11)</f>
        <v>#NAME?</v>
      </c>
      <c r="I429" s="27" t="e">
        <f ca="1">D429+B429*F429+'01_INPUTS'!B20</f>
        <v>#NAME?</v>
      </c>
      <c r="J429" s="27" t="e">
        <f ca="1">E429+C429*F429+'01_INPUTS'!B21</f>
        <v>#NAME?</v>
      </c>
      <c r="K429" s="27" t="e">
        <f t="shared" ca="1" si="36"/>
        <v>#NAME?</v>
      </c>
      <c r="L429" s="23" t="e">
        <f t="shared" ca="1" si="37"/>
        <v>#NAME?</v>
      </c>
      <c r="M429" s="23" t="e">
        <f t="shared" ca="1" si="38"/>
        <v>#NAME?</v>
      </c>
      <c r="N429" s="23" t="e">
        <f t="shared" ca="1" si="39"/>
        <v>#NAME?</v>
      </c>
      <c r="O429" s="27" t="e">
        <f t="shared" ca="1" si="40"/>
        <v>#NAME?</v>
      </c>
      <c r="P429" s="27" t="e">
        <f ca="1">'01_INPUTS'!B9*N429-K429</f>
        <v>#NAME?</v>
      </c>
      <c r="Q429" s="1" t="e">
        <f t="shared" ca="1" si="41"/>
        <v>#NAME?</v>
      </c>
      <c r="R429" s="28">
        <v>0.95789667894132435</v>
      </c>
      <c r="S429" s="28">
        <v>0.64158652909100056</v>
      </c>
      <c r="T429" s="28">
        <v>0.29925193125382066</v>
      </c>
      <c r="U429" s="28">
        <v>0.56724418723024428</v>
      </c>
      <c r="V429" s="28">
        <v>0.9047869152855128</v>
      </c>
      <c r="W429" s="28">
        <v>0.67524102120660245</v>
      </c>
      <c r="X429" s="28">
        <v>0.10095800319686532</v>
      </c>
    </row>
    <row r="430" spans="1:24" ht="13.9">
      <c r="A430" s="1">
        <v>429</v>
      </c>
      <c r="B430" s="23" t="e">
        <f ca="1">_xludf.BETA.INV(R430,'04_PSA_INPUTS'!H5,'04_PSA_INPUTS'!I5)</f>
        <v>#NAME?</v>
      </c>
      <c r="C430" s="23" t="e">
        <f ca="1">_xludf.BETA.INV(S430,'04_PSA_INPUTS'!H6,'04_PSA_INPUTS'!I6)</f>
        <v>#NAME?</v>
      </c>
      <c r="D430" s="27" t="e">
        <f ca="1">_xludf.GAMMA.INV(T430,'04_PSA_INPUTS'!H7,'04_PSA_INPUTS'!I7)</f>
        <v>#NAME?</v>
      </c>
      <c r="E430" s="27" t="e">
        <f ca="1">_xludf.GAMMA.INV(U430,'04_PSA_INPUTS'!H8,'04_PSA_INPUTS'!I8)</f>
        <v>#NAME?</v>
      </c>
      <c r="F430" s="27" t="e">
        <f ca="1">_xludf.GAMMA.INV(V430,'04_PSA_INPUTS'!H9,'04_PSA_INPUTS'!I9)</f>
        <v>#NAME?</v>
      </c>
      <c r="G430" s="23" t="e">
        <f ca="1">_xludf.BETA.INV(W430,'04_PSA_INPUTS'!H10,'04_PSA_INPUTS'!I10)</f>
        <v>#NAME?</v>
      </c>
      <c r="H430" s="23" t="e">
        <f ca="1">_xludf.BETA.INV(X430,'04_PSA_INPUTS'!H11,'04_PSA_INPUTS'!I11)</f>
        <v>#NAME?</v>
      </c>
      <c r="I430" s="27" t="e">
        <f ca="1">D430+B430*F430+'01_INPUTS'!B20</f>
        <v>#NAME?</v>
      </c>
      <c r="J430" s="27" t="e">
        <f ca="1">E430+C430*F430+'01_INPUTS'!B21</f>
        <v>#NAME?</v>
      </c>
      <c r="K430" s="27" t="e">
        <f t="shared" ca="1" si="36"/>
        <v>#NAME?</v>
      </c>
      <c r="L430" s="23" t="e">
        <f t="shared" ca="1" si="37"/>
        <v>#NAME?</v>
      </c>
      <c r="M430" s="23" t="e">
        <f t="shared" ca="1" si="38"/>
        <v>#NAME?</v>
      </c>
      <c r="N430" s="23" t="e">
        <f t="shared" ca="1" si="39"/>
        <v>#NAME?</v>
      </c>
      <c r="O430" s="27" t="e">
        <f t="shared" ca="1" si="40"/>
        <v>#NAME?</v>
      </c>
      <c r="P430" s="27" t="e">
        <f ca="1">'01_INPUTS'!B9*N430-K430</f>
        <v>#NAME?</v>
      </c>
      <c r="Q430" s="1" t="e">
        <f t="shared" ca="1" si="41"/>
        <v>#NAME?</v>
      </c>
      <c r="R430" s="28">
        <v>0.96801280090585351</v>
      </c>
      <c r="S430" s="28">
        <v>0.16509165661409497</v>
      </c>
      <c r="T430" s="28">
        <v>0.75310956686735153</v>
      </c>
      <c r="U430" s="28">
        <v>0.75783096463419497</v>
      </c>
      <c r="V430" s="28">
        <v>0.6111526065506041</v>
      </c>
      <c r="W430" s="28">
        <v>0.35893040476366878</v>
      </c>
      <c r="X430" s="28">
        <v>0.39361696667037904</v>
      </c>
    </row>
    <row r="431" spans="1:24" ht="13.9">
      <c r="A431" s="1">
        <v>430</v>
      </c>
      <c r="B431" s="23" t="e">
        <f ca="1">_xludf.BETA.INV(R431,'04_PSA_INPUTS'!H5,'04_PSA_INPUTS'!I5)</f>
        <v>#NAME?</v>
      </c>
      <c r="C431" s="23" t="e">
        <f ca="1">_xludf.BETA.INV(S431,'04_PSA_INPUTS'!H6,'04_PSA_INPUTS'!I6)</f>
        <v>#NAME?</v>
      </c>
      <c r="D431" s="27" t="e">
        <f ca="1">_xludf.GAMMA.INV(T431,'04_PSA_INPUTS'!H7,'04_PSA_INPUTS'!I7)</f>
        <v>#NAME?</v>
      </c>
      <c r="E431" s="27" t="e">
        <f ca="1">_xludf.GAMMA.INV(U431,'04_PSA_INPUTS'!H8,'04_PSA_INPUTS'!I8)</f>
        <v>#NAME?</v>
      </c>
      <c r="F431" s="27" t="e">
        <f ca="1">_xludf.GAMMA.INV(V431,'04_PSA_INPUTS'!H9,'04_PSA_INPUTS'!I9)</f>
        <v>#NAME?</v>
      </c>
      <c r="G431" s="23" t="e">
        <f ca="1">_xludf.BETA.INV(W431,'04_PSA_INPUTS'!H10,'04_PSA_INPUTS'!I10)</f>
        <v>#NAME?</v>
      </c>
      <c r="H431" s="23" t="e">
        <f ca="1">_xludf.BETA.INV(X431,'04_PSA_INPUTS'!H11,'04_PSA_INPUTS'!I11)</f>
        <v>#NAME?</v>
      </c>
      <c r="I431" s="27" t="e">
        <f ca="1">D431+B431*F431+'01_INPUTS'!B20</f>
        <v>#NAME?</v>
      </c>
      <c r="J431" s="27" t="e">
        <f ca="1">E431+C431*F431+'01_INPUTS'!B21</f>
        <v>#NAME?</v>
      </c>
      <c r="K431" s="27" t="e">
        <f t="shared" ca="1" si="36"/>
        <v>#NAME?</v>
      </c>
      <c r="L431" s="23" t="e">
        <f t="shared" ca="1" si="37"/>
        <v>#NAME?</v>
      </c>
      <c r="M431" s="23" t="e">
        <f t="shared" ca="1" si="38"/>
        <v>#NAME?</v>
      </c>
      <c r="N431" s="23" t="e">
        <f t="shared" ca="1" si="39"/>
        <v>#NAME?</v>
      </c>
      <c r="O431" s="27" t="e">
        <f t="shared" ca="1" si="40"/>
        <v>#NAME?</v>
      </c>
      <c r="P431" s="27" t="e">
        <f ca="1">'01_INPUTS'!B9*N431-K431</f>
        <v>#NAME?</v>
      </c>
      <c r="Q431" s="1" t="e">
        <f t="shared" ca="1" si="41"/>
        <v>#NAME?</v>
      </c>
      <c r="R431" s="28">
        <v>0.35917423921637237</v>
      </c>
      <c r="S431" s="28">
        <v>0.37615726701915264</v>
      </c>
      <c r="T431" s="28">
        <v>0.37150221061892807</v>
      </c>
      <c r="U431" s="28">
        <v>0.66414737631566823</v>
      </c>
      <c r="V431" s="28">
        <v>0.63244846416637301</v>
      </c>
      <c r="W431" s="28">
        <v>0.60751061979681253</v>
      </c>
      <c r="X431" s="28">
        <v>0.52042226633056998</v>
      </c>
    </row>
    <row r="432" spans="1:24" ht="13.9">
      <c r="A432" s="1">
        <v>431</v>
      </c>
      <c r="B432" s="23" t="e">
        <f ca="1">_xludf.BETA.INV(R432,'04_PSA_INPUTS'!H5,'04_PSA_INPUTS'!I5)</f>
        <v>#NAME?</v>
      </c>
      <c r="C432" s="23" t="e">
        <f ca="1">_xludf.BETA.INV(S432,'04_PSA_INPUTS'!H6,'04_PSA_INPUTS'!I6)</f>
        <v>#NAME?</v>
      </c>
      <c r="D432" s="27" t="e">
        <f ca="1">_xludf.GAMMA.INV(T432,'04_PSA_INPUTS'!H7,'04_PSA_INPUTS'!I7)</f>
        <v>#NAME?</v>
      </c>
      <c r="E432" s="27" t="e">
        <f ca="1">_xludf.GAMMA.INV(U432,'04_PSA_INPUTS'!H8,'04_PSA_INPUTS'!I8)</f>
        <v>#NAME?</v>
      </c>
      <c r="F432" s="27" t="e">
        <f ca="1">_xludf.GAMMA.INV(V432,'04_PSA_INPUTS'!H9,'04_PSA_INPUTS'!I9)</f>
        <v>#NAME?</v>
      </c>
      <c r="G432" s="23" t="e">
        <f ca="1">_xludf.BETA.INV(W432,'04_PSA_INPUTS'!H10,'04_PSA_INPUTS'!I10)</f>
        <v>#NAME?</v>
      </c>
      <c r="H432" s="23" t="e">
        <f ca="1">_xludf.BETA.INV(X432,'04_PSA_INPUTS'!H11,'04_PSA_INPUTS'!I11)</f>
        <v>#NAME?</v>
      </c>
      <c r="I432" s="27" t="e">
        <f ca="1">D432+B432*F432+'01_INPUTS'!B20</f>
        <v>#NAME?</v>
      </c>
      <c r="J432" s="27" t="e">
        <f ca="1">E432+C432*F432+'01_INPUTS'!B21</f>
        <v>#NAME?</v>
      </c>
      <c r="K432" s="27" t="e">
        <f t="shared" ca="1" si="36"/>
        <v>#NAME?</v>
      </c>
      <c r="L432" s="23" t="e">
        <f t="shared" ca="1" si="37"/>
        <v>#NAME?</v>
      </c>
      <c r="M432" s="23" t="e">
        <f t="shared" ca="1" si="38"/>
        <v>#NAME?</v>
      </c>
      <c r="N432" s="23" t="e">
        <f t="shared" ca="1" si="39"/>
        <v>#NAME?</v>
      </c>
      <c r="O432" s="27" t="e">
        <f t="shared" ca="1" si="40"/>
        <v>#NAME?</v>
      </c>
      <c r="P432" s="27" t="e">
        <f ca="1">'01_INPUTS'!B9*N432-K432</f>
        <v>#NAME?</v>
      </c>
      <c r="Q432" s="1" t="e">
        <f t="shared" ca="1" si="41"/>
        <v>#NAME?</v>
      </c>
      <c r="R432" s="28">
        <v>0.52455485542304814</v>
      </c>
      <c r="S432" s="28">
        <v>0.39189154910854995</v>
      </c>
      <c r="T432" s="28">
        <v>0.97261553583666682</v>
      </c>
      <c r="U432" s="28">
        <v>0.12192512303590775</v>
      </c>
      <c r="V432" s="28">
        <v>0.70754006505012512</v>
      </c>
      <c r="W432" s="28">
        <v>3.4854553174227476E-2</v>
      </c>
      <c r="X432" s="28">
        <v>0.37037088419310749</v>
      </c>
    </row>
    <row r="433" spans="1:24" ht="13.9">
      <c r="A433" s="1">
        <v>432</v>
      </c>
      <c r="B433" s="23" t="e">
        <f ca="1">_xludf.BETA.INV(R433,'04_PSA_INPUTS'!H5,'04_PSA_INPUTS'!I5)</f>
        <v>#NAME?</v>
      </c>
      <c r="C433" s="23" t="e">
        <f ca="1">_xludf.BETA.INV(S433,'04_PSA_INPUTS'!H6,'04_PSA_INPUTS'!I6)</f>
        <v>#NAME?</v>
      </c>
      <c r="D433" s="27" t="e">
        <f ca="1">_xludf.GAMMA.INV(T433,'04_PSA_INPUTS'!H7,'04_PSA_INPUTS'!I7)</f>
        <v>#NAME?</v>
      </c>
      <c r="E433" s="27" t="e">
        <f ca="1">_xludf.GAMMA.INV(U433,'04_PSA_INPUTS'!H8,'04_PSA_INPUTS'!I8)</f>
        <v>#NAME?</v>
      </c>
      <c r="F433" s="27" t="e">
        <f ca="1">_xludf.GAMMA.INV(V433,'04_PSA_INPUTS'!H9,'04_PSA_INPUTS'!I9)</f>
        <v>#NAME?</v>
      </c>
      <c r="G433" s="23" t="e">
        <f ca="1">_xludf.BETA.INV(W433,'04_PSA_INPUTS'!H10,'04_PSA_INPUTS'!I10)</f>
        <v>#NAME?</v>
      </c>
      <c r="H433" s="23" t="e">
        <f ca="1">_xludf.BETA.INV(X433,'04_PSA_INPUTS'!H11,'04_PSA_INPUTS'!I11)</f>
        <v>#NAME?</v>
      </c>
      <c r="I433" s="27" t="e">
        <f ca="1">D433+B433*F433+'01_INPUTS'!B20</f>
        <v>#NAME?</v>
      </c>
      <c r="J433" s="27" t="e">
        <f ca="1">E433+C433*F433+'01_INPUTS'!B21</f>
        <v>#NAME?</v>
      </c>
      <c r="K433" s="27" t="e">
        <f t="shared" ca="1" si="36"/>
        <v>#NAME?</v>
      </c>
      <c r="L433" s="23" t="e">
        <f t="shared" ca="1" si="37"/>
        <v>#NAME?</v>
      </c>
      <c r="M433" s="23" t="e">
        <f t="shared" ca="1" si="38"/>
        <v>#NAME?</v>
      </c>
      <c r="N433" s="23" t="e">
        <f t="shared" ca="1" si="39"/>
        <v>#NAME?</v>
      </c>
      <c r="O433" s="27" t="e">
        <f t="shared" ca="1" si="40"/>
        <v>#NAME?</v>
      </c>
      <c r="P433" s="27" t="e">
        <f ca="1">'01_INPUTS'!B9*N433-K433</f>
        <v>#NAME?</v>
      </c>
      <c r="Q433" s="1" t="e">
        <f t="shared" ca="1" si="41"/>
        <v>#NAME?</v>
      </c>
      <c r="R433" s="28">
        <v>0.76674467092379928</v>
      </c>
      <c r="S433" s="28">
        <v>0.95588655606843531</v>
      </c>
      <c r="T433" s="28">
        <v>0.14592915773391724</v>
      </c>
      <c r="U433" s="28">
        <v>0.5217396030202508</v>
      </c>
      <c r="V433" s="28">
        <v>4.0157814277336001E-2</v>
      </c>
      <c r="W433" s="28">
        <v>0.31344981305301189</v>
      </c>
      <c r="X433" s="28">
        <v>0.39157770038582385</v>
      </c>
    </row>
    <row r="434" spans="1:24" ht="13.9">
      <c r="A434" s="1">
        <v>433</v>
      </c>
      <c r="B434" s="23" t="e">
        <f ca="1">_xludf.BETA.INV(R434,'04_PSA_INPUTS'!H5,'04_PSA_INPUTS'!I5)</f>
        <v>#NAME?</v>
      </c>
      <c r="C434" s="23" t="e">
        <f ca="1">_xludf.BETA.INV(S434,'04_PSA_INPUTS'!H6,'04_PSA_INPUTS'!I6)</f>
        <v>#NAME?</v>
      </c>
      <c r="D434" s="27" t="e">
        <f ca="1">_xludf.GAMMA.INV(T434,'04_PSA_INPUTS'!H7,'04_PSA_INPUTS'!I7)</f>
        <v>#NAME?</v>
      </c>
      <c r="E434" s="27" t="e">
        <f ca="1">_xludf.GAMMA.INV(U434,'04_PSA_INPUTS'!H8,'04_PSA_INPUTS'!I8)</f>
        <v>#NAME?</v>
      </c>
      <c r="F434" s="27" t="e">
        <f ca="1">_xludf.GAMMA.INV(V434,'04_PSA_INPUTS'!H9,'04_PSA_INPUTS'!I9)</f>
        <v>#NAME?</v>
      </c>
      <c r="G434" s="23" t="e">
        <f ca="1">_xludf.BETA.INV(W434,'04_PSA_INPUTS'!H10,'04_PSA_INPUTS'!I10)</f>
        <v>#NAME?</v>
      </c>
      <c r="H434" s="23" t="e">
        <f ca="1">_xludf.BETA.INV(X434,'04_PSA_INPUTS'!H11,'04_PSA_INPUTS'!I11)</f>
        <v>#NAME?</v>
      </c>
      <c r="I434" s="27" t="e">
        <f ca="1">D434+B434*F434+'01_INPUTS'!B20</f>
        <v>#NAME?</v>
      </c>
      <c r="J434" s="27" t="e">
        <f ca="1">E434+C434*F434+'01_INPUTS'!B21</f>
        <v>#NAME?</v>
      </c>
      <c r="K434" s="27" t="e">
        <f t="shared" ca="1" si="36"/>
        <v>#NAME?</v>
      </c>
      <c r="L434" s="23" t="e">
        <f t="shared" ca="1" si="37"/>
        <v>#NAME?</v>
      </c>
      <c r="M434" s="23" t="e">
        <f t="shared" ca="1" si="38"/>
        <v>#NAME?</v>
      </c>
      <c r="N434" s="23" t="e">
        <f t="shared" ca="1" si="39"/>
        <v>#NAME?</v>
      </c>
      <c r="O434" s="27" t="e">
        <f t="shared" ca="1" si="40"/>
        <v>#NAME?</v>
      </c>
      <c r="P434" s="27" t="e">
        <f ca="1">'01_INPUTS'!B9*N434-K434</f>
        <v>#NAME?</v>
      </c>
      <c r="Q434" s="1" t="e">
        <f t="shared" ca="1" si="41"/>
        <v>#NAME?</v>
      </c>
      <c r="R434" s="28">
        <v>0.44872073014266789</v>
      </c>
      <c r="S434" s="28">
        <v>0.20203646714799106</v>
      </c>
      <c r="T434" s="28">
        <v>0.17655485821887851</v>
      </c>
      <c r="U434" s="28">
        <v>0.51501021930016577</v>
      </c>
      <c r="V434" s="28">
        <v>0.80796612310223281</v>
      </c>
      <c r="W434" s="28">
        <v>0.20496933837421238</v>
      </c>
      <c r="X434" s="28">
        <v>9.7953115357086062E-2</v>
      </c>
    </row>
    <row r="435" spans="1:24" ht="13.9">
      <c r="A435" s="1">
        <v>434</v>
      </c>
      <c r="B435" s="23" t="e">
        <f ca="1">_xludf.BETA.INV(R435,'04_PSA_INPUTS'!H5,'04_PSA_INPUTS'!I5)</f>
        <v>#NAME?</v>
      </c>
      <c r="C435" s="23" t="e">
        <f ca="1">_xludf.BETA.INV(S435,'04_PSA_INPUTS'!H6,'04_PSA_INPUTS'!I6)</f>
        <v>#NAME?</v>
      </c>
      <c r="D435" s="27" t="e">
        <f ca="1">_xludf.GAMMA.INV(T435,'04_PSA_INPUTS'!H7,'04_PSA_INPUTS'!I7)</f>
        <v>#NAME?</v>
      </c>
      <c r="E435" s="27" t="e">
        <f ca="1">_xludf.GAMMA.INV(U435,'04_PSA_INPUTS'!H8,'04_PSA_INPUTS'!I8)</f>
        <v>#NAME?</v>
      </c>
      <c r="F435" s="27" t="e">
        <f ca="1">_xludf.GAMMA.INV(V435,'04_PSA_INPUTS'!H9,'04_PSA_INPUTS'!I9)</f>
        <v>#NAME?</v>
      </c>
      <c r="G435" s="23" t="e">
        <f ca="1">_xludf.BETA.INV(W435,'04_PSA_INPUTS'!H10,'04_PSA_INPUTS'!I10)</f>
        <v>#NAME?</v>
      </c>
      <c r="H435" s="23" t="e">
        <f ca="1">_xludf.BETA.INV(X435,'04_PSA_INPUTS'!H11,'04_PSA_INPUTS'!I11)</f>
        <v>#NAME?</v>
      </c>
      <c r="I435" s="27" t="e">
        <f ca="1">D435+B435*F435+'01_INPUTS'!B20</f>
        <v>#NAME?</v>
      </c>
      <c r="J435" s="27" t="e">
        <f ca="1">E435+C435*F435+'01_INPUTS'!B21</f>
        <v>#NAME?</v>
      </c>
      <c r="K435" s="27" t="e">
        <f t="shared" ca="1" si="36"/>
        <v>#NAME?</v>
      </c>
      <c r="L435" s="23" t="e">
        <f t="shared" ca="1" si="37"/>
        <v>#NAME?</v>
      </c>
      <c r="M435" s="23" t="e">
        <f t="shared" ca="1" si="38"/>
        <v>#NAME?</v>
      </c>
      <c r="N435" s="23" t="e">
        <f t="shared" ca="1" si="39"/>
        <v>#NAME?</v>
      </c>
      <c r="O435" s="27" t="e">
        <f t="shared" ca="1" si="40"/>
        <v>#NAME?</v>
      </c>
      <c r="P435" s="27" t="e">
        <f ca="1">'01_INPUTS'!B9*N435-K435</f>
        <v>#NAME?</v>
      </c>
      <c r="Q435" s="1" t="e">
        <f t="shared" ca="1" si="41"/>
        <v>#NAME?</v>
      </c>
      <c r="R435" s="28">
        <v>0.86496915738098323</v>
      </c>
      <c r="S435" s="28">
        <v>0.72919061314314604</v>
      </c>
      <c r="T435" s="28">
        <v>0.7295087322127074</v>
      </c>
      <c r="U435" s="28">
        <v>0.43681467231363058</v>
      </c>
      <c r="V435" s="28">
        <v>0.42843680898658931</v>
      </c>
      <c r="W435" s="28">
        <v>5.550518911331892E-2</v>
      </c>
      <c r="X435" s="28">
        <v>0.11880351789295673</v>
      </c>
    </row>
    <row r="436" spans="1:24" ht="13.9">
      <c r="A436" s="1">
        <v>435</v>
      </c>
      <c r="B436" s="23" t="e">
        <f ca="1">_xludf.BETA.INV(R436,'04_PSA_INPUTS'!H5,'04_PSA_INPUTS'!I5)</f>
        <v>#NAME?</v>
      </c>
      <c r="C436" s="23" t="e">
        <f ca="1">_xludf.BETA.INV(S436,'04_PSA_INPUTS'!H6,'04_PSA_INPUTS'!I6)</f>
        <v>#NAME?</v>
      </c>
      <c r="D436" s="27" t="e">
        <f ca="1">_xludf.GAMMA.INV(T436,'04_PSA_INPUTS'!H7,'04_PSA_INPUTS'!I7)</f>
        <v>#NAME?</v>
      </c>
      <c r="E436" s="27" t="e">
        <f ca="1">_xludf.GAMMA.INV(U436,'04_PSA_INPUTS'!H8,'04_PSA_INPUTS'!I8)</f>
        <v>#NAME?</v>
      </c>
      <c r="F436" s="27" t="e">
        <f ca="1">_xludf.GAMMA.INV(V436,'04_PSA_INPUTS'!H9,'04_PSA_INPUTS'!I9)</f>
        <v>#NAME?</v>
      </c>
      <c r="G436" s="23" t="e">
        <f ca="1">_xludf.BETA.INV(W436,'04_PSA_INPUTS'!H10,'04_PSA_INPUTS'!I10)</f>
        <v>#NAME?</v>
      </c>
      <c r="H436" s="23" t="e">
        <f ca="1">_xludf.BETA.INV(X436,'04_PSA_INPUTS'!H11,'04_PSA_INPUTS'!I11)</f>
        <v>#NAME?</v>
      </c>
      <c r="I436" s="27" t="e">
        <f ca="1">D436+B436*F436+'01_INPUTS'!B20</f>
        <v>#NAME?</v>
      </c>
      <c r="J436" s="27" t="e">
        <f ca="1">E436+C436*F436+'01_INPUTS'!B21</f>
        <v>#NAME?</v>
      </c>
      <c r="K436" s="27" t="e">
        <f t="shared" ca="1" si="36"/>
        <v>#NAME?</v>
      </c>
      <c r="L436" s="23" t="e">
        <f t="shared" ca="1" si="37"/>
        <v>#NAME?</v>
      </c>
      <c r="M436" s="23" t="e">
        <f t="shared" ca="1" si="38"/>
        <v>#NAME?</v>
      </c>
      <c r="N436" s="23" t="e">
        <f t="shared" ca="1" si="39"/>
        <v>#NAME?</v>
      </c>
      <c r="O436" s="27" t="e">
        <f t="shared" ca="1" si="40"/>
        <v>#NAME?</v>
      </c>
      <c r="P436" s="27" t="e">
        <f ca="1">'01_INPUTS'!B9*N436-K436</f>
        <v>#NAME?</v>
      </c>
      <c r="Q436" s="1" t="e">
        <f t="shared" ca="1" si="41"/>
        <v>#NAME?</v>
      </c>
      <c r="R436" s="28">
        <v>0.70526633644476533</v>
      </c>
      <c r="S436" s="28">
        <v>0.80332239903509617</v>
      </c>
      <c r="T436" s="28">
        <v>0.23642723774537444</v>
      </c>
      <c r="U436" s="28">
        <v>0.37741078645922244</v>
      </c>
      <c r="V436" s="28">
        <v>0.57085697329603136</v>
      </c>
      <c r="W436" s="28">
        <v>3.418856137432158E-2</v>
      </c>
      <c r="X436" s="28">
        <v>0.9392160763964057</v>
      </c>
    </row>
    <row r="437" spans="1:24" ht="13.9">
      <c r="A437" s="1">
        <v>436</v>
      </c>
      <c r="B437" s="23" t="e">
        <f ca="1">_xludf.BETA.INV(R437,'04_PSA_INPUTS'!H5,'04_PSA_INPUTS'!I5)</f>
        <v>#NAME?</v>
      </c>
      <c r="C437" s="23" t="e">
        <f ca="1">_xludf.BETA.INV(S437,'04_PSA_INPUTS'!H6,'04_PSA_INPUTS'!I6)</f>
        <v>#NAME?</v>
      </c>
      <c r="D437" s="27" t="e">
        <f ca="1">_xludf.GAMMA.INV(T437,'04_PSA_INPUTS'!H7,'04_PSA_INPUTS'!I7)</f>
        <v>#NAME?</v>
      </c>
      <c r="E437" s="27" t="e">
        <f ca="1">_xludf.GAMMA.INV(U437,'04_PSA_INPUTS'!H8,'04_PSA_INPUTS'!I8)</f>
        <v>#NAME?</v>
      </c>
      <c r="F437" s="27" t="e">
        <f ca="1">_xludf.GAMMA.INV(V437,'04_PSA_INPUTS'!H9,'04_PSA_INPUTS'!I9)</f>
        <v>#NAME?</v>
      </c>
      <c r="G437" s="23" t="e">
        <f ca="1">_xludf.BETA.INV(W437,'04_PSA_INPUTS'!H10,'04_PSA_INPUTS'!I10)</f>
        <v>#NAME?</v>
      </c>
      <c r="H437" s="23" t="e">
        <f ca="1">_xludf.BETA.INV(X437,'04_PSA_INPUTS'!H11,'04_PSA_INPUTS'!I11)</f>
        <v>#NAME?</v>
      </c>
      <c r="I437" s="27" t="e">
        <f ca="1">D437+B437*F437+'01_INPUTS'!B20</f>
        <v>#NAME?</v>
      </c>
      <c r="J437" s="27" t="e">
        <f ca="1">E437+C437*F437+'01_INPUTS'!B21</f>
        <v>#NAME?</v>
      </c>
      <c r="K437" s="27" t="e">
        <f t="shared" ca="1" si="36"/>
        <v>#NAME?</v>
      </c>
      <c r="L437" s="23" t="e">
        <f t="shared" ca="1" si="37"/>
        <v>#NAME?</v>
      </c>
      <c r="M437" s="23" t="e">
        <f t="shared" ca="1" si="38"/>
        <v>#NAME?</v>
      </c>
      <c r="N437" s="23" t="e">
        <f t="shared" ca="1" si="39"/>
        <v>#NAME?</v>
      </c>
      <c r="O437" s="27" t="e">
        <f t="shared" ca="1" si="40"/>
        <v>#NAME?</v>
      </c>
      <c r="P437" s="27" t="e">
        <f ca="1">'01_INPUTS'!B9*N437-K437</f>
        <v>#NAME?</v>
      </c>
      <c r="Q437" s="1" t="e">
        <f t="shared" ca="1" si="41"/>
        <v>#NAME?</v>
      </c>
      <c r="R437" s="28">
        <v>0.3489116532728076</v>
      </c>
      <c r="S437" s="28">
        <v>1.2654669350013137E-2</v>
      </c>
      <c r="T437" s="28">
        <v>0.75380469812080264</v>
      </c>
      <c r="U437" s="28">
        <v>0.72096841945312917</v>
      </c>
      <c r="V437" s="28">
        <v>0.72355976630933583</v>
      </c>
      <c r="W437" s="28">
        <v>0.25001985998824239</v>
      </c>
      <c r="X437" s="28">
        <v>0.27848953218199313</v>
      </c>
    </row>
    <row r="438" spans="1:24" ht="13.9">
      <c r="A438" s="1">
        <v>437</v>
      </c>
      <c r="B438" s="23" t="e">
        <f ca="1">_xludf.BETA.INV(R438,'04_PSA_INPUTS'!H5,'04_PSA_INPUTS'!I5)</f>
        <v>#NAME?</v>
      </c>
      <c r="C438" s="23" t="e">
        <f ca="1">_xludf.BETA.INV(S438,'04_PSA_INPUTS'!H6,'04_PSA_INPUTS'!I6)</f>
        <v>#NAME?</v>
      </c>
      <c r="D438" s="27" t="e">
        <f ca="1">_xludf.GAMMA.INV(T438,'04_PSA_INPUTS'!H7,'04_PSA_INPUTS'!I7)</f>
        <v>#NAME?</v>
      </c>
      <c r="E438" s="27" t="e">
        <f ca="1">_xludf.GAMMA.INV(U438,'04_PSA_INPUTS'!H8,'04_PSA_INPUTS'!I8)</f>
        <v>#NAME?</v>
      </c>
      <c r="F438" s="27" t="e">
        <f ca="1">_xludf.GAMMA.INV(V438,'04_PSA_INPUTS'!H9,'04_PSA_INPUTS'!I9)</f>
        <v>#NAME?</v>
      </c>
      <c r="G438" s="23" t="e">
        <f ca="1">_xludf.BETA.INV(W438,'04_PSA_INPUTS'!H10,'04_PSA_INPUTS'!I10)</f>
        <v>#NAME?</v>
      </c>
      <c r="H438" s="23" t="e">
        <f ca="1">_xludf.BETA.INV(X438,'04_PSA_INPUTS'!H11,'04_PSA_INPUTS'!I11)</f>
        <v>#NAME?</v>
      </c>
      <c r="I438" s="27" t="e">
        <f ca="1">D438+B438*F438+'01_INPUTS'!B20</f>
        <v>#NAME?</v>
      </c>
      <c r="J438" s="27" t="e">
        <f ca="1">E438+C438*F438+'01_INPUTS'!B21</f>
        <v>#NAME?</v>
      </c>
      <c r="K438" s="27" t="e">
        <f t="shared" ca="1" si="36"/>
        <v>#NAME?</v>
      </c>
      <c r="L438" s="23" t="e">
        <f t="shared" ca="1" si="37"/>
        <v>#NAME?</v>
      </c>
      <c r="M438" s="23" t="e">
        <f t="shared" ca="1" si="38"/>
        <v>#NAME?</v>
      </c>
      <c r="N438" s="23" t="e">
        <f t="shared" ca="1" si="39"/>
        <v>#NAME?</v>
      </c>
      <c r="O438" s="27" t="e">
        <f t="shared" ca="1" si="40"/>
        <v>#NAME?</v>
      </c>
      <c r="P438" s="27" t="e">
        <f ca="1">'01_INPUTS'!B9*N438-K438</f>
        <v>#NAME?</v>
      </c>
      <c r="Q438" s="1" t="e">
        <f t="shared" ca="1" si="41"/>
        <v>#NAME?</v>
      </c>
      <c r="R438" s="28">
        <v>0.13420339417643845</v>
      </c>
      <c r="S438" s="28">
        <v>0.8459257110953331</v>
      </c>
      <c r="T438" s="28">
        <v>0.37737119407393038</v>
      </c>
      <c r="U438" s="28">
        <v>0.47410391364246607</v>
      </c>
      <c r="V438" s="28">
        <v>0.19512961572036147</v>
      </c>
      <c r="W438" s="28">
        <v>0.27646867209114134</v>
      </c>
      <c r="X438" s="28">
        <v>0.96551521774381399</v>
      </c>
    </row>
    <row r="439" spans="1:24" ht="13.9">
      <c r="A439" s="1">
        <v>438</v>
      </c>
      <c r="B439" s="23" t="e">
        <f ca="1">_xludf.BETA.INV(R439,'04_PSA_INPUTS'!H5,'04_PSA_INPUTS'!I5)</f>
        <v>#NAME?</v>
      </c>
      <c r="C439" s="23" t="e">
        <f ca="1">_xludf.BETA.INV(S439,'04_PSA_INPUTS'!H6,'04_PSA_INPUTS'!I6)</f>
        <v>#NAME?</v>
      </c>
      <c r="D439" s="27" t="e">
        <f ca="1">_xludf.GAMMA.INV(T439,'04_PSA_INPUTS'!H7,'04_PSA_INPUTS'!I7)</f>
        <v>#NAME?</v>
      </c>
      <c r="E439" s="27" t="e">
        <f ca="1">_xludf.GAMMA.INV(U439,'04_PSA_INPUTS'!H8,'04_PSA_INPUTS'!I8)</f>
        <v>#NAME?</v>
      </c>
      <c r="F439" s="27" t="e">
        <f ca="1">_xludf.GAMMA.INV(V439,'04_PSA_INPUTS'!H9,'04_PSA_INPUTS'!I9)</f>
        <v>#NAME?</v>
      </c>
      <c r="G439" s="23" t="e">
        <f ca="1">_xludf.BETA.INV(W439,'04_PSA_INPUTS'!H10,'04_PSA_INPUTS'!I10)</f>
        <v>#NAME?</v>
      </c>
      <c r="H439" s="23" t="e">
        <f ca="1">_xludf.BETA.INV(X439,'04_PSA_INPUTS'!H11,'04_PSA_INPUTS'!I11)</f>
        <v>#NAME?</v>
      </c>
      <c r="I439" s="27" t="e">
        <f ca="1">D439+B439*F439+'01_INPUTS'!B20</f>
        <v>#NAME?</v>
      </c>
      <c r="J439" s="27" t="e">
        <f ca="1">E439+C439*F439+'01_INPUTS'!B21</f>
        <v>#NAME?</v>
      </c>
      <c r="K439" s="27" t="e">
        <f t="shared" ca="1" si="36"/>
        <v>#NAME?</v>
      </c>
      <c r="L439" s="23" t="e">
        <f t="shared" ca="1" si="37"/>
        <v>#NAME?</v>
      </c>
      <c r="M439" s="23" t="e">
        <f t="shared" ca="1" si="38"/>
        <v>#NAME?</v>
      </c>
      <c r="N439" s="23" t="e">
        <f t="shared" ca="1" si="39"/>
        <v>#NAME?</v>
      </c>
      <c r="O439" s="27" t="e">
        <f t="shared" ca="1" si="40"/>
        <v>#NAME?</v>
      </c>
      <c r="P439" s="27" t="e">
        <f ca="1">'01_INPUTS'!B9*N439-K439</f>
        <v>#NAME?</v>
      </c>
      <c r="Q439" s="1" t="e">
        <f t="shared" ca="1" si="41"/>
        <v>#NAME?</v>
      </c>
      <c r="R439" s="28">
        <v>0.82909057545475662</v>
      </c>
      <c r="S439" s="28">
        <v>0.32225543376989663</v>
      </c>
      <c r="T439" s="28">
        <v>0.68380174459889531</v>
      </c>
      <c r="U439" s="28">
        <v>0.30325831426307559</v>
      </c>
      <c r="V439" s="28">
        <v>0.89993271441198885</v>
      </c>
      <c r="W439" s="28">
        <v>0.31790670636110008</v>
      </c>
      <c r="X439" s="28">
        <v>0.96279576350934803</v>
      </c>
    </row>
    <row r="440" spans="1:24" ht="13.9">
      <c r="A440" s="1">
        <v>439</v>
      </c>
      <c r="B440" s="23" t="e">
        <f ca="1">_xludf.BETA.INV(R440,'04_PSA_INPUTS'!H5,'04_PSA_INPUTS'!I5)</f>
        <v>#NAME?</v>
      </c>
      <c r="C440" s="23" t="e">
        <f ca="1">_xludf.BETA.INV(S440,'04_PSA_INPUTS'!H6,'04_PSA_INPUTS'!I6)</f>
        <v>#NAME?</v>
      </c>
      <c r="D440" s="27" t="e">
        <f ca="1">_xludf.GAMMA.INV(T440,'04_PSA_INPUTS'!H7,'04_PSA_INPUTS'!I7)</f>
        <v>#NAME?</v>
      </c>
      <c r="E440" s="27" t="e">
        <f ca="1">_xludf.GAMMA.INV(U440,'04_PSA_INPUTS'!H8,'04_PSA_INPUTS'!I8)</f>
        <v>#NAME?</v>
      </c>
      <c r="F440" s="27" t="e">
        <f ca="1">_xludf.GAMMA.INV(V440,'04_PSA_INPUTS'!H9,'04_PSA_INPUTS'!I9)</f>
        <v>#NAME?</v>
      </c>
      <c r="G440" s="23" t="e">
        <f ca="1">_xludf.BETA.INV(W440,'04_PSA_INPUTS'!H10,'04_PSA_INPUTS'!I10)</f>
        <v>#NAME?</v>
      </c>
      <c r="H440" s="23" t="e">
        <f ca="1">_xludf.BETA.INV(X440,'04_PSA_INPUTS'!H11,'04_PSA_INPUTS'!I11)</f>
        <v>#NAME?</v>
      </c>
      <c r="I440" s="27" t="e">
        <f ca="1">D440+B440*F440+'01_INPUTS'!B20</f>
        <v>#NAME?</v>
      </c>
      <c r="J440" s="27" t="e">
        <f ca="1">E440+C440*F440+'01_INPUTS'!B21</f>
        <v>#NAME?</v>
      </c>
      <c r="K440" s="27" t="e">
        <f t="shared" ca="1" si="36"/>
        <v>#NAME?</v>
      </c>
      <c r="L440" s="23" t="e">
        <f t="shared" ca="1" si="37"/>
        <v>#NAME?</v>
      </c>
      <c r="M440" s="23" t="e">
        <f t="shared" ca="1" si="38"/>
        <v>#NAME?</v>
      </c>
      <c r="N440" s="23" t="e">
        <f t="shared" ca="1" si="39"/>
        <v>#NAME?</v>
      </c>
      <c r="O440" s="27" t="e">
        <f t="shared" ca="1" si="40"/>
        <v>#NAME?</v>
      </c>
      <c r="P440" s="27" t="e">
        <f ca="1">'01_INPUTS'!B9*N440-K440</f>
        <v>#NAME?</v>
      </c>
      <c r="Q440" s="1" t="e">
        <f t="shared" ca="1" si="41"/>
        <v>#NAME?</v>
      </c>
      <c r="R440" s="28">
        <v>0.41769616515375674</v>
      </c>
      <c r="S440" s="28">
        <v>3.0305466614663601E-2</v>
      </c>
      <c r="T440" s="28">
        <v>0.73126566712744534</v>
      </c>
      <c r="U440" s="28">
        <v>0.54612650536000729</v>
      </c>
      <c r="V440" s="28">
        <v>0.95984165673144162</v>
      </c>
      <c r="W440" s="28">
        <v>1.9778495421633124E-2</v>
      </c>
      <c r="X440" s="28">
        <v>5.4893424967303872E-2</v>
      </c>
    </row>
    <row r="441" spans="1:24" ht="13.9">
      <c r="A441" s="1">
        <v>440</v>
      </c>
      <c r="B441" s="23" t="e">
        <f ca="1">_xludf.BETA.INV(R441,'04_PSA_INPUTS'!H5,'04_PSA_INPUTS'!I5)</f>
        <v>#NAME?</v>
      </c>
      <c r="C441" s="23" t="e">
        <f ca="1">_xludf.BETA.INV(S441,'04_PSA_INPUTS'!H6,'04_PSA_INPUTS'!I6)</f>
        <v>#NAME?</v>
      </c>
      <c r="D441" s="27" t="e">
        <f ca="1">_xludf.GAMMA.INV(T441,'04_PSA_INPUTS'!H7,'04_PSA_INPUTS'!I7)</f>
        <v>#NAME?</v>
      </c>
      <c r="E441" s="27" t="e">
        <f ca="1">_xludf.GAMMA.INV(U441,'04_PSA_INPUTS'!H8,'04_PSA_INPUTS'!I8)</f>
        <v>#NAME?</v>
      </c>
      <c r="F441" s="27" t="e">
        <f ca="1">_xludf.GAMMA.INV(V441,'04_PSA_INPUTS'!H9,'04_PSA_INPUTS'!I9)</f>
        <v>#NAME?</v>
      </c>
      <c r="G441" s="23" t="e">
        <f ca="1">_xludf.BETA.INV(W441,'04_PSA_INPUTS'!H10,'04_PSA_INPUTS'!I10)</f>
        <v>#NAME?</v>
      </c>
      <c r="H441" s="23" t="e">
        <f ca="1">_xludf.BETA.INV(X441,'04_PSA_INPUTS'!H11,'04_PSA_INPUTS'!I11)</f>
        <v>#NAME?</v>
      </c>
      <c r="I441" s="27" t="e">
        <f ca="1">D441+B441*F441+'01_INPUTS'!B20</f>
        <v>#NAME?</v>
      </c>
      <c r="J441" s="27" t="e">
        <f ca="1">E441+C441*F441+'01_INPUTS'!B21</f>
        <v>#NAME?</v>
      </c>
      <c r="K441" s="27" t="e">
        <f t="shared" ca="1" si="36"/>
        <v>#NAME?</v>
      </c>
      <c r="L441" s="23" t="e">
        <f t="shared" ca="1" si="37"/>
        <v>#NAME?</v>
      </c>
      <c r="M441" s="23" t="e">
        <f t="shared" ca="1" si="38"/>
        <v>#NAME?</v>
      </c>
      <c r="N441" s="23" t="e">
        <f t="shared" ca="1" si="39"/>
        <v>#NAME?</v>
      </c>
      <c r="O441" s="27" t="e">
        <f t="shared" ca="1" si="40"/>
        <v>#NAME?</v>
      </c>
      <c r="P441" s="27" t="e">
        <f ca="1">'01_INPUTS'!B9*N441-K441</f>
        <v>#NAME?</v>
      </c>
      <c r="Q441" s="1" t="e">
        <f t="shared" ca="1" si="41"/>
        <v>#NAME?</v>
      </c>
      <c r="R441" s="28">
        <v>0.9055784426163882</v>
      </c>
      <c r="S441" s="28">
        <v>0.78025649185292423</v>
      </c>
      <c r="T441" s="28">
        <v>0.59953029686585069</v>
      </c>
      <c r="U441" s="28">
        <v>0.26915946858935058</v>
      </c>
      <c r="V441" s="28">
        <v>0.22481516469269991</v>
      </c>
      <c r="W441" s="28">
        <v>0.43482284503988922</v>
      </c>
      <c r="X441" s="28">
        <v>0.69850836764089763</v>
      </c>
    </row>
    <row r="442" spans="1:24" ht="13.9">
      <c r="A442" s="1">
        <v>441</v>
      </c>
      <c r="B442" s="23" t="e">
        <f ca="1">_xludf.BETA.INV(R442,'04_PSA_INPUTS'!H5,'04_PSA_INPUTS'!I5)</f>
        <v>#NAME?</v>
      </c>
      <c r="C442" s="23" t="e">
        <f ca="1">_xludf.BETA.INV(S442,'04_PSA_INPUTS'!H6,'04_PSA_INPUTS'!I6)</f>
        <v>#NAME?</v>
      </c>
      <c r="D442" s="27" t="e">
        <f ca="1">_xludf.GAMMA.INV(T442,'04_PSA_INPUTS'!H7,'04_PSA_INPUTS'!I7)</f>
        <v>#NAME?</v>
      </c>
      <c r="E442" s="27" t="e">
        <f ca="1">_xludf.GAMMA.INV(U442,'04_PSA_INPUTS'!H8,'04_PSA_INPUTS'!I8)</f>
        <v>#NAME?</v>
      </c>
      <c r="F442" s="27" t="e">
        <f ca="1">_xludf.GAMMA.INV(V442,'04_PSA_INPUTS'!H9,'04_PSA_INPUTS'!I9)</f>
        <v>#NAME?</v>
      </c>
      <c r="G442" s="23" t="e">
        <f ca="1">_xludf.BETA.INV(W442,'04_PSA_INPUTS'!H10,'04_PSA_INPUTS'!I10)</f>
        <v>#NAME?</v>
      </c>
      <c r="H442" s="23" t="e">
        <f ca="1">_xludf.BETA.INV(X442,'04_PSA_INPUTS'!H11,'04_PSA_INPUTS'!I11)</f>
        <v>#NAME?</v>
      </c>
      <c r="I442" s="27" t="e">
        <f ca="1">D442+B442*F442+'01_INPUTS'!B20</f>
        <v>#NAME?</v>
      </c>
      <c r="J442" s="27" t="e">
        <f ca="1">E442+C442*F442+'01_INPUTS'!B21</f>
        <v>#NAME?</v>
      </c>
      <c r="K442" s="27" t="e">
        <f t="shared" ca="1" si="36"/>
        <v>#NAME?</v>
      </c>
      <c r="L442" s="23" t="e">
        <f t="shared" ca="1" si="37"/>
        <v>#NAME?</v>
      </c>
      <c r="M442" s="23" t="e">
        <f t="shared" ca="1" si="38"/>
        <v>#NAME?</v>
      </c>
      <c r="N442" s="23" t="e">
        <f t="shared" ca="1" si="39"/>
        <v>#NAME?</v>
      </c>
      <c r="O442" s="27" t="e">
        <f t="shared" ca="1" si="40"/>
        <v>#NAME?</v>
      </c>
      <c r="P442" s="27" t="e">
        <f ca="1">'01_INPUTS'!B9*N442-K442</f>
        <v>#NAME?</v>
      </c>
      <c r="Q442" s="1" t="e">
        <f t="shared" ca="1" si="41"/>
        <v>#NAME?</v>
      </c>
      <c r="R442" s="28">
        <v>0.55799001199193299</v>
      </c>
      <c r="S442" s="28">
        <v>0.15957169583998621</v>
      </c>
      <c r="T442" s="28">
        <v>0.84604231268167496</v>
      </c>
      <c r="U442" s="28">
        <v>0.41650884249247611</v>
      </c>
      <c r="V442" s="28">
        <v>8.1007079221308231E-2</v>
      </c>
      <c r="W442" s="28">
        <v>0.66338724945671856</v>
      </c>
      <c r="X442" s="28">
        <v>0.41879899450577796</v>
      </c>
    </row>
    <row r="443" spans="1:24" ht="13.9">
      <c r="A443" s="1">
        <v>442</v>
      </c>
      <c r="B443" s="23" t="e">
        <f ca="1">_xludf.BETA.INV(R443,'04_PSA_INPUTS'!H5,'04_PSA_INPUTS'!I5)</f>
        <v>#NAME?</v>
      </c>
      <c r="C443" s="23" t="e">
        <f ca="1">_xludf.BETA.INV(S443,'04_PSA_INPUTS'!H6,'04_PSA_INPUTS'!I6)</f>
        <v>#NAME?</v>
      </c>
      <c r="D443" s="27" t="e">
        <f ca="1">_xludf.GAMMA.INV(T443,'04_PSA_INPUTS'!H7,'04_PSA_INPUTS'!I7)</f>
        <v>#NAME?</v>
      </c>
      <c r="E443" s="27" t="e">
        <f ca="1">_xludf.GAMMA.INV(U443,'04_PSA_INPUTS'!H8,'04_PSA_INPUTS'!I8)</f>
        <v>#NAME?</v>
      </c>
      <c r="F443" s="27" t="e">
        <f ca="1">_xludf.GAMMA.INV(V443,'04_PSA_INPUTS'!H9,'04_PSA_INPUTS'!I9)</f>
        <v>#NAME?</v>
      </c>
      <c r="G443" s="23" t="e">
        <f ca="1">_xludf.BETA.INV(W443,'04_PSA_INPUTS'!H10,'04_PSA_INPUTS'!I10)</f>
        <v>#NAME?</v>
      </c>
      <c r="H443" s="23" t="e">
        <f ca="1">_xludf.BETA.INV(X443,'04_PSA_INPUTS'!H11,'04_PSA_INPUTS'!I11)</f>
        <v>#NAME?</v>
      </c>
      <c r="I443" s="27" t="e">
        <f ca="1">D443+B443*F443+'01_INPUTS'!B20</f>
        <v>#NAME?</v>
      </c>
      <c r="J443" s="27" t="e">
        <f ca="1">E443+C443*F443+'01_INPUTS'!B21</f>
        <v>#NAME?</v>
      </c>
      <c r="K443" s="27" t="e">
        <f t="shared" ca="1" si="36"/>
        <v>#NAME?</v>
      </c>
      <c r="L443" s="23" t="e">
        <f t="shared" ca="1" si="37"/>
        <v>#NAME?</v>
      </c>
      <c r="M443" s="23" t="e">
        <f t="shared" ca="1" si="38"/>
        <v>#NAME?</v>
      </c>
      <c r="N443" s="23" t="e">
        <f t="shared" ca="1" si="39"/>
        <v>#NAME?</v>
      </c>
      <c r="O443" s="27" t="e">
        <f t="shared" ca="1" si="40"/>
        <v>#NAME?</v>
      </c>
      <c r="P443" s="27" t="e">
        <f ca="1">'01_INPUTS'!B9*N443-K443</f>
        <v>#NAME?</v>
      </c>
      <c r="Q443" s="1" t="e">
        <f t="shared" ca="1" si="41"/>
        <v>#NAME?</v>
      </c>
      <c r="R443" s="28">
        <v>0.63611282827332616</v>
      </c>
      <c r="S443" s="28">
        <v>0.50533599779009819</v>
      </c>
      <c r="T443" s="28">
        <v>0.36922469106502831</v>
      </c>
      <c r="U443" s="28">
        <v>0.78033820516429842</v>
      </c>
      <c r="V443" s="28">
        <v>0.93965473212301731</v>
      </c>
      <c r="W443" s="28">
        <v>0.68770248140208423</v>
      </c>
      <c r="X443" s="28">
        <v>0.13197563961148262</v>
      </c>
    </row>
    <row r="444" spans="1:24" ht="13.9">
      <c r="A444" s="1">
        <v>443</v>
      </c>
      <c r="B444" s="23" t="e">
        <f ca="1">_xludf.BETA.INV(R444,'04_PSA_INPUTS'!H5,'04_PSA_INPUTS'!I5)</f>
        <v>#NAME?</v>
      </c>
      <c r="C444" s="23" t="e">
        <f ca="1">_xludf.BETA.INV(S444,'04_PSA_INPUTS'!H6,'04_PSA_INPUTS'!I6)</f>
        <v>#NAME?</v>
      </c>
      <c r="D444" s="27" t="e">
        <f ca="1">_xludf.GAMMA.INV(T444,'04_PSA_INPUTS'!H7,'04_PSA_INPUTS'!I7)</f>
        <v>#NAME?</v>
      </c>
      <c r="E444" s="27" t="e">
        <f ca="1">_xludf.GAMMA.INV(U444,'04_PSA_INPUTS'!H8,'04_PSA_INPUTS'!I8)</f>
        <v>#NAME?</v>
      </c>
      <c r="F444" s="27" t="e">
        <f ca="1">_xludf.GAMMA.INV(V444,'04_PSA_INPUTS'!H9,'04_PSA_INPUTS'!I9)</f>
        <v>#NAME?</v>
      </c>
      <c r="G444" s="23" t="e">
        <f ca="1">_xludf.BETA.INV(W444,'04_PSA_INPUTS'!H10,'04_PSA_INPUTS'!I10)</f>
        <v>#NAME?</v>
      </c>
      <c r="H444" s="23" t="e">
        <f ca="1">_xludf.BETA.INV(X444,'04_PSA_INPUTS'!H11,'04_PSA_INPUTS'!I11)</f>
        <v>#NAME?</v>
      </c>
      <c r="I444" s="27" t="e">
        <f ca="1">D444+B444*F444+'01_INPUTS'!B20</f>
        <v>#NAME?</v>
      </c>
      <c r="J444" s="27" t="e">
        <f ca="1">E444+C444*F444+'01_INPUTS'!B21</f>
        <v>#NAME?</v>
      </c>
      <c r="K444" s="27" t="e">
        <f t="shared" ca="1" si="36"/>
        <v>#NAME?</v>
      </c>
      <c r="L444" s="23" t="e">
        <f t="shared" ca="1" si="37"/>
        <v>#NAME?</v>
      </c>
      <c r="M444" s="23" t="e">
        <f t="shared" ca="1" si="38"/>
        <v>#NAME?</v>
      </c>
      <c r="N444" s="23" t="e">
        <f t="shared" ca="1" si="39"/>
        <v>#NAME?</v>
      </c>
      <c r="O444" s="27" t="e">
        <f t="shared" ca="1" si="40"/>
        <v>#NAME?</v>
      </c>
      <c r="P444" s="27" t="e">
        <f ca="1">'01_INPUTS'!B9*N444-K444</f>
        <v>#NAME?</v>
      </c>
      <c r="Q444" s="1" t="e">
        <f t="shared" ca="1" si="41"/>
        <v>#NAME?</v>
      </c>
      <c r="R444" s="28">
        <v>0.47426615911535919</v>
      </c>
      <c r="S444" s="28">
        <v>0.18102405942045152</v>
      </c>
      <c r="T444" s="28">
        <v>0.9333534671459347</v>
      </c>
      <c r="U444" s="28">
        <v>0.26391241024248302</v>
      </c>
      <c r="V444" s="28">
        <v>0.22170920460484922</v>
      </c>
      <c r="W444" s="28">
        <v>0.5305855053011328</v>
      </c>
      <c r="X444" s="28">
        <v>0.64020034857094288</v>
      </c>
    </row>
    <row r="445" spans="1:24" ht="13.9">
      <c r="A445" s="1">
        <v>444</v>
      </c>
      <c r="B445" s="23" t="e">
        <f ca="1">_xludf.BETA.INV(R445,'04_PSA_INPUTS'!H5,'04_PSA_INPUTS'!I5)</f>
        <v>#NAME?</v>
      </c>
      <c r="C445" s="23" t="e">
        <f ca="1">_xludf.BETA.INV(S445,'04_PSA_INPUTS'!H6,'04_PSA_INPUTS'!I6)</f>
        <v>#NAME?</v>
      </c>
      <c r="D445" s="27" t="e">
        <f ca="1">_xludf.GAMMA.INV(T445,'04_PSA_INPUTS'!H7,'04_PSA_INPUTS'!I7)</f>
        <v>#NAME?</v>
      </c>
      <c r="E445" s="27" t="e">
        <f ca="1">_xludf.GAMMA.INV(U445,'04_PSA_INPUTS'!H8,'04_PSA_INPUTS'!I8)</f>
        <v>#NAME?</v>
      </c>
      <c r="F445" s="27" t="e">
        <f ca="1">_xludf.GAMMA.INV(V445,'04_PSA_INPUTS'!H9,'04_PSA_INPUTS'!I9)</f>
        <v>#NAME?</v>
      </c>
      <c r="G445" s="23" t="e">
        <f ca="1">_xludf.BETA.INV(W445,'04_PSA_INPUTS'!H10,'04_PSA_INPUTS'!I10)</f>
        <v>#NAME?</v>
      </c>
      <c r="H445" s="23" t="e">
        <f ca="1">_xludf.BETA.INV(X445,'04_PSA_INPUTS'!H11,'04_PSA_INPUTS'!I11)</f>
        <v>#NAME?</v>
      </c>
      <c r="I445" s="27" t="e">
        <f ca="1">D445+B445*F445+'01_INPUTS'!B20</f>
        <v>#NAME?</v>
      </c>
      <c r="J445" s="27" t="e">
        <f ca="1">E445+C445*F445+'01_INPUTS'!B21</f>
        <v>#NAME?</v>
      </c>
      <c r="K445" s="27" t="e">
        <f t="shared" ca="1" si="36"/>
        <v>#NAME?</v>
      </c>
      <c r="L445" s="23" t="e">
        <f t="shared" ca="1" si="37"/>
        <v>#NAME?</v>
      </c>
      <c r="M445" s="23" t="e">
        <f t="shared" ca="1" si="38"/>
        <v>#NAME?</v>
      </c>
      <c r="N445" s="23" t="e">
        <f t="shared" ca="1" si="39"/>
        <v>#NAME?</v>
      </c>
      <c r="O445" s="27" t="e">
        <f t="shared" ca="1" si="40"/>
        <v>#NAME?</v>
      </c>
      <c r="P445" s="27" t="e">
        <f ca="1">'01_INPUTS'!B9*N445-K445</f>
        <v>#NAME?</v>
      </c>
      <c r="Q445" s="1" t="e">
        <f t="shared" ca="1" si="41"/>
        <v>#NAME?</v>
      </c>
      <c r="R445" s="28">
        <v>2.2220418322831392E-2</v>
      </c>
      <c r="S445" s="28">
        <v>0.52249904163181782</v>
      </c>
      <c r="T445" s="28">
        <v>0.16134608164429665</v>
      </c>
      <c r="U445" s="28">
        <v>0.55091298068873584</v>
      </c>
      <c r="V445" s="28">
        <v>0.78106744051910937</v>
      </c>
      <c r="W445" s="28">
        <v>0.10553376795724034</v>
      </c>
      <c r="X445" s="28">
        <v>0.20493110758252442</v>
      </c>
    </row>
    <row r="446" spans="1:24" ht="13.9">
      <c r="A446" s="1">
        <v>445</v>
      </c>
      <c r="B446" s="23" t="e">
        <f ca="1">_xludf.BETA.INV(R446,'04_PSA_INPUTS'!H5,'04_PSA_INPUTS'!I5)</f>
        <v>#NAME?</v>
      </c>
      <c r="C446" s="23" t="e">
        <f ca="1">_xludf.BETA.INV(S446,'04_PSA_INPUTS'!H6,'04_PSA_INPUTS'!I6)</f>
        <v>#NAME?</v>
      </c>
      <c r="D446" s="27" t="e">
        <f ca="1">_xludf.GAMMA.INV(T446,'04_PSA_INPUTS'!H7,'04_PSA_INPUTS'!I7)</f>
        <v>#NAME?</v>
      </c>
      <c r="E446" s="27" t="e">
        <f ca="1">_xludf.GAMMA.INV(U446,'04_PSA_INPUTS'!H8,'04_PSA_INPUTS'!I8)</f>
        <v>#NAME?</v>
      </c>
      <c r="F446" s="27" t="e">
        <f ca="1">_xludf.GAMMA.INV(V446,'04_PSA_INPUTS'!H9,'04_PSA_INPUTS'!I9)</f>
        <v>#NAME?</v>
      </c>
      <c r="G446" s="23" t="e">
        <f ca="1">_xludf.BETA.INV(W446,'04_PSA_INPUTS'!H10,'04_PSA_INPUTS'!I10)</f>
        <v>#NAME?</v>
      </c>
      <c r="H446" s="23" t="e">
        <f ca="1">_xludf.BETA.INV(X446,'04_PSA_INPUTS'!H11,'04_PSA_INPUTS'!I11)</f>
        <v>#NAME?</v>
      </c>
      <c r="I446" s="27" t="e">
        <f ca="1">D446+B446*F446+'01_INPUTS'!B20</f>
        <v>#NAME?</v>
      </c>
      <c r="J446" s="27" t="e">
        <f ca="1">E446+C446*F446+'01_INPUTS'!B21</f>
        <v>#NAME?</v>
      </c>
      <c r="K446" s="27" t="e">
        <f t="shared" ca="1" si="36"/>
        <v>#NAME?</v>
      </c>
      <c r="L446" s="23" t="e">
        <f t="shared" ca="1" si="37"/>
        <v>#NAME?</v>
      </c>
      <c r="M446" s="23" t="e">
        <f t="shared" ca="1" si="38"/>
        <v>#NAME?</v>
      </c>
      <c r="N446" s="23" t="e">
        <f t="shared" ca="1" si="39"/>
        <v>#NAME?</v>
      </c>
      <c r="O446" s="27" t="e">
        <f t="shared" ca="1" si="40"/>
        <v>#NAME?</v>
      </c>
      <c r="P446" s="27" t="e">
        <f ca="1">'01_INPUTS'!B9*N446-K446</f>
        <v>#NAME?</v>
      </c>
      <c r="Q446" s="1" t="e">
        <f t="shared" ca="1" si="41"/>
        <v>#NAME?</v>
      </c>
      <c r="R446" s="28">
        <v>0.48904770216904581</v>
      </c>
      <c r="S446" s="28">
        <v>3.5514739109203219E-2</v>
      </c>
      <c r="T446" s="28">
        <v>0.93321814108639956</v>
      </c>
      <c r="U446" s="28">
        <v>0.48687010235153139</v>
      </c>
      <c r="V446" s="28">
        <v>0.8074749584775418</v>
      </c>
      <c r="W446" s="28">
        <v>0.74196525942534208</v>
      </c>
      <c r="X446" s="28">
        <v>0.88988190866075456</v>
      </c>
    </row>
    <row r="447" spans="1:24" ht="13.9">
      <c r="A447" s="1">
        <v>446</v>
      </c>
      <c r="B447" s="23" t="e">
        <f ca="1">_xludf.BETA.INV(R447,'04_PSA_INPUTS'!H5,'04_PSA_INPUTS'!I5)</f>
        <v>#NAME?</v>
      </c>
      <c r="C447" s="23" t="e">
        <f ca="1">_xludf.BETA.INV(S447,'04_PSA_INPUTS'!H6,'04_PSA_INPUTS'!I6)</f>
        <v>#NAME?</v>
      </c>
      <c r="D447" s="27" t="e">
        <f ca="1">_xludf.GAMMA.INV(T447,'04_PSA_INPUTS'!H7,'04_PSA_INPUTS'!I7)</f>
        <v>#NAME?</v>
      </c>
      <c r="E447" s="27" t="e">
        <f ca="1">_xludf.GAMMA.INV(U447,'04_PSA_INPUTS'!H8,'04_PSA_INPUTS'!I8)</f>
        <v>#NAME?</v>
      </c>
      <c r="F447" s="27" t="e">
        <f ca="1">_xludf.GAMMA.INV(V447,'04_PSA_INPUTS'!H9,'04_PSA_INPUTS'!I9)</f>
        <v>#NAME?</v>
      </c>
      <c r="G447" s="23" t="e">
        <f ca="1">_xludf.BETA.INV(W447,'04_PSA_INPUTS'!H10,'04_PSA_INPUTS'!I10)</f>
        <v>#NAME?</v>
      </c>
      <c r="H447" s="23" t="e">
        <f ca="1">_xludf.BETA.INV(X447,'04_PSA_INPUTS'!H11,'04_PSA_INPUTS'!I11)</f>
        <v>#NAME?</v>
      </c>
      <c r="I447" s="27" t="e">
        <f ca="1">D447+B447*F447+'01_INPUTS'!B20</f>
        <v>#NAME?</v>
      </c>
      <c r="J447" s="27" t="e">
        <f ca="1">E447+C447*F447+'01_INPUTS'!B21</f>
        <v>#NAME?</v>
      </c>
      <c r="K447" s="27" t="e">
        <f t="shared" ca="1" si="36"/>
        <v>#NAME?</v>
      </c>
      <c r="L447" s="23" t="e">
        <f t="shared" ca="1" si="37"/>
        <v>#NAME?</v>
      </c>
      <c r="M447" s="23" t="e">
        <f t="shared" ca="1" si="38"/>
        <v>#NAME?</v>
      </c>
      <c r="N447" s="23" t="e">
        <f t="shared" ca="1" si="39"/>
        <v>#NAME?</v>
      </c>
      <c r="O447" s="27" t="e">
        <f t="shared" ca="1" si="40"/>
        <v>#NAME?</v>
      </c>
      <c r="P447" s="27" t="e">
        <f ca="1">'01_INPUTS'!B9*N447-K447</f>
        <v>#NAME?</v>
      </c>
      <c r="Q447" s="1" t="e">
        <f t="shared" ca="1" si="41"/>
        <v>#NAME?</v>
      </c>
      <c r="R447" s="28">
        <v>0.91525611700490117</v>
      </c>
      <c r="S447" s="28">
        <v>0.89833695045672357</v>
      </c>
      <c r="T447" s="28">
        <v>0.29314725403673947</v>
      </c>
      <c r="U447" s="28">
        <v>0.38275451213121414</v>
      </c>
      <c r="V447" s="28">
        <v>0.34752025967463851</v>
      </c>
      <c r="W447" s="28">
        <v>0.49152500787749887</v>
      </c>
      <c r="X447" s="28">
        <v>0.1393195572309196</v>
      </c>
    </row>
    <row r="448" spans="1:24" ht="13.9">
      <c r="A448" s="1">
        <v>447</v>
      </c>
      <c r="B448" s="23" t="e">
        <f ca="1">_xludf.BETA.INV(R448,'04_PSA_INPUTS'!H5,'04_PSA_INPUTS'!I5)</f>
        <v>#NAME?</v>
      </c>
      <c r="C448" s="23" t="e">
        <f ca="1">_xludf.BETA.INV(S448,'04_PSA_INPUTS'!H6,'04_PSA_INPUTS'!I6)</f>
        <v>#NAME?</v>
      </c>
      <c r="D448" s="27" t="e">
        <f ca="1">_xludf.GAMMA.INV(T448,'04_PSA_INPUTS'!H7,'04_PSA_INPUTS'!I7)</f>
        <v>#NAME?</v>
      </c>
      <c r="E448" s="27" t="e">
        <f ca="1">_xludf.GAMMA.INV(U448,'04_PSA_INPUTS'!H8,'04_PSA_INPUTS'!I8)</f>
        <v>#NAME?</v>
      </c>
      <c r="F448" s="27" t="e">
        <f ca="1">_xludf.GAMMA.INV(V448,'04_PSA_INPUTS'!H9,'04_PSA_INPUTS'!I9)</f>
        <v>#NAME?</v>
      </c>
      <c r="G448" s="23" t="e">
        <f ca="1">_xludf.BETA.INV(W448,'04_PSA_INPUTS'!H10,'04_PSA_INPUTS'!I10)</f>
        <v>#NAME?</v>
      </c>
      <c r="H448" s="23" t="e">
        <f ca="1">_xludf.BETA.INV(X448,'04_PSA_INPUTS'!H11,'04_PSA_INPUTS'!I11)</f>
        <v>#NAME?</v>
      </c>
      <c r="I448" s="27" t="e">
        <f ca="1">D448+B448*F448+'01_INPUTS'!B20</f>
        <v>#NAME?</v>
      </c>
      <c r="J448" s="27" t="e">
        <f ca="1">E448+C448*F448+'01_INPUTS'!B21</f>
        <v>#NAME?</v>
      </c>
      <c r="K448" s="27" t="e">
        <f t="shared" ca="1" si="36"/>
        <v>#NAME?</v>
      </c>
      <c r="L448" s="23" t="e">
        <f t="shared" ca="1" si="37"/>
        <v>#NAME?</v>
      </c>
      <c r="M448" s="23" t="e">
        <f t="shared" ca="1" si="38"/>
        <v>#NAME?</v>
      </c>
      <c r="N448" s="23" t="e">
        <f t="shared" ca="1" si="39"/>
        <v>#NAME?</v>
      </c>
      <c r="O448" s="27" t="e">
        <f t="shared" ca="1" si="40"/>
        <v>#NAME?</v>
      </c>
      <c r="P448" s="27" t="e">
        <f ca="1">'01_INPUTS'!B9*N448-K448</f>
        <v>#NAME?</v>
      </c>
      <c r="Q448" s="1" t="e">
        <f t="shared" ca="1" si="41"/>
        <v>#NAME?</v>
      </c>
      <c r="R448" s="28">
        <v>0.76361844292841852</v>
      </c>
      <c r="S448" s="28">
        <v>0.52304116077721119</v>
      </c>
      <c r="T448" s="28">
        <v>0.35623618518002331</v>
      </c>
      <c r="U448" s="28">
        <v>1.6945492941886187E-2</v>
      </c>
      <c r="V448" s="28">
        <v>0.8651543811429292</v>
      </c>
      <c r="W448" s="28">
        <v>0.86962413601577282</v>
      </c>
      <c r="X448" s="28">
        <v>0.66969066043384373</v>
      </c>
    </row>
    <row r="449" spans="1:24" ht="13.9">
      <c r="A449" s="1">
        <v>448</v>
      </c>
      <c r="B449" s="23" t="e">
        <f ca="1">_xludf.BETA.INV(R449,'04_PSA_INPUTS'!H5,'04_PSA_INPUTS'!I5)</f>
        <v>#NAME?</v>
      </c>
      <c r="C449" s="23" t="e">
        <f ca="1">_xludf.BETA.INV(S449,'04_PSA_INPUTS'!H6,'04_PSA_INPUTS'!I6)</f>
        <v>#NAME?</v>
      </c>
      <c r="D449" s="27" t="e">
        <f ca="1">_xludf.GAMMA.INV(T449,'04_PSA_INPUTS'!H7,'04_PSA_INPUTS'!I7)</f>
        <v>#NAME?</v>
      </c>
      <c r="E449" s="27" t="e">
        <f ca="1">_xludf.GAMMA.INV(U449,'04_PSA_INPUTS'!H8,'04_PSA_INPUTS'!I8)</f>
        <v>#NAME?</v>
      </c>
      <c r="F449" s="27" t="e">
        <f ca="1">_xludf.GAMMA.INV(V449,'04_PSA_INPUTS'!H9,'04_PSA_INPUTS'!I9)</f>
        <v>#NAME?</v>
      </c>
      <c r="G449" s="23" t="e">
        <f ca="1">_xludf.BETA.INV(W449,'04_PSA_INPUTS'!H10,'04_PSA_INPUTS'!I10)</f>
        <v>#NAME?</v>
      </c>
      <c r="H449" s="23" t="e">
        <f ca="1">_xludf.BETA.INV(X449,'04_PSA_INPUTS'!H11,'04_PSA_INPUTS'!I11)</f>
        <v>#NAME?</v>
      </c>
      <c r="I449" s="27" t="e">
        <f ca="1">D449+B449*F449+'01_INPUTS'!B20</f>
        <v>#NAME?</v>
      </c>
      <c r="J449" s="27" t="e">
        <f ca="1">E449+C449*F449+'01_INPUTS'!B21</f>
        <v>#NAME?</v>
      </c>
      <c r="K449" s="27" t="e">
        <f t="shared" ca="1" si="36"/>
        <v>#NAME?</v>
      </c>
      <c r="L449" s="23" t="e">
        <f t="shared" ca="1" si="37"/>
        <v>#NAME?</v>
      </c>
      <c r="M449" s="23" t="e">
        <f t="shared" ca="1" si="38"/>
        <v>#NAME?</v>
      </c>
      <c r="N449" s="23" t="e">
        <f t="shared" ca="1" si="39"/>
        <v>#NAME?</v>
      </c>
      <c r="O449" s="27" t="e">
        <f t="shared" ca="1" si="40"/>
        <v>#NAME?</v>
      </c>
      <c r="P449" s="27" t="e">
        <f ca="1">'01_INPUTS'!B9*N449-K449</f>
        <v>#NAME?</v>
      </c>
      <c r="Q449" s="1" t="e">
        <f t="shared" ca="1" si="41"/>
        <v>#NAME?</v>
      </c>
      <c r="R449" s="28">
        <v>3.5338423680514097E-2</v>
      </c>
      <c r="S449" s="28">
        <v>0.15446962486021221</v>
      </c>
      <c r="T449" s="28">
        <v>0.98889992525801063</v>
      </c>
      <c r="U449" s="28">
        <v>0.92492202227003872</v>
      </c>
      <c r="V449" s="28">
        <v>0.10979712149128318</v>
      </c>
      <c r="W449" s="28">
        <v>2.5914237834513187E-2</v>
      </c>
      <c r="X449" s="28">
        <v>2.0406021038070321E-2</v>
      </c>
    </row>
    <row r="450" spans="1:24" ht="13.9">
      <c r="A450" s="1">
        <v>449</v>
      </c>
      <c r="B450" s="23" t="e">
        <f ca="1">_xludf.BETA.INV(R450,'04_PSA_INPUTS'!H5,'04_PSA_INPUTS'!I5)</f>
        <v>#NAME?</v>
      </c>
      <c r="C450" s="23" t="e">
        <f ca="1">_xludf.BETA.INV(S450,'04_PSA_INPUTS'!H6,'04_PSA_INPUTS'!I6)</f>
        <v>#NAME?</v>
      </c>
      <c r="D450" s="27" t="e">
        <f ca="1">_xludf.GAMMA.INV(T450,'04_PSA_INPUTS'!H7,'04_PSA_INPUTS'!I7)</f>
        <v>#NAME?</v>
      </c>
      <c r="E450" s="27" t="e">
        <f ca="1">_xludf.GAMMA.INV(U450,'04_PSA_INPUTS'!H8,'04_PSA_INPUTS'!I8)</f>
        <v>#NAME?</v>
      </c>
      <c r="F450" s="27" t="e">
        <f ca="1">_xludf.GAMMA.INV(V450,'04_PSA_INPUTS'!H9,'04_PSA_INPUTS'!I9)</f>
        <v>#NAME?</v>
      </c>
      <c r="G450" s="23" t="e">
        <f ca="1">_xludf.BETA.INV(W450,'04_PSA_INPUTS'!H10,'04_PSA_INPUTS'!I10)</f>
        <v>#NAME?</v>
      </c>
      <c r="H450" s="23" t="e">
        <f ca="1">_xludf.BETA.INV(X450,'04_PSA_INPUTS'!H11,'04_PSA_INPUTS'!I11)</f>
        <v>#NAME?</v>
      </c>
      <c r="I450" s="27" t="e">
        <f ca="1">D450+B450*F450+'01_INPUTS'!B20</f>
        <v>#NAME?</v>
      </c>
      <c r="J450" s="27" t="e">
        <f ca="1">E450+C450*F450+'01_INPUTS'!B21</f>
        <v>#NAME?</v>
      </c>
      <c r="K450" s="27" t="e">
        <f t="shared" ref="K450:K513" ca="1" si="42">I450-J450</f>
        <v>#NAME?</v>
      </c>
      <c r="L450" s="23" t="e">
        <f t="shared" ref="L450:L513" ca="1" si="43">G450-B450*H450</f>
        <v>#NAME?</v>
      </c>
      <c r="M450" s="23" t="e">
        <f t="shared" ref="M450:M513" ca="1" si="44">G450-C450*H450</f>
        <v>#NAME?</v>
      </c>
      <c r="N450" s="23" t="e">
        <f t="shared" ref="N450:N513" ca="1" si="45">L450-M450</f>
        <v>#NAME?</v>
      </c>
      <c r="O450" s="27" t="e">
        <f t="shared" ref="O450:O513" ca="1" si="46">IF(N450=0,"",K450/N450)</f>
        <v>#NAME?</v>
      </c>
      <c r="P450" s="27" t="e">
        <f ca="1">'01_INPUTS'!B9*N450-K450</f>
        <v>#NAME?</v>
      </c>
      <c r="Q450" s="1" t="e">
        <f t="shared" ref="Q450:Q513" ca="1" si="47">IF(P450&gt;0,1,0)</f>
        <v>#NAME?</v>
      </c>
      <c r="R450" s="28">
        <v>0.20396853634156287</v>
      </c>
      <c r="S450" s="28">
        <v>0.60084886779077351</v>
      </c>
      <c r="T450" s="28">
        <v>0.94843328185379505</v>
      </c>
      <c r="U450" s="28">
        <v>0.9020770201459527</v>
      </c>
      <c r="V450" s="28">
        <v>0.60737852309830487</v>
      </c>
      <c r="W450" s="28">
        <v>0.93644332350231707</v>
      </c>
      <c r="X450" s="28">
        <v>0.28878241102211177</v>
      </c>
    </row>
    <row r="451" spans="1:24" ht="13.9">
      <c r="A451" s="1">
        <v>450</v>
      </c>
      <c r="B451" s="23" t="e">
        <f ca="1">_xludf.BETA.INV(R451,'04_PSA_INPUTS'!H5,'04_PSA_INPUTS'!I5)</f>
        <v>#NAME?</v>
      </c>
      <c r="C451" s="23" t="e">
        <f ca="1">_xludf.BETA.INV(S451,'04_PSA_INPUTS'!H6,'04_PSA_INPUTS'!I6)</f>
        <v>#NAME?</v>
      </c>
      <c r="D451" s="27" t="e">
        <f ca="1">_xludf.GAMMA.INV(T451,'04_PSA_INPUTS'!H7,'04_PSA_INPUTS'!I7)</f>
        <v>#NAME?</v>
      </c>
      <c r="E451" s="27" t="e">
        <f ca="1">_xludf.GAMMA.INV(U451,'04_PSA_INPUTS'!H8,'04_PSA_INPUTS'!I8)</f>
        <v>#NAME?</v>
      </c>
      <c r="F451" s="27" t="e">
        <f ca="1">_xludf.GAMMA.INV(V451,'04_PSA_INPUTS'!H9,'04_PSA_INPUTS'!I9)</f>
        <v>#NAME?</v>
      </c>
      <c r="G451" s="23" t="e">
        <f ca="1">_xludf.BETA.INV(W451,'04_PSA_INPUTS'!H10,'04_PSA_INPUTS'!I10)</f>
        <v>#NAME?</v>
      </c>
      <c r="H451" s="23" t="e">
        <f ca="1">_xludf.BETA.INV(X451,'04_PSA_INPUTS'!H11,'04_PSA_INPUTS'!I11)</f>
        <v>#NAME?</v>
      </c>
      <c r="I451" s="27" t="e">
        <f ca="1">D451+B451*F451+'01_INPUTS'!B20</f>
        <v>#NAME?</v>
      </c>
      <c r="J451" s="27" t="e">
        <f ca="1">E451+C451*F451+'01_INPUTS'!B21</f>
        <v>#NAME?</v>
      </c>
      <c r="K451" s="27" t="e">
        <f t="shared" ca="1" si="42"/>
        <v>#NAME?</v>
      </c>
      <c r="L451" s="23" t="e">
        <f t="shared" ca="1" si="43"/>
        <v>#NAME?</v>
      </c>
      <c r="M451" s="23" t="e">
        <f t="shared" ca="1" si="44"/>
        <v>#NAME?</v>
      </c>
      <c r="N451" s="23" t="e">
        <f t="shared" ca="1" si="45"/>
        <v>#NAME?</v>
      </c>
      <c r="O451" s="27" t="e">
        <f t="shared" ca="1" si="46"/>
        <v>#NAME?</v>
      </c>
      <c r="P451" s="27" t="e">
        <f ca="1">'01_INPUTS'!B9*N451-K451</f>
        <v>#NAME?</v>
      </c>
      <c r="Q451" s="1" t="e">
        <f t="shared" ca="1" si="47"/>
        <v>#NAME?</v>
      </c>
      <c r="R451" s="28">
        <v>0.32814370887354016</v>
      </c>
      <c r="S451" s="28">
        <v>0.98921212111599743</v>
      </c>
      <c r="T451" s="28">
        <v>0.14591903937980533</v>
      </c>
      <c r="U451" s="28">
        <v>0.40017546806484461</v>
      </c>
      <c r="V451" s="28">
        <v>0.51290738210082054</v>
      </c>
      <c r="W451" s="28">
        <v>0.91603532945737243</v>
      </c>
      <c r="X451" s="28">
        <v>0.37276789639145136</v>
      </c>
    </row>
    <row r="452" spans="1:24" ht="13.9">
      <c r="A452" s="1">
        <v>451</v>
      </c>
      <c r="B452" s="23" t="e">
        <f ca="1">_xludf.BETA.INV(R452,'04_PSA_INPUTS'!H5,'04_PSA_INPUTS'!I5)</f>
        <v>#NAME?</v>
      </c>
      <c r="C452" s="23" t="e">
        <f ca="1">_xludf.BETA.INV(S452,'04_PSA_INPUTS'!H6,'04_PSA_INPUTS'!I6)</f>
        <v>#NAME?</v>
      </c>
      <c r="D452" s="27" t="e">
        <f ca="1">_xludf.GAMMA.INV(T452,'04_PSA_INPUTS'!H7,'04_PSA_INPUTS'!I7)</f>
        <v>#NAME?</v>
      </c>
      <c r="E452" s="27" t="e">
        <f ca="1">_xludf.GAMMA.INV(U452,'04_PSA_INPUTS'!H8,'04_PSA_INPUTS'!I8)</f>
        <v>#NAME?</v>
      </c>
      <c r="F452" s="27" t="e">
        <f ca="1">_xludf.GAMMA.INV(V452,'04_PSA_INPUTS'!H9,'04_PSA_INPUTS'!I9)</f>
        <v>#NAME?</v>
      </c>
      <c r="G452" s="23" t="e">
        <f ca="1">_xludf.BETA.INV(W452,'04_PSA_INPUTS'!H10,'04_PSA_INPUTS'!I10)</f>
        <v>#NAME?</v>
      </c>
      <c r="H452" s="23" t="e">
        <f ca="1">_xludf.BETA.INV(X452,'04_PSA_INPUTS'!H11,'04_PSA_INPUTS'!I11)</f>
        <v>#NAME?</v>
      </c>
      <c r="I452" s="27" t="e">
        <f ca="1">D452+B452*F452+'01_INPUTS'!B20</f>
        <v>#NAME?</v>
      </c>
      <c r="J452" s="27" t="e">
        <f ca="1">E452+C452*F452+'01_INPUTS'!B21</f>
        <v>#NAME?</v>
      </c>
      <c r="K452" s="27" t="e">
        <f t="shared" ca="1" si="42"/>
        <v>#NAME?</v>
      </c>
      <c r="L452" s="23" t="e">
        <f t="shared" ca="1" si="43"/>
        <v>#NAME?</v>
      </c>
      <c r="M452" s="23" t="e">
        <f t="shared" ca="1" si="44"/>
        <v>#NAME?</v>
      </c>
      <c r="N452" s="23" t="e">
        <f t="shared" ca="1" si="45"/>
        <v>#NAME?</v>
      </c>
      <c r="O452" s="27" t="e">
        <f t="shared" ca="1" si="46"/>
        <v>#NAME?</v>
      </c>
      <c r="P452" s="27" t="e">
        <f ca="1">'01_INPUTS'!B9*N452-K452</f>
        <v>#NAME?</v>
      </c>
      <c r="Q452" s="1" t="e">
        <f t="shared" ca="1" si="47"/>
        <v>#NAME?</v>
      </c>
      <c r="R452" s="28">
        <v>0.79204383119940758</v>
      </c>
      <c r="S452" s="28">
        <v>0.3694259193725884</v>
      </c>
      <c r="T452" s="28">
        <v>0.26124449400231242</v>
      </c>
      <c r="U452" s="28">
        <v>0.17973790573887527</v>
      </c>
      <c r="V452" s="28">
        <v>0.2670272879768163</v>
      </c>
      <c r="W452" s="28">
        <v>0.43245063023641706</v>
      </c>
      <c r="X452" s="28">
        <v>0.24911388242617249</v>
      </c>
    </row>
    <row r="453" spans="1:24" ht="13.9">
      <c r="A453" s="1">
        <v>452</v>
      </c>
      <c r="B453" s="23" t="e">
        <f ca="1">_xludf.BETA.INV(R453,'04_PSA_INPUTS'!H5,'04_PSA_INPUTS'!I5)</f>
        <v>#NAME?</v>
      </c>
      <c r="C453" s="23" t="e">
        <f ca="1">_xludf.BETA.INV(S453,'04_PSA_INPUTS'!H6,'04_PSA_INPUTS'!I6)</f>
        <v>#NAME?</v>
      </c>
      <c r="D453" s="27" t="e">
        <f ca="1">_xludf.GAMMA.INV(T453,'04_PSA_INPUTS'!H7,'04_PSA_INPUTS'!I7)</f>
        <v>#NAME?</v>
      </c>
      <c r="E453" s="27" t="e">
        <f ca="1">_xludf.GAMMA.INV(U453,'04_PSA_INPUTS'!H8,'04_PSA_INPUTS'!I8)</f>
        <v>#NAME?</v>
      </c>
      <c r="F453" s="27" t="e">
        <f ca="1">_xludf.GAMMA.INV(V453,'04_PSA_INPUTS'!H9,'04_PSA_INPUTS'!I9)</f>
        <v>#NAME?</v>
      </c>
      <c r="G453" s="23" t="e">
        <f ca="1">_xludf.BETA.INV(W453,'04_PSA_INPUTS'!H10,'04_PSA_INPUTS'!I10)</f>
        <v>#NAME?</v>
      </c>
      <c r="H453" s="23" t="e">
        <f ca="1">_xludf.BETA.INV(X453,'04_PSA_INPUTS'!H11,'04_PSA_INPUTS'!I11)</f>
        <v>#NAME?</v>
      </c>
      <c r="I453" s="27" t="e">
        <f ca="1">D453+B453*F453+'01_INPUTS'!B20</f>
        <v>#NAME?</v>
      </c>
      <c r="J453" s="27" t="e">
        <f ca="1">E453+C453*F453+'01_INPUTS'!B21</f>
        <v>#NAME?</v>
      </c>
      <c r="K453" s="27" t="e">
        <f t="shared" ca="1" si="42"/>
        <v>#NAME?</v>
      </c>
      <c r="L453" s="23" t="e">
        <f t="shared" ca="1" si="43"/>
        <v>#NAME?</v>
      </c>
      <c r="M453" s="23" t="e">
        <f t="shared" ca="1" si="44"/>
        <v>#NAME?</v>
      </c>
      <c r="N453" s="23" t="e">
        <f t="shared" ca="1" si="45"/>
        <v>#NAME?</v>
      </c>
      <c r="O453" s="27" t="e">
        <f t="shared" ca="1" si="46"/>
        <v>#NAME?</v>
      </c>
      <c r="P453" s="27" t="e">
        <f ca="1">'01_INPUTS'!B9*N453-K453</f>
        <v>#NAME?</v>
      </c>
      <c r="Q453" s="1" t="e">
        <f t="shared" ca="1" si="47"/>
        <v>#NAME?</v>
      </c>
      <c r="R453" s="28">
        <v>0.64241448929533362</v>
      </c>
      <c r="S453" s="28">
        <v>0.43988378997892141</v>
      </c>
      <c r="T453" s="28">
        <v>0.25651705241762102</v>
      </c>
      <c r="U453" s="28">
        <v>0.82083139824680984</v>
      </c>
      <c r="V453" s="28">
        <v>0.48445732030086219</v>
      </c>
      <c r="W453" s="28">
        <v>0.88493983144871891</v>
      </c>
      <c r="X453" s="28">
        <v>0.41097764670848846</v>
      </c>
    </row>
    <row r="454" spans="1:24" ht="13.9">
      <c r="A454" s="1">
        <v>453</v>
      </c>
      <c r="B454" s="23" t="e">
        <f ca="1">_xludf.BETA.INV(R454,'04_PSA_INPUTS'!H5,'04_PSA_INPUTS'!I5)</f>
        <v>#NAME?</v>
      </c>
      <c r="C454" s="23" t="e">
        <f ca="1">_xludf.BETA.INV(S454,'04_PSA_INPUTS'!H6,'04_PSA_INPUTS'!I6)</f>
        <v>#NAME?</v>
      </c>
      <c r="D454" s="27" t="e">
        <f ca="1">_xludf.GAMMA.INV(T454,'04_PSA_INPUTS'!H7,'04_PSA_INPUTS'!I7)</f>
        <v>#NAME?</v>
      </c>
      <c r="E454" s="27" t="e">
        <f ca="1">_xludf.GAMMA.INV(U454,'04_PSA_INPUTS'!H8,'04_PSA_INPUTS'!I8)</f>
        <v>#NAME?</v>
      </c>
      <c r="F454" s="27" t="e">
        <f ca="1">_xludf.GAMMA.INV(V454,'04_PSA_INPUTS'!H9,'04_PSA_INPUTS'!I9)</f>
        <v>#NAME?</v>
      </c>
      <c r="G454" s="23" t="e">
        <f ca="1">_xludf.BETA.INV(W454,'04_PSA_INPUTS'!H10,'04_PSA_INPUTS'!I10)</f>
        <v>#NAME?</v>
      </c>
      <c r="H454" s="23" t="e">
        <f ca="1">_xludf.BETA.INV(X454,'04_PSA_INPUTS'!H11,'04_PSA_INPUTS'!I11)</f>
        <v>#NAME?</v>
      </c>
      <c r="I454" s="27" t="e">
        <f ca="1">D454+B454*F454+'01_INPUTS'!B20</f>
        <v>#NAME?</v>
      </c>
      <c r="J454" s="27" t="e">
        <f ca="1">E454+C454*F454+'01_INPUTS'!B21</f>
        <v>#NAME?</v>
      </c>
      <c r="K454" s="27" t="e">
        <f t="shared" ca="1" si="42"/>
        <v>#NAME?</v>
      </c>
      <c r="L454" s="23" t="e">
        <f t="shared" ca="1" si="43"/>
        <v>#NAME?</v>
      </c>
      <c r="M454" s="23" t="e">
        <f t="shared" ca="1" si="44"/>
        <v>#NAME?</v>
      </c>
      <c r="N454" s="23" t="e">
        <f t="shared" ca="1" si="45"/>
        <v>#NAME?</v>
      </c>
      <c r="O454" s="27" t="e">
        <f t="shared" ca="1" si="46"/>
        <v>#NAME?</v>
      </c>
      <c r="P454" s="27" t="e">
        <f ca="1">'01_INPUTS'!B9*N454-K454</f>
        <v>#NAME?</v>
      </c>
      <c r="Q454" s="1" t="e">
        <f t="shared" ca="1" si="47"/>
        <v>#NAME?</v>
      </c>
      <c r="R454" s="28">
        <v>0.34210155648179352</v>
      </c>
      <c r="S454" s="28">
        <v>0.2967467384878546</v>
      </c>
      <c r="T454" s="28">
        <v>0.70622797543182969</v>
      </c>
      <c r="U454" s="28">
        <v>0.40173650276847184</v>
      </c>
      <c r="V454" s="28">
        <v>0.50794308818876743</v>
      </c>
      <c r="W454" s="28">
        <v>0.32507015741430223</v>
      </c>
      <c r="X454" s="28">
        <v>0.26619101339019835</v>
      </c>
    </row>
    <row r="455" spans="1:24" ht="13.9">
      <c r="A455" s="1">
        <v>454</v>
      </c>
      <c r="B455" s="23" t="e">
        <f ca="1">_xludf.BETA.INV(R455,'04_PSA_INPUTS'!H5,'04_PSA_INPUTS'!I5)</f>
        <v>#NAME?</v>
      </c>
      <c r="C455" s="23" t="e">
        <f ca="1">_xludf.BETA.INV(S455,'04_PSA_INPUTS'!H6,'04_PSA_INPUTS'!I6)</f>
        <v>#NAME?</v>
      </c>
      <c r="D455" s="27" t="e">
        <f ca="1">_xludf.GAMMA.INV(T455,'04_PSA_INPUTS'!H7,'04_PSA_INPUTS'!I7)</f>
        <v>#NAME?</v>
      </c>
      <c r="E455" s="27" t="e">
        <f ca="1">_xludf.GAMMA.INV(U455,'04_PSA_INPUTS'!H8,'04_PSA_INPUTS'!I8)</f>
        <v>#NAME?</v>
      </c>
      <c r="F455" s="27" t="e">
        <f ca="1">_xludf.GAMMA.INV(V455,'04_PSA_INPUTS'!H9,'04_PSA_INPUTS'!I9)</f>
        <v>#NAME?</v>
      </c>
      <c r="G455" s="23" t="e">
        <f ca="1">_xludf.BETA.INV(W455,'04_PSA_INPUTS'!H10,'04_PSA_INPUTS'!I10)</f>
        <v>#NAME?</v>
      </c>
      <c r="H455" s="23" t="e">
        <f ca="1">_xludf.BETA.INV(X455,'04_PSA_INPUTS'!H11,'04_PSA_INPUTS'!I11)</f>
        <v>#NAME?</v>
      </c>
      <c r="I455" s="27" t="e">
        <f ca="1">D455+B455*F455+'01_INPUTS'!B20</f>
        <v>#NAME?</v>
      </c>
      <c r="J455" s="27" t="e">
        <f ca="1">E455+C455*F455+'01_INPUTS'!B21</f>
        <v>#NAME?</v>
      </c>
      <c r="K455" s="27" t="e">
        <f t="shared" ca="1" si="42"/>
        <v>#NAME?</v>
      </c>
      <c r="L455" s="23" t="e">
        <f t="shared" ca="1" si="43"/>
        <v>#NAME?</v>
      </c>
      <c r="M455" s="23" t="e">
        <f t="shared" ca="1" si="44"/>
        <v>#NAME?</v>
      </c>
      <c r="N455" s="23" t="e">
        <f t="shared" ca="1" si="45"/>
        <v>#NAME?</v>
      </c>
      <c r="O455" s="27" t="e">
        <f t="shared" ca="1" si="46"/>
        <v>#NAME?</v>
      </c>
      <c r="P455" s="27" t="e">
        <f ca="1">'01_INPUTS'!B9*N455-K455</f>
        <v>#NAME?</v>
      </c>
      <c r="Q455" s="1" t="e">
        <f t="shared" ca="1" si="47"/>
        <v>#NAME?</v>
      </c>
      <c r="R455" s="28">
        <v>0.45964743220247328</v>
      </c>
      <c r="S455" s="28">
        <v>0.78435899037867785</v>
      </c>
      <c r="T455" s="28">
        <v>0.31524984980933368</v>
      </c>
      <c r="U455" s="28">
        <v>0.95760134304873645</v>
      </c>
      <c r="V455" s="28">
        <v>0.45627018855884671</v>
      </c>
      <c r="W455" s="28">
        <v>0.28357767313718796</v>
      </c>
      <c r="X455" s="28">
        <v>0.36333929188549519</v>
      </c>
    </row>
    <row r="456" spans="1:24" ht="13.9">
      <c r="A456" s="1">
        <v>455</v>
      </c>
      <c r="B456" s="23" t="e">
        <f ca="1">_xludf.BETA.INV(R456,'04_PSA_INPUTS'!H5,'04_PSA_INPUTS'!I5)</f>
        <v>#NAME?</v>
      </c>
      <c r="C456" s="23" t="e">
        <f ca="1">_xludf.BETA.INV(S456,'04_PSA_INPUTS'!H6,'04_PSA_INPUTS'!I6)</f>
        <v>#NAME?</v>
      </c>
      <c r="D456" s="27" t="e">
        <f ca="1">_xludf.GAMMA.INV(T456,'04_PSA_INPUTS'!H7,'04_PSA_INPUTS'!I7)</f>
        <v>#NAME?</v>
      </c>
      <c r="E456" s="27" t="e">
        <f ca="1">_xludf.GAMMA.INV(U456,'04_PSA_INPUTS'!H8,'04_PSA_INPUTS'!I8)</f>
        <v>#NAME?</v>
      </c>
      <c r="F456" s="27" t="e">
        <f ca="1">_xludf.GAMMA.INV(V456,'04_PSA_INPUTS'!H9,'04_PSA_INPUTS'!I9)</f>
        <v>#NAME?</v>
      </c>
      <c r="G456" s="23" t="e">
        <f ca="1">_xludf.BETA.INV(W456,'04_PSA_INPUTS'!H10,'04_PSA_INPUTS'!I10)</f>
        <v>#NAME?</v>
      </c>
      <c r="H456" s="23" t="e">
        <f ca="1">_xludf.BETA.INV(X456,'04_PSA_INPUTS'!H11,'04_PSA_INPUTS'!I11)</f>
        <v>#NAME?</v>
      </c>
      <c r="I456" s="27" t="e">
        <f ca="1">D456+B456*F456+'01_INPUTS'!B20</f>
        <v>#NAME?</v>
      </c>
      <c r="J456" s="27" t="e">
        <f ca="1">E456+C456*F456+'01_INPUTS'!B21</f>
        <v>#NAME?</v>
      </c>
      <c r="K456" s="27" t="e">
        <f t="shared" ca="1" si="42"/>
        <v>#NAME?</v>
      </c>
      <c r="L456" s="23" t="e">
        <f t="shared" ca="1" si="43"/>
        <v>#NAME?</v>
      </c>
      <c r="M456" s="23" t="e">
        <f t="shared" ca="1" si="44"/>
        <v>#NAME?</v>
      </c>
      <c r="N456" s="23" t="e">
        <f t="shared" ca="1" si="45"/>
        <v>#NAME?</v>
      </c>
      <c r="O456" s="27" t="e">
        <f t="shared" ca="1" si="46"/>
        <v>#NAME?</v>
      </c>
      <c r="P456" s="27" t="e">
        <f ca="1">'01_INPUTS'!B9*N456-K456</f>
        <v>#NAME?</v>
      </c>
      <c r="Q456" s="1" t="e">
        <f t="shared" ca="1" si="47"/>
        <v>#NAME?</v>
      </c>
      <c r="R456" s="28">
        <v>0.90992776211351156</v>
      </c>
      <c r="S456" s="28">
        <v>0.16429526638239622</v>
      </c>
      <c r="T456" s="28">
        <v>0.78007732378318906</v>
      </c>
      <c r="U456" s="28">
        <v>8.8437542319297791E-2</v>
      </c>
      <c r="V456" s="28">
        <v>0.59384460630826652</v>
      </c>
      <c r="W456" s="28">
        <v>0.17798087373375893</v>
      </c>
      <c r="X456" s="28">
        <v>0.17859687213785946</v>
      </c>
    </row>
    <row r="457" spans="1:24" ht="13.9">
      <c r="A457" s="1">
        <v>456</v>
      </c>
      <c r="B457" s="23" t="e">
        <f ca="1">_xludf.BETA.INV(R457,'04_PSA_INPUTS'!H5,'04_PSA_INPUTS'!I5)</f>
        <v>#NAME?</v>
      </c>
      <c r="C457" s="23" t="e">
        <f ca="1">_xludf.BETA.INV(S457,'04_PSA_INPUTS'!H6,'04_PSA_INPUTS'!I6)</f>
        <v>#NAME?</v>
      </c>
      <c r="D457" s="27" t="e">
        <f ca="1">_xludf.GAMMA.INV(T457,'04_PSA_INPUTS'!H7,'04_PSA_INPUTS'!I7)</f>
        <v>#NAME?</v>
      </c>
      <c r="E457" s="27" t="e">
        <f ca="1">_xludf.GAMMA.INV(U457,'04_PSA_INPUTS'!H8,'04_PSA_INPUTS'!I8)</f>
        <v>#NAME?</v>
      </c>
      <c r="F457" s="27" t="e">
        <f ca="1">_xludf.GAMMA.INV(V457,'04_PSA_INPUTS'!H9,'04_PSA_INPUTS'!I9)</f>
        <v>#NAME?</v>
      </c>
      <c r="G457" s="23" t="e">
        <f ca="1">_xludf.BETA.INV(W457,'04_PSA_INPUTS'!H10,'04_PSA_INPUTS'!I10)</f>
        <v>#NAME?</v>
      </c>
      <c r="H457" s="23" t="e">
        <f ca="1">_xludf.BETA.INV(X457,'04_PSA_INPUTS'!H11,'04_PSA_INPUTS'!I11)</f>
        <v>#NAME?</v>
      </c>
      <c r="I457" s="27" t="e">
        <f ca="1">D457+B457*F457+'01_INPUTS'!B20</f>
        <v>#NAME?</v>
      </c>
      <c r="J457" s="27" t="e">
        <f ca="1">E457+C457*F457+'01_INPUTS'!B21</f>
        <v>#NAME?</v>
      </c>
      <c r="K457" s="27" t="e">
        <f t="shared" ca="1" si="42"/>
        <v>#NAME?</v>
      </c>
      <c r="L457" s="23" t="e">
        <f t="shared" ca="1" si="43"/>
        <v>#NAME?</v>
      </c>
      <c r="M457" s="23" t="e">
        <f t="shared" ca="1" si="44"/>
        <v>#NAME?</v>
      </c>
      <c r="N457" s="23" t="e">
        <f t="shared" ca="1" si="45"/>
        <v>#NAME?</v>
      </c>
      <c r="O457" s="27" t="e">
        <f t="shared" ca="1" si="46"/>
        <v>#NAME?</v>
      </c>
      <c r="P457" s="27" t="e">
        <f ca="1">'01_INPUTS'!B9*N457-K457</f>
        <v>#NAME?</v>
      </c>
      <c r="Q457" s="1" t="e">
        <f t="shared" ca="1" si="47"/>
        <v>#NAME?</v>
      </c>
      <c r="R457" s="28">
        <v>0.26719259447418153</v>
      </c>
      <c r="S457" s="28">
        <v>7.1527303894981742E-2</v>
      </c>
      <c r="T457" s="28">
        <v>0.29405347863212228</v>
      </c>
      <c r="U457" s="28">
        <v>0.91629570047371089</v>
      </c>
      <c r="V457" s="28">
        <v>0.71241446188651025</v>
      </c>
      <c r="W457" s="28">
        <v>0.26248789438977838</v>
      </c>
      <c r="X457" s="28">
        <v>0.26492675254121423</v>
      </c>
    </row>
    <row r="458" spans="1:24" ht="13.9">
      <c r="A458" s="1">
        <v>457</v>
      </c>
      <c r="B458" s="23" t="e">
        <f ca="1">_xludf.BETA.INV(R458,'04_PSA_INPUTS'!H5,'04_PSA_INPUTS'!I5)</f>
        <v>#NAME?</v>
      </c>
      <c r="C458" s="23" t="e">
        <f ca="1">_xludf.BETA.INV(S458,'04_PSA_INPUTS'!H6,'04_PSA_INPUTS'!I6)</f>
        <v>#NAME?</v>
      </c>
      <c r="D458" s="27" t="e">
        <f ca="1">_xludf.GAMMA.INV(T458,'04_PSA_INPUTS'!H7,'04_PSA_INPUTS'!I7)</f>
        <v>#NAME?</v>
      </c>
      <c r="E458" s="27" t="e">
        <f ca="1">_xludf.GAMMA.INV(U458,'04_PSA_INPUTS'!H8,'04_PSA_INPUTS'!I8)</f>
        <v>#NAME?</v>
      </c>
      <c r="F458" s="27" t="e">
        <f ca="1">_xludf.GAMMA.INV(V458,'04_PSA_INPUTS'!H9,'04_PSA_INPUTS'!I9)</f>
        <v>#NAME?</v>
      </c>
      <c r="G458" s="23" t="e">
        <f ca="1">_xludf.BETA.INV(W458,'04_PSA_INPUTS'!H10,'04_PSA_INPUTS'!I10)</f>
        <v>#NAME?</v>
      </c>
      <c r="H458" s="23" t="e">
        <f ca="1">_xludf.BETA.INV(X458,'04_PSA_INPUTS'!H11,'04_PSA_INPUTS'!I11)</f>
        <v>#NAME?</v>
      </c>
      <c r="I458" s="27" t="e">
        <f ca="1">D458+B458*F458+'01_INPUTS'!B20</f>
        <v>#NAME?</v>
      </c>
      <c r="J458" s="27" t="e">
        <f ca="1">E458+C458*F458+'01_INPUTS'!B21</f>
        <v>#NAME?</v>
      </c>
      <c r="K458" s="27" t="e">
        <f t="shared" ca="1" si="42"/>
        <v>#NAME?</v>
      </c>
      <c r="L458" s="23" t="e">
        <f t="shared" ca="1" si="43"/>
        <v>#NAME?</v>
      </c>
      <c r="M458" s="23" t="e">
        <f t="shared" ca="1" si="44"/>
        <v>#NAME?</v>
      </c>
      <c r="N458" s="23" t="e">
        <f t="shared" ca="1" si="45"/>
        <v>#NAME?</v>
      </c>
      <c r="O458" s="27" t="e">
        <f t="shared" ca="1" si="46"/>
        <v>#NAME?</v>
      </c>
      <c r="P458" s="27" t="e">
        <f ca="1">'01_INPUTS'!B9*N458-K458</f>
        <v>#NAME?</v>
      </c>
      <c r="Q458" s="1" t="e">
        <f t="shared" ca="1" si="47"/>
        <v>#NAME?</v>
      </c>
      <c r="R458" s="28">
        <v>0.2888061220292002</v>
      </c>
      <c r="S458" s="28">
        <v>0.33615381876006722</v>
      </c>
      <c r="T458" s="28">
        <v>0.24564675474539399</v>
      </c>
      <c r="U458" s="28">
        <v>0.3331241870764643</v>
      </c>
      <c r="V458" s="28">
        <v>0.89697730401530862</v>
      </c>
      <c r="W458" s="28">
        <v>0.39846526528708637</v>
      </c>
      <c r="X458" s="28">
        <v>0.62303888145834208</v>
      </c>
    </row>
    <row r="459" spans="1:24" ht="13.9">
      <c r="A459" s="1">
        <v>458</v>
      </c>
      <c r="B459" s="23" t="e">
        <f ca="1">_xludf.BETA.INV(R459,'04_PSA_INPUTS'!H5,'04_PSA_INPUTS'!I5)</f>
        <v>#NAME?</v>
      </c>
      <c r="C459" s="23" t="e">
        <f ca="1">_xludf.BETA.INV(S459,'04_PSA_INPUTS'!H6,'04_PSA_INPUTS'!I6)</f>
        <v>#NAME?</v>
      </c>
      <c r="D459" s="27" t="e">
        <f ca="1">_xludf.GAMMA.INV(T459,'04_PSA_INPUTS'!H7,'04_PSA_INPUTS'!I7)</f>
        <v>#NAME?</v>
      </c>
      <c r="E459" s="27" t="e">
        <f ca="1">_xludf.GAMMA.INV(U459,'04_PSA_INPUTS'!H8,'04_PSA_INPUTS'!I8)</f>
        <v>#NAME?</v>
      </c>
      <c r="F459" s="27" t="e">
        <f ca="1">_xludf.GAMMA.INV(V459,'04_PSA_INPUTS'!H9,'04_PSA_INPUTS'!I9)</f>
        <v>#NAME?</v>
      </c>
      <c r="G459" s="23" t="e">
        <f ca="1">_xludf.BETA.INV(W459,'04_PSA_INPUTS'!H10,'04_PSA_INPUTS'!I10)</f>
        <v>#NAME?</v>
      </c>
      <c r="H459" s="23" t="e">
        <f ca="1">_xludf.BETA.INV(X459,'04_PSA_INPUTS'!H11,'04_PSA_INPUTS'!I11)</f>
        <v>#NAME?</v>
      </c>
      <c r="I459" s="27" t="e">
        <f ca="1">D459+B459*F459+'01_INPUTS'!B20</f>
        <v>#NAME?</v>
      </c>
      <c r="J459" s="27" t="e">
        <f ca="1">E459+C459*F459+'01_INPUTS'!B21</f>
        <v>#NAME?</v>
      </c>
      <c r="K459" s="27" t="e">
        <f t="shared" ca="1" si="42"/>
        <v>#NAME?</v>
      </c>
      <c r="L459" s="23" t="e">
        <f t="shared" ca="1" si="43"/>
        <v>#NAME?</v>
      </c>
      <c r="M459" s="23" t="e">
        <f t="shared" ca="1" si="44"/>
        <v>#NAME?</v>
      </c>
      <c r="N459" s="23" t="e">
        <f t="shared" ca="1" si="45"/>
        <v>#NAME?</v>
      </c>
      <c r="O459" s="27" t="e">
        <f t="shared" ca="1" si="46"/>
        <v>#NAME?</v>
      </c>
      <c r="P459" s="27" t="e">
        <f ca="1">'01_INPUTS'!B9*N459-K459</f>
        <v>#NAME?</v>
      </c>
      <c r="Q459" s="1" t="e">
        <f t="shared" ca="1" si="47"/>
        <v>#NAME?</v>
      </c>
      <c r="R459" s="28">
        <v>1.0803525801748037E-2</v>
      </c>
      <c r="S459" s="28">
        <v>0.89952914044260979</v>
      </c>
      <c r="T459" s="28">
        <v>0.35915569961071014</v>
      </c>
      <c r="U459" s="28">
        <v>0.78668258804827929</v>
      </c>
      <c r="V459" s="28">
        <v>0.30990318791009486</v>
      </c>
      <c r="W459" s="28">
        <v>0.75375375407747924</v>
      </c>
      <c r="X459" s="28">
        <v>0.1292900089174509</v>
      </c>
    </row>
    <row r="460" spans="1:24" ht="13.9">
      <c r="A460" s="1">
        <v>459</v>
      </c>
      <c r="B460" s="23" t="e">
        <f ca="1">_xludf.BETA.INV(R460,'04_PSA_INPUTS'!H5,'04_PSA_INPUTS'!I5)</f>
        <v>#NAME?</v>
      </c>
      <c r="C460" s="23" t="e">
        <f ca="1">_xludf.BETA.INV(S460,'04_PSA_INPUTS'!H6,'04_PSA_INPUTS'!I6)</f>
        <v>#NAME?</v>
      </c>
      <c r="D460" s="27" t="e">
        <f ca="1">_xludf.GAMMA.INV(T460,'04_PSA_INPUTS'!H7,'04_PSA_INPUTS'!I7)</f>
        <v>#NAME?</v>
      </c>
      <c r="E460" s="27" t="e">
        <f ca="1">_xludf.GAMMA.INV(U460,'04_PSA_INPUTS'!H8,'04_PSA_INPUTS'!I8)</f>
        <v>#NAME?</v>
      </c>
      <c r="F460" s="27" t="e">
        <f ca="1">_xludf.GAMMA.INV(V460,'04_PSA_INPUTS'!H9,'04_PSA_INPUTS'!I9)</f>
        <v>#NAME?</v>
      </c>
      <c r="G460" s="23" t="e">
        <f ca="1">_xludf.BETA.INV(W460,'04_PSA_INPUTS'!H10,'04_PSA_INPUTS'!I10)</f>
        <v>#NAME?</v>
      </c>
      <c r="H460" s="23" t="e">
        <f ca="1">_xludf.BETA.INV(X460,'04_PSA_INPUTS'!H11,'04_PSA_INPUTS'!I11)</f>
        <v>#NAME?</v>
      </c>
      <c r="I460" s="27" t="e">
        <f ca="1">D460+B460*F460+'01_INPUTS'!B20</f>
        <v>#NAME?</v>
      </c>
      <c r="J460" s="27" t="e">
        <f ca="1">E460+C460*F460+'01_INPUTS'!B21</f>
        <v>#NAME?</v>
      </c>
      <c r="K460" s="27" t="e">
        <f t="shared" ca="1" si="42"/>
        <v>#NAME?</v>
      </c>
      <c r="L460" s="23" t="e">
        <f t="shared" ca="1" si="43"/>
        <v>#NAME?</v>
      </c>
      <c r="M460" s="23" t="e">
        <f t="shared" ca="1" si="44"/>
        <v>#NAME?</v>
      </c>
      <c r="N460" s="23" t="e">
        <f t="shared" ca="1" si="45"/>
        <v>#NAME?</v>
      </c>
      <c r="O460" s="27" t="e">
        <f t="shared" ca="1" si="46"/>
        <v>#NAME?</v>
      </c>
      <c r="P460" s="27" t="e">
        <f ca="1">'01_INPUTS'!B9*N460-K460</f>
        <v>#NAME?</v>
      </c>
      <c r="Q460" s="1" t="e">
        <f t="shared" ca="1" si="47"/>
        <v>#NAME?</v>
      </c>
      <c r="R460" s="28">
        <v>0.654909398406744</v>
      </c>
      <c r="S460" s="28">
        <v>0.46918721869587898</v>
      </c>
      <c r="T460" s="28">
        <v>0.48039872362278402</v>
      </c>
      <c r="U460" s="28">
        <v>0.8714650550391525</v>
      </c>
      <c r="V460" s="28">
        <v>0.29511855915188789</v>
      </c>
      <c r="W460" s="28">
        <v>0.6431347131729126</v>
      </c>
      <c r="X460" s="28">
        <v>0.14710944029502571</v>
      </c>
    </row>
    <row r="461" spans="1:24" ht="13.9">
      <c r="A461" s="1">
        <v>460</v>
      </c>
      <c r="B461" s="23" t="e">
        <f ca="1">_xludf.BETA.INV(R461,'04_PSA_INPUTS'!H5,'04_PSA_INPUTS'!I5)</f>
        <v>#NAME?</v>
      </c>
      <c r="C461" s="23" t="e">
        <f ca="1">_xludf.BETA.INV(S461,'04_PSA_INPUTS'!H6,'04_PSA_INPUTS'!I6)</f>
        <v>#NAME?</v>
      </c>
      <c r="D461" s="27" t="e">
        <f ca="1">_xludf.GAMMA.INV(T461,'04_PSA_INPUTS'!H7,'04_PSA_INPUTS'!I7)</f>
        <v>#NAME?</v>
      </c>
      <c r="E461" s="27" t="e">
        <f ca="1">_xludf.GAMMA.INV(U461,'04_PSA_INPUTS'!H8,'04_PSA_INPUTS'!I8)</f>
        <v>#NAME?</v>
      </c>
      <c r="F461" s="27" t="e">
        <f ca="1">_xludf.GAMMA.INV(V461,'04_PSA_INPUTS'!H9,'04_PSA_INPUTS'!I9)</f>
        <v>#NAME?</v>
      </c>
      <c r="G461" s="23" t="e">
        <f ca="1">_xludf.BETA.INV(W461,'04_PSA_INPUTS'!H10,'04_PSA_INPUTS'!I10)</f>
        <v>#NAME?</v>
      </c>
      <c r="H461" s="23" t="e">
        <f ca="1">_xludf.BETA.INV(X461,'04_PSA_INPUTS'!H11,'04_PSA_INPUTS'!I11)</f>
        <v>#NAME?</v>
      </c>
      <c r="I461" s="27" t="e">
        <f ca="1">D461+B461*F461+'01_INPUTS'!B20</f>
        <v>#NAME?</v>
      </c>
      <c r="J461" s="27" t="e">
        <f ca="1">E461+C461*F461+'01_INPUTS'!B21</f>
        <v>#NAME?</v>
      </c>
      <c r="K461" s="27" t="e">
        <f t="shared" ca="1" si="42"/>
        <v>#NAME?</v>
      </c>
      <c r="L461" s="23" t="e">
        <f t="shared" ca="1" si="43"/>
        <v>#NAME?</v>
      </c>
      <c r="M461" s="23" t="e">
        <f t="shared" ca="1" si="44"/>
        <v>#NAME?</v>
      </c>
      <c r="N461" s="23" t="e">
        <f t="shared" ca="1" si="45"/>
        <v>#NAME?</v>
      </c>
      <c r="O461" s="27" t="e">
        <f t="shared" ca="1" si="46"/>
        <v>#NAME?</v>
      </c>
      <c r="P461" s="27" t="e">
        <f ca="1">'01_INPUTS'!B9*N461-K461</f>
        <v>#NAME?</v>
      </c>
      <c r="Q461" s="1" t="e">
        <f t="shared" ca="1" si="47"/>
        <v>#NAME?</v>
      </c>
      <c r="R461" s="28">
        <v>0.677262689685449</v>
      </c>
      <c r="S461" s="28">
        <v>0.81740010087378323</v>
      </c>
      <c r="T461" s="28">
        <v>0.15866896975785494</v>
      </c>
      <c r="U461" s="28">
        <v>0.24779162835329771</v>
      </c>
      <c r="V461" s="28">
        <v>0.12047692551277578</v>
      </c>
      <c r="W461" s="28">
        <v>0.10480718431062996</v>
      </c>
      <c r="X461" s="28">
        <v>0.68462984403595328</v>
      </c>
    </row>
    <row r="462" spans="1:24" ht="13.9">
      <c r="A462" s="1">
        <v>461</v>
      </c>
      <c r="B462" s="23" t="e">
        <f ca="1">_xludf.BETA.INV(R462,'04_PSA_INPUTS'!H5,'04_PSA_INPUTS'!I5)</f>
        <v>#NAME?</v>
      </c>
      <c r="C462" s="23" t="e">
        <f ca="1">_xludf.BETA.INV(S462,'04_PSA_INPUTS'!H6,'04_PSA_INPUTS'!I6)</f>
        <v>#NAME?</v>
      </c>
      <c r="D462" s="27" t="e">
        <f ca="1">_xludf.GAMMA.INV(T462,'04_PSA_INPUTS'!H7,'04_PSA_INPUTS'!I7)</f>
        <v>#NAME?</v>
      </c>
      <c r="E462" s="27" t="e">
        <f ca="1">_xludf.GAMMA.INV(U462,'04_PSA_INPUTS'!H8,'04_PSA_INPUTS'!I8)</f>
        <v>#NAME?</v>
      </c>
      <c r="F462" s="27" t="e">
        <f ca="1">_xludf.GAMMA.INV(V462,'04_PSA_INPUTS'!H9,'04_PSA_INPUTS'!I9)</f>
        <v>#NAME?</v>
      </c>
      <c r="G462" s="23" t="e">
        <f ca="1">_xludf.BETA.INV(W462,'04_PSA_INPUTS'!H10,'04_PSA_INPUTS'!I10)</f>
        <v>#NAME?</v>
      </c>
      <c r="H462" s="23" t="e">
        <f ca="1">_xludf.BETA.INV(X462,'04_PSA_INPUTS'!H11,'04_PSA_INPUTS'!I11)</f>
        <v>#NAME?</v>
      </c>
      <c r="I462" s="27" t="e">
        <f ca="1">D462+B462*F462+'01_INPUTS'!B20</f>
        <v>#NAME?</v>
      </c>
      <c r="J462" s="27" t="e">
        <f ca="1">E462+C462*F462+'01_INPUTS'!B21</f>
        <v>#NAME?</v>
      </c>
      <c r="K462" s="27" t="e">
        <f t="shared" ca="1" si="42"/>
        <v>#NAME?</v>
      </c>
      <c r="L462" s="23" t="e">
        <f t="shared" ca="1" si="43"/>
        <v>#NAME?</v>
      </c>
      <c r="M462" s="23" t="e">
        <f t="shared" ca="1" si="44"/>
        <v>#NAME?</v>
      </c>
      <c r="N462" s="23" t="e">
        <f t="shared" ca="1" si="45"/>
        <v>#NAME?</v>
      </c>
      <c r="O462" s="27" t="e">
        <f t="shared" ca="1" si="46"/>
        <v>#NAME?</v>
      </c>
      <c r="P462" s="27" t="e">
        <f ca="1">'01_INPUTS'!B9*N462-K462</f>
        <v>#NAME?</v>
      </c>
      <c r="Q462" s="1" t="e">
        <f t="shared" ca="1" si="47"/>
        <v>#NAME?</v>
      </c>
      <c r="R462" s="28">
        <v>0.53912844671867788</v>
      </c>
      <c r="S462" s="28">
        <v>0.50915657822042704</v>
      </c>
      <c r="T462" s="28">
        <v>0.52309795119799674</v>
      </c>
      <c r="U462" s="28">
        <v>0.5505036199465394</v>
      </c>
      <c r="V462" s="28">
        <v>0.92168040294200182</v>
      </c>
      <c r="W462" s="28">
        <v>0.26429819408804178</v>
      </c>
      <c r="X462" s="28">
        <v>0.59836728381924331</v>
      </c>
    </row>
    <row r="463" spans="1:24" ht="13.9">
      <c r="A463" s="1">
        <v>462</v>
      </c>
      <c r="B463" s="23" t="e">
        <f ca="1">_xludf.BETA.INV(R463,'04_PSA_INPUTS'!H5,'04_PSA_INPUTS'!I5)</f>
        <v>#NAME?</v>
      </c>
      <c r="C463" s="23" t="e">
        <f ca="1">_xludf.BETA.INV(S463,'04_PSA_INPUTS'!H6,'04_PSA_INPUTS'!I6)</f>
        <v>#NAME?</v>
      </c>
      <c r="D463" s="27" t="e">
        <f ca="1">_xludf.GAMMA.INV(T463,'04_PSA_INPUTS'!H7,'04_PSA_INPUTS'!I7)</f>
        <v>#NAME?</v>
      </c>
      <c r="E463" s="27" t="e">
        <f ca="1">_xludf.GAMMA.INV(U463,'04_PSA_INPUTS'!H8,'04_PSA_INPUTS'!I8)</f>
        <v>#NAME?</v>
      </c>
      <c r="F463" s="27" t="e">
        <f ca="1">_xludf.GAMMA.INV(V463,'04_PSA_INPUTS'!H9,'04_PSA_INPUTS'!I9)</f>
        <v>#NAME?</v>
      </c>
      <c r="G463" s="23" t="e">
        <f ca="1">_xludf.BETA.INV(W463,'04_PSA_INPUTS'!H10,'04_PSA_INPUTS'!I10)</f>
        <v>#NAME?</v>
      </c>
      <c r="H463" s="23" t="e">
        <f ca="1">_xludf.BETA.INV(X463,'04_PSA_INPUTS'!H11,'04_PSA_INPUTS'!I11)</f>
        <v>#NAME?</v>
      </c>
      <c r="I463" s="27" t="e">
        <f ca="1">D463+B463*F463+'01_INPUTS'!B20</f>
        <v>#NAME?</v>
      </c>
      <c r="J463" s="27" t="e">
        <f ca="1">E463+C463*F463+'01_INPUTS'!B21</f>
        <v>#NAME?</v>
      </c>
      <c r="K463" s="27" t="e">
        <f t="shared" ca="1" si="42"/>
        <v>#NAME?</v>
      </c>
      <c r="L463" s="23" t="e">
        <f t="shared" ca="1" si="43"/>
        <v>#NAME?</v>
      </c>
      <c r="M463" s="23" t="e">
        <f t="shared" ca="1" si="44"/>
        <v>#NAME?</v>
      </c>
      <c r="N463" s="23" t="e">
        <f t="shared" ca="1" si="45"/>
        <v>#NAME?</v>
      </c>
      <c r="O463" s="27" t="e">
        <f t="shared" ca="1" si="46"/>
        <v>#NAME?</v>
      </c>
      <c r="P463" s="27" t="e">
        <f ca="1">'01_INPUTS'!B9*N463-K463</f>
        <v>#NAME?</v>
      </c>
      <c r="Q463" s="1" t="e">
        <f t="shared" ca="1" si="47"/>
        <v>#NAME?</v>
      </c>
      <c r="R463" s="28">
        <v>0.50163308950141072</v>
      </c>
      <c r="S463" s="28">
        <v>0.1085782393347472</v>
      </c>
      <c r="T463" s="28">
        <v>0.16874597826972604</v>
      </c>
      <c r="U463" s="28">
        <v>0.3984828342217952</v>
      </c>
      <c r="V463" s="28">
        <v>0.99248741520568728</v>
      </c>
      <c r="W463" s="28">
        <v>0.65308509673923254</v>
      </c>
      <c r="X463" s="28">
        <v>0.24628871306777</v>
      </c>
    </row>
    <row r="464" spans="1:24" ht="13.9">
      <c r="A464" s="1">
        <v>463</v>
      </c>
      <c r="B464" s="23" t="e">
        <f ca="1">_xludf.BETA.INV(R464,'04_PSA_INPUTS'!H5,'04_PSA_INPUTS'!I5)</f>
        <v>#NAME?</v>
      </c>
      <c r="C464" s="23" t="e">
        <f ca="1">_xludf.BETA.INV(S464,'04_PSA_INPUTS'!H6,'04_PSA_INPUTS'!I6)</f>
        <v>#NAME?</v>
      </c>
      <c r="D464" s="27" t="e">
        <f ca="1">_xludf.GAMMA.INV(T464,'04_PSA_INPUTS'!H7,'04_PSA_INPUTS'!I7)</f>
        <v>#NAME?</v>
      </c>
      <c r="E464" s="27" t="e">
        <f ca="1">_xludf.GAMMA.INV(U464,'04_PSA_INPUTS'!H8,'04_PSA_INPUTS'!I8)</f>
        <v>#NAME?</v>
      </c>
      <c r="F464" s="27" t="e">
        <f ca="1">_xludf.GAMMA.INV(V464,'04_PSA_INPUTS'!H9,'04_PSA_INPUTS'!I9)</f>
        <v>#NAME?</v>
      </c>
      <c r="G464" s="23" t="e">
        <f ca="1">_xludf.BETA.INV(W464,'04_PSA_INPUTS'!H10,'04_PSA_INPUTS'!I10)</f>
        <v>#NAME?</v>
      </c>
      <c r="H464" s="23" t="e">
        <f ca="1">_xludf.BETA.INV(X464,'04_PSA_INPUTS'!H11,'04_PSA_INPUTS'!I11)</f>
        <v>#NAME?</v>
      </c>
      <c r="I464" s="27" t="e">
        <f ca="1">D464+B464*F464+'01_INPUTS'!B20</f>
        <v>#NAME?</v>
      </c>
      <c r="J464" s="27" t="e">
        <f ca="1">E464+C464*F464+'01_INPUTS'!B21</f>
        <v>#NAME?</v>
      </c>
      <c r="K464" s="27" t="e">
        <f t="shared" ca="1" si="42"/>
        <v>#NAME?</v>
      </c>
      <c r="L464" s="23" t="e">
        <f t="shared" ca="1" si="43"/>
        <v>#NAME?</v>
      </c>
      <c r="M464" s="23" t="e">
        <f t="shared" ca="1" si="44"/>
        <v>#NAME?</v>
      </c>
      <c r="N464" s="23" t="e">
        <f t="shared" ca="1" si="45"/>
        <v>#NAME?</v>
      </c>
      <c r="O464" s="27" t="e">
        <f t="shared" ca="1" si="46"/>
        <v>#NAME?</v>
      </c>
      <c r="P464" s="27" t="e">
        <f ca="1">'01_INPUTS'!B9*N464-K464</f>
        <v>#NAME?</v>
      </c>
      <c r="Q464" s="1" t="e">
        <f t="shared" ca="1" si="47"/>
        <v>#NAME?</v>
      </c>
      <c r="R464" s="28">
        <v>0.83675943361595273</v>
      </c>
      <c r="S464" s="28">
        <v>1.7096752533689141E-2</v>
      </c>
      <c r="T464" s="28">
        <v>9.2977783409878612E-2</v>
      </c>
      <c r="U464" s="28">
        <v>3.6014530342072248E-3</v>
      </c>
      <c r="V464" s="28">
        <v>0.41218213737010956</v>
      </c>
      <c r="W464" s="28">
        <v>0.90640400862321258</v>
      </c>
      <c r="X464" s="28">
        <v>0.41113033075816929</v>
      </c>
    </row>
    <row r="465" spans="1:24" ht="13.9">
      <c r="A465" s="1">
        <v>464</v>
      </c>
      <c r="B465" s="23" t="e">
        <f ca="1">_xludf.BETA.INV(R465,'04_PSA_INPUTS'!H5,'04_PSA_INPUTS'!I5)</f>
        <v>#NAME?</v>
      </c>
      <c r="C465" s="23" t="e">
        <f ca="1">_xludf.BETA.INV(S465,'04_PSA_INPUTS'!H6,'04_PSA_INPUTS'!I6)</f>
        <v>#NAME?</v>
      </c>
      <c r="D465" s="27" t="e">
        <f ca="1">_xludf.GAMMA.INV(T465,'04_PSA_INPUTS'!H7,'04_PSA_INPUTS'!I7)</f>
        <v>#NAME?</v>
      </c>
      <c r="E465" s="27" t="e">
        <f ca="1">_xludf.GAMMA.INV(U465,'04_PSA_INPUTS'!H8,'04_PSA_INPUTS'!I8)</f>
        <v>#NAME?</v>
      </c>
      <c r="F465" s="27" t="e">
        <f ca="1">_xludf.GAMMA.INV(V465,'04_PSA_INPUTS'!H9,'04_PSA_INPUTS'!I9)</f>
        <v>#NAME?</v>
      </c>
      <c r="G465" s="23" t="e">
        <f ca="1">_xludf.BETA.INV(W465,'04_PSA_INPUTS'!H10,'04_PSA_INPUTS'!I10)</f>
        <v>#NAME?</v>
      </c>
      <c r="H465" s="23" t="e">
        <f ca="1">_xludf.BETA.INV(X465,'04_PSA_INPUTS'!H11,'04_PSA_INPUTS'!I11)</f>
        <v>#NAME?</v>
      </c>
      <c r="I465" s="27" t="e">
        <f ca="1">D465+B465*F465+'01_INPUTS'!B20</f>
        <v>#NAME?</v>
      </c>
      <c r="J465" s="27" t="e">
        <f ca="1">E465+C465*F465+'01_INPUTS'!B21</f>
        <v>#NAME?</v>
      </c>
      <c r="K465" s="27" t="e">
        <f t="shared" ca="1" si="42"/>
        <v>#NAME?</v>
      </c>
      <c r="L465" s="23" t="e">
        <f t="shared" ca="1" si="43"/>
        <v>#NAME?</v>
      </c>
      <c r="M465" s="23" t="e">
        <f t="shared" ca="1" si="44"/>
        <v>#NAME?</v>
      </c>
      <c r="N465" s="23" t="e">
        <f t="shared" ca="1" si="45"/>
        <v>#NAME?</v>
      </c>
      <c r="O465" s="27" t="e">
        <f t="shared" ca="1" si="46"/>
        <v>#NAME?</v>
      </c>
      <c r="P465" s="27" t="e">
        <f ca="1">'01_INPUTS'!B9*N465-K465</f>
        <v>#NAME?</v>
      </c>
      <c r="Q465" s="1" t="e">
        <f t="shared" ca="1" si="47"/>
        <v>#NAME?</v>
      </c>
      <c r="R465" s="28">
        <v>0.83237828663550317</v>
      </c>
      <c r="S465" s="28">
        <v>0.3368316984269768</v>
      </c>
      <c r="T465" s="28">
        <v>7.6357785379514098E-2</v>
      </c>
      <c r="U465" s="28">
        <v>9.2716365121304989E-2</v>
      </c>
      <c r="V465" s="28">
        <v>0.69531554565764964</v>
      </c>
      <c r="W465" s="28">
        <v>2.0841385703533888E-2</v>
      </c>
      <c r="X465" s="28">
        <v>1.1934153037145734E-2</v>
      </c>
    </row>
    <row r="466" spans="1:24" ht="13.9">
      <c r="A466" s="1">
        <v>465</v>
      </c>
      <c r="B466" s="23" t="e">
        <f ca="1">_xludf.BETA.INV(R466,'04_PSA_INPUTS'!H5,'04_PSA_INPUTS'!I5)</f>
        <v>#NAME?</v>
      </c>
      <c r="C466" s="23" t="e">
        <f ca="1">_xludf.BETA.INV(S466,'04_PSA_INPUTS'!H6,'04_PSA_INPUTS'!I6)</f>
        <v>#NAME?</v>
      </c>
      <c r="D466" s="27" t="e">
        <f ca="1">_xludf.GAMMA.INV(T466,'04_PSA_INPUTS'!H7,'04_PSA_INPUTS'!I7)</f>
        <v>#NAME?</v>
      </c>
      <c r="E466" s="27" t="e">
        <f ca="1">_xludf.GAMMA.INV(U466,'04_PSA_INPUTS'!H8,'04_PSA_INPUTS'!I8)</f>
        <v>#NAME?</v>
      </c>
      <c r="F466" s="27" t="e">
        <f ca="1">_xludf.GAMMA.INV(V466,'04_PSA_INPUTS'!H9,'04_PSA_INPUTS'!I9)</f>
        <v>#NAME?</v>
      </c>
      <c r="G466" s="23" t="e">
        <f ca="1">_xludf.BETA.INV(W466,'04_PSA_INPUTS'!H10,'04_PSA_INPUTS'!I10)</f>
        <v>#NAME?</v>
      </c>
      <c r="H466" s="23" t="e">
        <f ca="1">_xludf.BETA.INV(X466,'04_PSA_INPUTS'!H11,'04_PSA_INPUTS'!I11)</f>
        <v>#NAME?</v>
      </c>
      <c r="I466" s="27" t="e">
        <f ca="1">D466+B466*F466+'01_INPUTS'!B20</f>
        <v>#NAME?</v>
      </c>
      <c r="J466" s="27" t="e">
        <f ca="1">E466+C466*F466+'01_INPUTS'!B21</f>
        <v>#NAME?</v>
      </c>
      <c r="K466" s="27" t="e">
        <f t="shared" ca="1" si="42"/>
        <v>#NAME?</v>
      </c>
      <c r="L466" s="23" t="e">
        <f t="shared" ca="1" si="43"/>
        <v>#NAME?</v>
      </c>
      <c r="M466" s="23" t="e">
        <f t="shared" ca="1" si="44"/>
        <v>#NAME?</v>
      </c>
      <c r="N466" s="23" t="e">
        <f t="shared" ca="1" si="45"/>
        <v>#NAME?</v>
      </c>
      <c r="O466" s="27" t="e">
        <f t="shared" ca="1" si="46"/>
        <v>#NAME?</v>
      </c>
      <c r="P466" s="27" t="e">
        <f ca="1">'01_INPUTS'!B9*N466-K466</f>
        <v>#NAME?</v>
      </c>
      <c r="Q466" s="1" t="e">
        <f t="shared" ca="1" si="47"/>
        <v>#NAME?</v>
      </c>
      <c r="R466" s="28">
        <v>0.39575840765610337</v>
      </c>
      <c r="S466" s="28">
        <v>0.92100365366786718</v>
      </c>
      <c r="T466" s="28">
        <v>6.2378566944971681E-2</v>
      </c>
      <c r="U466" s="28">
        <v>0.38308676169253886</v>
      </c>
      <c r="V466" s="28">
        <v>0.30987322237342596</v>
      </c>
      <c r="W466" s="28">
        <v>0.26009316253475845</v>
      </c>
      <c r="X466" s="28">
        <v>0.83847220265306532</v>
      </c>
    </row>
    <row r="467" spans="1:24" ht="13.9">
      <c r="A467" s="1">
        <v>466</v>
      </c>
      <c r="B467" s="23" t="e">
        <f ca="1">_xludf.BETA.INV(R467,'04_PSA_INPUTS'!H5,'04_PSA_INPUTS'!I5)</f>
        <v>#NAME?</v>
      </c>
      <c r="C467" s="23" t="e">
        <f ca="1">_xludf.BETA.INV(S467,'04_PSA_INPUTS'!H6,'04_PSA_INPUTS'!I6)</f>
        <v>#NAME?</v>
      </c>
      <c r="D467" s="27" t="e">
        <f ca="1">_xludf.GAMMA.INV(T467,'04_PSA_INPUTS'!H7,'04_PSA_INPUTS'!I7)</f>
        <v>#NAME?</v>
      </c>
      <c r="E467" s="27" t="e">
        <f ca="1">_xludf.GAMMA.INV(U467,'04_PSA_INPUTS'!H8,'04_PSA_INPUTS'!I8)</f>
        <v>#NAME?</v>
      </c>
      <c r="F467" s="27" t="e">
        <f ca="1">_xludf.GAMMA.INV(V467,'04_PSA_INPUTS'!H9,'04_PSA_INPUTS'!I9)</f>
        <v>#NAME?</v>
      </c>
      <c r="G467" s="23" t="e">
        <f ca="1">_xludf.BETA.INV(W467,'04_PSA_INPUTS'!H10,'04_PSA_INPUTS'!I10)</f>
        <v>#NAME?</v>
      </c>
      <c r="H467" s="23" t="e">
        <f ca="1">_xludf.BETA.INV(X467,'04_PSA_INPUTS'!H11,'04_PSA_INPUTS'!I11)</f>
        <v>#NAME?</v>
      </c>
      <c r="I467" s="27" t="e">
        <f ca="1">D467+B467*F467+'01_INPUTS'!B20</f>
        <v>#NAME?</v>
      </c>
      <c r="J467" s="27" t="e">
        <f ca="1">E467+C467*F467+'01_INPUTS'!B21</f>
        <v>#NAME?</v>
      </c>
      <c r="K467" s="27" t="e">
        <f t="shared" ca="1" si="42"/>
        <v>#NAME?</v>
      </c>
      <c r="L467" s="23" t="e">
        <f t="shared" ca="1" si="43"/>
        <v>#NAME?</v>
      </c>
      <c r="M467" s="23" t="e">
        <f t="shared" ca="1" si="44"/>
        <v>#NAME?</v>
      </c>
      <c r="N467" s="23" t="e">
        <f t="shared" ca="1" si="45"/>
        <v>#NAME?</v>
      </c>
      <c r="O467" s="27" t="e">
        <f t="shared" ca="1" si="46"/>
        <v>#NAME?</v>
      </c>
      <c r="P467" s="27" t="e">
        <f ca="1">'01_INPUTS'!B9*N467-K467</f>
        <v>#NAME?</v>
      </c>
      <c r="Q467" s="1" t="e">
        <f t="shared" ca="1" si="47"/>
        <v>#NAME?</v>
      </c>
      <c r="R467" s="28">
        <v>0.74294561566784978</v>
      </c>
      <c r="S467" s="28">
        <v>0.5804861702490598</v>
      </c>
      <c r="T467" s="28">
        <v>0.67571789608336985</v>
      </c>
      <c r="U467" s="28">
        <v>0.21598623343743384</v>
      </c>
      <c r="V467" s="28">
        <v>0.34819022146984935</v>
      </c>
      <c r="W467" s="28">
        <v>0.79652123642154038</v>
      </c>
      <c r="X467" s="28">
        <v>0.1888700753916055</v>
      </c>
    </row>
    <row r="468" spans="1:24" ht="13.9">
      <c r="A468" s="1">
        <v>467</v>
      </c>
      <c r="B468" s="23" t="e">
        <f ca="1">_xludf.BETA.INV(R468,'04_PSA_INPUTS'!H5,'04_PSA_INPUTS'!I5)</f>
        <v>#NAME?</v>
      </c>
      <c r="C468" s="23" t="e">
        <f ca="1">_xludf.BETA.INV(S468,'04_PSA_INPUTS'!H6,'04_PSA_INPUTS'!I6)</f>
        <v>#NAME?</v>
      </c>
      <c r="D468" s="27" t="e">
        <f ca="1">_xludf.GAMMA.INV(T468,'04_PSA_INPUTS'!H7,'04_PSA_INPUTS'!I7)</f>
        <v>#NAME?</v>
      </c>
      <c r="E468" s="27" t="e">
        <f ca="1">_xludf.GAMMA.INV(U468,'04_PSA_INPUTS'!H8,'04_PSA_INPUTS'!I8)</f>
        <v>#NAME?</v>
      </c>
      <c r="F468" s="27" t="e">
        <f ca="1">_xludf.GAMMA.INV(V468,'04_PSA_INPUTS'!H9,'04_PSA_INPUTS'!I9)</f>
        <v>#NAME?</v>
      </c>
      <c r="G468" s="23" t="e">
        <f ca="1">_xludf.BETA.INV(W468,'04_PSA_INPUTS'!H10,'04_PSA_INPUTS'!I10)</f>
        <v>#NAME?</v>
      </c>
      <c r="H468" s="23" t="e">
        <f ca="1">_xludf.BETA.INV(X468,'04_PSA_INPUTS'!H11,'04_PSA_INPUTS'!I11)</f>
        <v>#NAME?</v>
      </c>
      <c r="I468" s="27" t="e">
        <f ca="1">D468+B468*F468+'01_INPUTS'!B20</f>
        <v>#NAME?</v>
      </c>
      <c r="J468" s="27" t="e">
        <f ca="1">E468+C468*F468+'01_INPUTS'!B21</f>
        <v>#NAME?</v>
      </c>
      <c r="K468" s="27" t="e">
        <f t="shared" ca="1" si="42"/>
        <v>#NAME?</v>
      </c>
      <c r="L468" s="23" t="e">
        <f t="shared" ca="1" si="43"/>
        <v>#NAME?</v>
      </c>
      <c r="M468" s="23" t="e">
        <f t="shared" ca="1" si="44"/>
        <v>#NAME?</v>
      </c>
      <c r="N468" s="23" t="e">
        <f t="shared" ca="1" si="45"/>
        <v>#NAME?</v>
      </c>
      <c r="O468" s="27" t="e">
        <f t="shared" ca="1" si="46"/>
        <v>#NAME?</v>
      </c>
      <c r="P468" s="27" t="e">
        <f ca="1">'01_INPUTS'!B9*N468-K468</f>
        <v>#NAME?</v>
      </c>
      <c r="Q468" s="1" t="e">
        <f t="shared" ca="1" si="47"/>
        <v>#NAME?</v>
      </c>
      <c r="R468" s="28">
        <v>0.19850159715861082</v>
      </c>
      <c r="S468" s="28">
        <v>0.40932717220857739</v>
      </c>
      <c r="T468" s="28">
        <v>0.99352563987486064</v>
      </c>
      <c r="U468" s="28">
        <v>0.78582196775823832</v>
      </c>
      <c r="V468" s="28">
        <v>0.23311979160644114</v>
      </c>
      <c r="W468" s="28">
        <v>0.28974882559850812</v>
      </c>
      <c r="X468" s="28">
        <v>0.71457443037070334</v>
      </c>
    </row>
    <row r="469" spans="1:24" ht="13.9">
      <c r="A469" s="1">
        <v>468</v>
      </c>
      <c r="B469" s="23" t="e">
        <f ca="1">_xludf.BETA.INV(R469,'04_PSA_INPUTS'!H5,'04_PSA_INPUTS'!I5)</f>
        <v>#NAME?</v>
      </c>
      <c r="C469" s="23" t="e">
        <f ca="1">_xludf.BETA.INV(S469,'04_PSA_INPUTS'!H6,'04_PSA_INPUTS'!I6)</f>
        <v>#NAME?</v>
      </c>
      <c r="D469" s="27" t="e">
        <f ca="1">_xludf.GAMMA.INV(T469,'04_PSA_INPUTS'!H7,'04_PSA_INPUTS'!I7)</f>
        <v>#NAME?</v>
      </c>
      <c r="E469" s="27" t="e">
        <f ca="1">_xludf.GAMMA.INV(U469,'04_PSA_INPUTS'!H8,'04_PSA_INPUTS'!I8)</f>
        <v>#NAME?</v>
      </c>
      <c r="F469" s="27" t="e">
        <f ca="1">_xludf.GAMMA.INV(V469,'04_PSA_INPUTS'!H9,'04_PSA_INPUTS'!I9)</f>
        <v>#NAME?</v>
      </c>
      <c r="G469" s="23" t="e">
        <f ca="1">_xludf.BETA.INV(W469,'04_PSA_INPUTS'!H10,'04_PSA_INPUTS'!I10)</f>
        <v>#NAME?</v>
      </c>
      <c r="H469" s="23" t="e">
        <f ca="1">_xludf.BETA.INV(X469,'04_PSA_INPUTS'!H11,'04_PSA_INPUTS'!I11)</f>
        <v>#NAME?</v>
      </c>
      <c r="I469" s="27" t="e">
        <f ca="1">D469+B469*F469+'01_INPUTS'!B20</f>
        <v>#NAME?</v>
      </c>
      <c r="J469" s="27" t="e">
        <f ca="1">E469+C469*F469+'01_INPUTS'!B21</f>
        <v>#NAME?</v>
      </c>
      <c r="K469" s="27" t="e">
        <f t="shared" ca="1" si="42"/>
        <v>#NAME?</v>
      </c>
      <c r="L469" s="23" t="e">
        <f t="shared" ca="1" si="43"/>
        <v>#NAME?</v>
      </c>
      <c r="M469" s="23" t="e">
        <f t="shared" ca="1" si="44"/>
        <v>#NAME?</v>
      </c>
      <c r="N469" s="23" t="e">
        <f t="shared" ca="1" si="45"/>
        <v>#NAME?</v>
      </c>
      <c r="O469" s="27" t="e">
        <f t="shared" ca="1" si="46"/>
        <v>#NAME?</v>
      </c>
      <c r="P469" s="27" t="e">
        <f ca="1">'01_INPUTS'!B9*N469-K469</f>
        <v>#NAME?</v>
      </c>
      <c r="Q469" s="1" t="e">
        <f t="shared" ca="1" si="47"/>
        <v>#NAME?</v>
      </c>
      <c r="R469" s="28">
        <v>0.12483284017071128</v>
      </c>
      <c r="S469" s="28">
        <v>0.4722818739246577</v>
      </c>
      <c r="T469" s="28">
        <v>0.80482162348926067</v>
      </c>
      <c r="U469" s="28">
        <v>0.44787256000563502</v>
      </c>
      <c r="V469" s="28">
        <v>0.39272355218417943</v>
      </c>
      <c r="W469" s="28">
        <v>0.68362933839671314</v>
      </c>
      <c r="X469" s="28">
        <v>0.43247496103867888</v>
      </c>
    </row>
    <row r="470" spans="1:24" ht="13.9">
      <c r="A470" s="1">
        <v>469</v>
      </c>
      <c r="B470" s="23" t="e">
        <f ca="1">_xludf.BETA.INV(R470,'04_PSA_INPUTS'!H5,'04_PSA_INPUTS'!I5)</f>
        <v>#NAME?</v>
      </c>
      <c r="C470" s="23" t="e">
        <f ca="1">_xludf.BETA.INV(S470,'04_PSA_INPUTS'!H6,'04_PSA_INPUTS'!I6)</f>
        <v>#NAME?</v>
      </c>
      <c r="D470" s="27" t="e">
        <f ca="1">_xludf.GAMMA.INV(T470,'04_PSA_INPUTS'!H7,'04_PSA_INPUTS'!I7)</f>
        <v>#NAME?</v>
      </c>
      <c r="E470" s="27" t="e">
        <f ca="1">_xludf.GAMMA.INV(U470,'04_PSA_INPUTS'!H8,'04_PSA_INPUTS'!I8)</f>
        <v>#NAME?</v>
      </c>
      <c r="F470" s="27" t="e">
        <f ca="1">_xludf.GAMMA.INV(V470,'04_PSA_INPUTS'!H9,'04_PSA_INPUTS'!I9)</f>
        <v>#NAME?</v>
      </c>
      <c r="G470" s="23" t="e">
        <f ca="1">_xludf.BETA.INV(W470,'04_PSA_INPUTS'!H10,'04_PSA_INPUTS'!I10)</f>
        <v>#NAME?</v>
      </c>
      <c r="H470" s="23" t="e">
        <f ca="1">_xludf.BETA.INV(X470,'04_PSA_INPUTS'!H11,'04_PSA_INPUTS'!I11)</f>
        <v>#NAME?</v>
      </c>
      <c r="I470" s="27" t="e">
        <f ca="1">D470+B470*F470+'01_INPUTS'!B20</f>
        <v>#NAME?</v>
      </c>
      <c r="J470" s="27" t="e">
        <f ca="1">E470+C470*F470+'01_INPUTS'!B21</f>
        <v>#NAME?</v>
      </c>
      <c r="K470" s="27" t="e">
        <f t="shared" ca="1" si="42"/>
        <v>#NAME?</v>
      </c>
      <c r="L470" s="23" t="e">
        <f t="shared" ca="1" si="43"/>
        <v>#NAME?</v>
      </c>
      <c r="M470" s="23" t="e">
        <f t="shared" ca="1" si="44"/>
        <v>#NAME?</v>
      </c>
      <c r="N470" s="23" t="e">
        <f t="shared" ca="1" si="45"/>
        <v>#NAME?</v>
      </c>
      <c r="O470" s="27" t="e">
        <f t="shared" ca="1" si="46"/>
        <v>#NAME?</v>
      </c>
      <c r="P470" s="27" t="e">
        <f ca="1">'01_INPUTS'!B9*N470-K470</f>
        <v>#NAME?</v>
      </c>
      <c r="Q470" s="1" t="e">
        <f t="shared" ca="1" si="47"/>
        <v>#NAME?</v>
      </c>
      <c r="R470" s="28">
        <v>0.44792130729183555</v>
      </c>
      <c r="S470" s="28">
        <v>0.89690476539544761</v>
      </c>
      <c r="T470" s="28">
        <v>0.11386132892221212</v>
      </c>
      <c r="U470" s="28">
        <v>0.13502186024561524</v>
      </c>
      <c r="V470" s="28">
        <v>0.29087859718129039</v>
      </c>
      <c r="W470" s="28">
        <v>0.91825663251802325</v>
      </c>
      <c r="X470" s="28">
        <v>0.99764205445535481</v>
      </c>
    </row>
    <row r="471" spans="1:24" ht="13.9">
      <c r="A471" s="1">
        <v>470</v>
      </c>
      <c r="B471" s="23" t="e">
        <f ca="1">_xludf.BETA.INV(R471,'04_PSA_INPUTS'!H5,'04_PSA_INPUTS'!I5)</f>
        <v>#NAME?</v>
      </c>
      <c r="C471" s="23" t="e">
        <f ca="1">_xludf.BETA.INV(S471,'04_PSA_INPUTS'!H6,'04_PSA_INPUTS'!I6)</f>
        <v>#NAME?</v>
      </c>
      <c r="D471" s="27" t="e">
        <f ca="1">_xludf.GAMMA.INV(T471,'04_PSA_INPUTS'!H7,'04_PSA_INPUTS'!I7)</f>
        <v>#NAME?</v>
      </c>
      <c r="E471" s="27" t="e">
        <f ca="1">_xludf.GAMMA.INV(U471,'04_PSA_INPUTS'!H8,'04_PSA_INPUTS'!I8)</f>
        <v>#NAME?</v>
      </c>
      <c r="F471" s="27" t="e">
        <f ca="1">_xludf.GAMMA.INV(V471,'04_PSA_INPUTS'!H9,'04_PSA_INPUTS'!I9)</f>
        <v>#NAME?</v>
      </c>
      <c r="G471" s="23" t="e">
        <f ca="1">_xludf.BETA.INV(W471,'04_PSA_INPUTS'!H10,'04_PSA_INPUTS'!I10)</f>
        <v>#NAME?</v>
      </c>
      <c r="H471" s="23" t="e">
        <f ca="1">_xludf.BETA.INV(X471,'04_PSA_INPUTS'!H11,'04_PSA_INPUTS'!I11)</f>
        <v>#NAME?</v>
      </c>
      <c r="I471" s="27" t="e">
        <f ca="1">D471+B471*F471+'01_INPUTS'!B20</f>
        <v>#NAME?</v>
      </c>
      <c r="J471" s="27" t="e">
        <f ca="1">E471+C471*F471+'01_INPUTS'!B21</f>
        <v>#NAME?</v>
      </c>
      <c r="K471" s="27" t="e">
        <f t="shared" ca="1" si="42"/>
        <v>#NAME?</v>
      </c>
      <c r="L471" s="23" t="e">
        <f t="shared" ca="1" si="43"/>
        <v>#NAME?</v>
      </c>
      <c r="M471" s="23" t="e">
        <f t="shared" ca="1" si="44"/>
        <v>#NAME?</v>
      </c>
      <c r="N471" s="23" t="e">
        <f t="shared" ca="1" si="45"/>
        <v>#NAME?</v>
      </c>
      <c r="O471" s="27" t="e">
        <f t="shared" ca="1" si="46"/>
        <v>#NAME?</v>
      </c>
      <c r="P471" s="27" t="e">
        <f ca="1">'01_INPUTS'!B9*N471-K471</f>
        <v>#NAME?</v>
      </c>
      <c r="Q471" s="1" t="e">
        <f t="shared" ca="1" si="47"/>
        <v>#NAME?</v>
      </c>
      <c r="R471" s="28">
        <v>0.78008292336016893</v>
      </c>
      <c r="S471" s="28">
        <v>6.3888120697811246E-2</v>
      </c>
      <c r="T471" s="28">
        <v>7.4952206574380398E-2</v>
      </c>
      <c r="U471" s="28">
        <v>0.41885982360690832</v>
      </c>
      <c r="V471" s="28">
        <v>0.74601934826932847</v>
      </c>
      <c r="W471" s="28">
        <v>0.54760395898483694</v>
      </c>
      <c r="X471" s="28">
        <v>0.92177526699379086</v>
      </c>
    </row>
    <row r="472" spans="1:24" ht="13.9">
      <c r="A472" s="1">
        <v>471</v>
      </c>
      <c r="B472" s="23" t="e">
        <f ca="1">_xludf.BETA.INV(R472,'04_PSA_INPUTS'!H5,'04_PSA_INPUTS'!I5)</f>
        <v>#NAME?</v>
      </c>
      <c r="C472" s="23" t="e">
        <f ca="1">_xludf.BETA.INV(S472,'04_PSA_INPUTS'!H6,'04_PSA_INPUTS'!I6)</f>
        <v>#NAME?</v>
      </c>
      <c r="D472" s="27" t="e">
        <f ca="1">_xludf.GAMMA.INV(T472,'04_PSA_INPUTS'!H7,'04_PSA_INPUTS'!I7)</f>
        <v>#NAME?</v>
      </c>
      <c r="E472" s="27" t="e">
        <f ca="1">_xludf.GAMMA.INV(U472,'04_PSA_INPUTS'!H8,'04_PSA_INPUTS'!I8)</f>
        <v>#NAME?</v>
      </c>
      <c r="F472" s="27" t="e">
        <f ca="1">_xludf.GAMMA.INV(V472,'04_PSA_INPUTS'!H9,'04_PSA_INPUTS'!I9)</f>
        <v>#NAME?</v>
      </c>
      <c r="G472" s="23" t="e">
        <f ca="1">_xludf.BETA.INV(W472,'04_PSA_INPUTS'!H10,'04_PSA_INPUTS'!I10)</f>
        <v>#NAME?</v>
      </c>
      <c r="H472" s="23" t="e">
        <f ca="1">_xludf.BETA.INV(X472,'04_PSA_INPUTS'!H11,'04_PSA_INPUTS'!I11)</f>
        <v>#NAME?</v>
      </c>
      <c r="I472" s="27" t="e">
        <f ca="1">D472+B472*F472+'01_INPUTS'!B20</f>
        <v>#NAME?</v>
      </c>
      <c r="J472" s="27" t="e">
        <f ca="1">E472+C472*F472+'01_INPUTS'!B21</f>
        <v>#NAME?</v>
      </c>
      <c r="K472" s="27" t="e">
        <f t="shared" ca="1" si="42"/>
        <v>#NAME?</v>
      </c>
      <c r="L472" s="23" t="e">
        <f t="shared" ca="1" si="43"/>
        <v>#NAME?</v>
      </c>
      <c r="M472" s="23" t="e">
        <f t="shared" ca="1" si="44"/>
        <v>#NAME?</v>
      </c>
      <c r="N472" s="23" t="e">
        <f t="shared" ca="1" si="45"/>
        <v>#NAME?</v>
      </c>
      <c r="O472" s="27" t="e">
        <f t="shared" ca="1" si="46"/>
        <v>#NAME?</v>
      </c>
      <c r="P472" s="27" t="e">
        <f ca="1">'01_INPUTS'!B9*N472-K472</f>
        <v>#NAME?</v>
      </c>
      <c r="Q472" s="1" t="e">
        <f t="shared" ca="1" si="47"/>
        <v>#NAME?</v>
      </c>
      <c r="R472" s="28">
        <v>0.81516728876158595</v>
      </c>
      <c r="S472" s="28">
        <v>0.11273235827684402</v>
      </c>
      <c r="T472" s="28">
        <v>0.78166660433635116</v>
      </c>
      <c r="U472" s="28">
        <v>0.81251326482743025</v>
      </c>
      <c r="V472" s="28">
        <v>0.79544248175807297</v>
      </c>
      <c r="W472" s="28">
        <v>0.19903460564091802</v>
      </c>
      <c r="X472" s="28">
        <v>0.94858566951006651</v>
      </c>
    </row>
    <row r="473" spans="1:24" ht="13.9">
      <c r="A473" s="1">
        <v>472</v>
      </c>
      <c r="B473" s="23" t="e">
        <f ca="1">_xludf.BETA.INV(R473,'04_PSA_INPUTS'!H5,'04_PSA_INPUTS'!I5)</f>
        <v>#NAME?</v>
      </c>
      <c r="C473" s="23" t="e">
        <f ca="1">_xludf.BETA.INV(S473,'04_PSA_INPUTS'!H6,'04_PSA_INPUTS'!I6)</f>
        <v>#NAME?</v>
      </c>
      <c r="D473" s="27" t="e">
        <f ca="1">_xludf.GAMMA.INV(T473,'04_PSA_INPUTS'!H7,'04_PSA_INPUTS'!I7)</f>
        <v>#NAME?</v>
      </c>
      <c r="E473" s="27" t="e">
        <f ca="1">_xludf.GAMMA.INV(U473,'04_PSA_INPUTS'!H8,'04_PSA_INPUTS'!I8)</f>
        <v>#NAME?</v>
      </c>
      <c r="F473" s="27" t="e">
        <f ca="1">_xludf.GAMMA.INV(V473,'04_PSA_INPUTS'!H9,'04_PSA_INPUTS'!I9)</f>
        <v>#NAME?</v>
      </c>
      <c r="G473" s="23" t="e">
        <f ca="1">_xludf.BETA.INV(W473,'04_PSA_INPUTS'!H10,'04_PSA_INPUTS'!I10)</f>
        <v>#NAME?</v>
      </c>
      <c r="H473" s="23" t="e">
        <f ca="1">_xludf.BETA.INV(X473,'04_PSA_INPUTS'!H11,'04_PSA_INPUTS'!I11)</f>
        <v>#NAME?</v>
      </c>
      <c r="I473" s="27" t="e">
        <f ca="1">D473+B473*F473+'01_INPUTS'!B20</f>
        <v>#NAME?</v>
      </c>
      <c r="J473" s="27" t="e">
        <f ca="1">E473+C473*F473+'01_INPUTS'!B21</f>
        <v>#NAME?</v>
      </c>
      <c r="K473" s="27" t="e">
        <f t="shared" ca="1" si="42"/>
        <v>#NAME?</v>
      </c>
      <c r="L473" s="23" t="e">
        <f t="shared" ca="1" si="43"/>
        <v>#NAME?</v>
      </c>
      <c r="M473" s="23" t="e">
        <f t="shared" ca="1" si="44"/>
        <v>#NAME?</v>
      </c>
      <c r="N473" s="23" t="e">
        <f t="shared" ca="1" si="45"/>
        <v>#NAME?</v>
      </c>
      <c r="O473" s="27" t="e">
        <f t="shared" ca="1" si="46"/>
        <v>#NAME?</v>
      </c>
      <c r="P473" s="27" t="e">
        <f ca="1">'01_INPUTS'!B9*N473-K473</f>
        <v>#NAME?</v>
      </c>
      <c r="Q473" s="1" t="e">
        <f t="shared" ca="1" si="47"/>
        <v>#NAME?</v>
      </c>
      <c r="R473" s="28">
        <v>0.17182768112979829</v>
      </c>
      <c r="S473" s="28">
        <v>1.9863245543092489E-3</v>
      </c>
      <c r="T473" s="28">
        <v>0.47246559546329081</v>
      </c>
      <c r="U473" s="28">
        <v>0.11451491503976285</v>
      </c>
      <c r="V473" s="28">
        <v>0.51463574101217091</v>
      </c>
      <c r="W473" s="28">
        <v>0.47875409037806094</v>
      </c>
      <c r="X473" s="28">
        <v>0.80244902544654906</v>
      </c>
    </row>
    <row r="474" spans="1:24" ht="13.9">
      <c r="A474" s="1">
        <v>473</v>
      </c>
      <c r="B474" s="23" t="e">
        <f ca="1">_xludf.BETA.INV(R474,'04_PSA_INPUTS'!H5,'04_PSA_INPUTS'!I5)</f>
        <v>#NAME?</v>
      </c>
      <c r="C474" s="23" t="e">
        <f ca="1">_xludf.BETA.INV(S474,'04_PSA_INPUTS'!H6,'04_PSA_INPUTS'!I6)</f>
        <v>#NAME?</v>
      </c>
      <c r="D474" s="27" t="e">
        <f ca="1">_xludf.GAMMA.INV(T474,'04_PSA_INPUTS'!H7,'04_PSA_INPUTS'!I7)</f>
        <v>#NAME?</v>
      </c>
      <c r="E474" s="27" t="e">
        <f ca="1">_xludf.GAMMA.INV(U474,'04_PSA_INPUTS'!H8,'04_PSA_INPUTS'!I8)</f>
        <v>#NAME?</v>
      </c>
      <c r="F474" s="27" t="e">
        <f ca="1">_xludf.GAMMA.INV(V474,'04_PSA_INPUTS'!H9,'04_PSA_INPUTS'!I9)</f>
        <v>#NAME?</v>
      </c>
      <c r="G474" s="23" t="e">
        <f ca="1">_xludf.BETA.INV(W474,'04_PSA_INPUTS'!H10,'04_PSA_INPUTS'!I10)</f>
        <v>#NAME?</v>
      </c>
      <c r="H474" s="23" t="e">
        <f ca="1">_xludf.BETA.INV(X474,'04_PSA_INPUTS'!H11,'04_PSA_INPUTS'!I11)</f>
        <v>#NAME?</v>
      </c>
      <c r="I474" s="27" t="e">
        <f ca="1">D474+B474*F474+'01_INPUTS'!B20</f>
        <v>#NAME?</v>
      </c>
      <c r="J474" s="27" t="e">
        <f ca="1">E474+C474*F474+'01_INPUTS'!B21</f>
        <v>#NAME?</v>
      </c>
      <c r="K474" s="27" t="e">
        <f t="shared" ca="1" si="42"/>
        <v>#NAME?</v>
      </c>
      <c r="L474" s="23" t="e">
        <f t="shared" ca="1" si="43"/>
        <v>#NAME?</v>
      </c>
      <c r="M474" s="23" t="e">
        <f t="shared" ca="1" si="44"/>
        <v>#NAME?</v>
      </c>
      <c r="N474" s="23" t="e">
        <f t="shared" ca="1" si="45"/>
        <v>#NAME?</v>
      </c>
      <c r="O474" s="27" t="e">
        <f t="shared" ca="1" si="46"/>
        <v>#NAME?</v>
      </c>
      <c r="P474" s="27" t="e">
        <f ca="1">'01_INPUTS'!B9*N474-K474</f>
        <v>#NAME?</v>
      </c>
      <c r="Q474" s="1" t="e">
        <f t="shared" ca="1" si="47"/>
        <v>#NAME?</v>
      </c>
      <c r="R474" s="28">
        <v>0.42960918508470058</v>
      </c>
      <c r="S474" s="28">
        <v>0.85059125861153007</v>
      </c>
      <c r="T474" s="28">
        <v>0.90778974234126508</v>
      </c>
      <c r="U474" s="28">
        <v>0.46970033808611333</v>
      </c>
      <c r="V474" s="28">
        <v>0.34756746888160706</v>
      </c>
      <c r="W474" s="28">
        <v>0.67914399085566401</v>
      </c>
      <c r="X474" s="28">
        <v>0.81264248630031943</v>
      </c>
    </row>
    <row r="475" spans="1:24" ht="13.9">
      <c r="A475" s="1">
        <v>474</v>
      </c>
      <c r="B475" s="23" t="e">
        <f ca="1">_xludf.BETA.INV(R475,'04_PSA_INPUTS'!H5,'04_PSA_INPUTS'!I5)</f>
        <v>#NAME?</v>
      </c>
      <c r="C475" s="23" t="e">
        <f ca="1">_xludf.BETA.INV(S475,'04_PSA_INPUTS'!H6,'04_PSA_INPUTS'!I6)</f>
        <v>#NAME?</v>
      </c>
      <c r="D475" s="27" t="e">
        <f ca="1">_xludf.GAMMA.INV(T475,'04_PSA_INPUTS'!H7,'04_PSA_INPUTS'!I7)</f>
        <v>#NAME?</v>
      </c>
      <c r="E475" s="27" t="e">
        <f ca="1">_xludf.GAMMA.INV(U475,'04_PSA_INPUTS'!H8,'04_PSA_INPUTS'!I8)</f>
        <v>#NAME?</v>
      </c>
      <c r="F475" s="27" t="e">
        <f ca="1">_xludf.GAMMA.INV(V475,'04_PSA_INPUTS'!H9,'04_PSA_INPUTS'!I9)</f>
        <v>#NAME?</v>
      </c>
      <c r="G475" s="23" t="e">
        <f ca="1">_xludf.BETA.INV(W475,'04_PSA_INPUTS'!H10,'04_PSA_INPUTS'!I10)</f>
        <v>#NAME?</v>
      </c>
      <c r="H475" s="23" t="e">
        <f ca="1">_xludf.BETA.INV(X475,'04_PSA_INPUTS'!H11,'04_PSA_INPUTS'!I11)</f>
        <v>#NAME?</v>
      </c>
      <c r="I475" s="27" t="e">
        <f ca="1">D475+B475*F475+'01_INPUTS'!B20</f>
        <v>#NAME?</v>
      </c>
      <c r="J475" s="27" t="e">
        <f ca="1">E475+C475*F475+'01_INPUTS'!B21</f>
        <v>#NAME?</v>
      </c>
      <c r="K475" s="27" t="e">
        <f t="shared" ca="1" si="42"/>
        <v>#NAME?</v>
      </c>
      <c r="L475" s="23" t="e">
        <f t="shared" ca="1" si="43"/>
        <v>#NAME?</v>
      </c>
      <c r="M475" s="23" t="e">
        <f t="shared" ca="1" si="44"/>
        <v>#NAME?</v>
      </c>
      <c r="N475" s="23" t="e">
        <f t="shared" ca="1" si="45"/>
        <v>#NAME?</v>
      </c>
      <c r="O475" s="27" t="e">
        <f t="shared" ca="1" si="46"/>
        <v>#NAME?</v>
      </c>
      <c r="P475" s="27" t="e">
        <f ca="1">'01_INPUTS'!B9*N475-K475</f>
        <v>#NAME?</v>
      </c>
      <c r="Q475" s="1" t="e">
        <f t="shared" ca="1" si="47"/>
        <v>#NAME?</v>
      </c>
      <c r="R475" s="28">
        <v>0.44368684128858149</v>
      </c>
      <c r="S475" s="28">
        <v>0.16075557307340205</v>
      </c>
      <c r="T475" s="28">
        <v>4.2205971432849765E-2</v>
      </c>
      <c r="U475" s="28">
        <v>0.75047922786325216</v>
      </c>
      <c r="V475" s="28">
        <v>0.8206121469847858</v>
      </c>
      <c r="W475" s="28">
        <v>0.47589476173743606</v>
      </c>
      <c r="X475" s="28">
        <v>0.10627935896627605</v>
      </c>
    </row>
    <row r="476" spans="1:24" ht="13.9">
      <c r="A476" s="1">
        <v>475</v>
      </c>
      <c r="B476" s="23" t="e">
        <f ca="1">_xludf.BETA.INV(R476,'04_PSA_INPUTS'!H5,'04_PSA_INPUTS'!I5)</f>
        <v>#NAME?</v>
      </c>
      <c r="C476" s="23" t="e">
        <f ca="1">_xludf.BETA.INV(S476,'04_PSA_INPUTS'!H6,'04_PSA_INPUTS'!I6)</f>
        <v>#NAME?</v>
      </c>
      <c r="D476" s="27" t="e">
        <f ca="1">_xludf.GAMMA.INV(T476,'04_PSA_INPUTS'!H7,'04_PSA_INPUTS'!I7)</f>
        <v>#NAME?</v>
      </c>
      <c r="E476" s="27" t="e">
        <f ca="1">_xludf.GAMMA.INV(U476,'04_PSA_INPUTS'!H8,'04_PSA_INPUTS'!I8)</f>
        <v>#NAME?</v>
      </c>
      <c r="F476" s="27" t="e">
        <f ca="1">_xludf.GAMMA.INV(V476,'04_PSA_INPUTS'!H9,'04_PSA_INPUTS'!I9)</f>
        <v>#NAME?</v>
      </c>
      <c r="G476" s="23" t="e">
        <f ca="1">_xludf.BETA.INV(W476,'04_PSA_INPUTS'!H10,'04_PSA_INPUTS'!I10)</f>
        <v>#NAME?</v>
      </c>
      <c r="H476" s="23" t="e">
        <f ca="1">_xludf.BETA.INV(X476,'04_PSA_INPUTS'!H11,'04_PSA_INPUTS'!I11)</f>
        <v>#NAME?</v>
      </c>
      <c r="I476" s="27" t="e">
        <f ca="1">D476+B476*F476+'01_INPUTS'!B20</f>
        <v>#NAME?</v>
      </c>
      <c r="J476" s="27" t="e">
        <f ca="1">E476+C476*F476+'01_INPUTS'!B21</f>
        <v>#NAME?</v>
      </c>
      <c r="K476" s="27" t="e">
        <f t="shared" ca="1" si="42"/>
        <v>#NAME?</v>
      </c>
      <c r="L476" s="23" t="e">
        <f t="shared" ca="1" si="43"/>
        <v>#NAME?</v>
      </c>
      <c r="M476" s="23" t="e">
        <f t="shared" ca="1" si="44"/>
        <v>#NAME?</v>
      </c>
      <c r="N476" s="23" t="e">
        <f t="shared" ca="1" si="45"/>
        <v>#NAME?</v>
      </c>
      <c r="O476" s="27" t="e">
        <f t="shared" ca="1" si="46"/>
        <v>#NAME?</v>
      </c>
      <c r="P476" s="27" t="e">
        <f ca="1">'01_INPUTS'!B9*N476-K476</f>
        <v>#NAME?</v>
      </c>
      <c r="Q476" s="1" t="e">
        <f t="shared" ca="1" si="47"/>
        <v>#NAME?</v>
      </c>
      <c r="R476" s="28">
        <v>0.43229678994975984</v>
      </c>
      <c r="S476" s="28">
        <v>0.43371579307131469</v>
      </c>
      <c r="T476" s="28">
        <v>0.34448774042539299</v>
      </c>
      <c r="U476" s="28">
        <v>0.30417937552556396</v>
      </c>
      <c r="V476" s="28">
        <v>0.56646998971700668</v>
      </c>
      <c r="W476" s="28">
        <v>0.78520217793993652</v>
      </c>
      <c r="X476" s="28">
        <v>6.9223530124872923E-2</v>
      </c>
    </row>
    <row r="477" spans="1:24" ht="13.9">
      <c r="A477" s="1">
        <v>476</v>
      </c>
      <c r="B477" s="23" t="e">
        <f ca="1">_xludf.BETA.INV(R477,'04_PSA_INPUTS'!H5,'04_PSA_INPUTS'!I5)</f>
        <v>#NAME?</v>
      </c>
      <c r="C477" s="23" t="e">
        <f ca="1">_xludf.BETA.INV(S477,'04_PSA_INPUTS'!H6,'04_PSA_INPUTS'!I6)</f>
        <v>#NAME?</v>
      </c>
      <c r="D477" s="27" t="e">
        <f ca="1">_xludf.GAMMA.INV(T477,'04_PSA_INPUTS'!H7,'04_PSA_INPUTS'!I7)</f>
        <v>#NAME?</v>
      </c>
      <c r="E477" s="27" t="e">
        <f ca="1">_xludf.GAMMA.INV(U477,'04_PSA_INPUTS'!H8,'04_PSA_INPUTS'!I8)</f>
        <v>#NAME?</v>
      </c>
      <c r="F477" s="27" t="e">
        <f ca="1">_xludf.GAMMA.INV(V477,'04_PSA_INPUTS'!H9,'04_PSA_INPUTS'!I9)</f>
        <v>#NAME?</v>
      </c>
      <c r="G477" s="23" t="e">
        <f ca="1">_xludf.BETA.INV(W477,'04_PSA_INPUTS'!H10,'04_PSA_INPUTS'!I10)</f>
        <v>#NAME?</v>
      </c>
      <c r="H477" s="23" t="e">
        <f ca="1">_xludf.BETA.INV(X477,'04_PSA_INPUTS'!H11,'04_PSA_INPUTS'!I11)</f>
        <v>#NAME?</v>
      </c>
      <c r="I477" s="27" t="e">
        <f ca="1">D477+B477*F477+'01_INPUTS'!B20</f>
        <v>#NAME?</v>
      </c>
      <c r="J477" s="27" t="e">
        <f ca="1">E477+C477*F477+'01_INPUTS'!B21</f>
        <v>#NAME?</v>
      </c>
      <c r="K477" s="27" t="e">
        <f t="shared" ca="1" si="42"/>
        <v>#NAME?</v>
      </c>
      <c r="L477" s="23" t="e">
        <f t="shared" ca="1" si="43"/>
        <v>#NAME?</v>
      </c>
      <c r="M477" s="23" t="e">
        <f t="shared" ca="1" si="44"/>
        <v>#NAME?</v>
      </c>
      <c r="N477" s="23" t="e">
        <f t="shared" ca="1" si="45"/>
        <v>#NAME?</v>
      </c>
      <c r="O477" s="27" t="e">
        <f t="shared" ca="1" si="46"/>
        <v>#NAME?</v>
      </c>
      <c r="P477" s="27" t="e">
        <f ca="1">'01_INPUTS'!B9*N477-K477</f>
        <v>#NAME?</v>
      </c>
      <c r="Q477" s="1" t="e">
        <f t="shared" ca="1" si="47"/>
        <v>#NAME?</v>
      </c>
      <c r="R477" s="28">
        <v>0.57886421633884311</v>
      </c>
      <c r="S477" s="28">
        <v>0.11939813406206667</v>
      </c>
      <c r="T477" s="28">
        <v>0.44272328028455377</v>
      </c>
      <c r="U477" s="28">
        <v>0.25767891108989716</v>
      </c>
      <c r="V477" s="28">
        <v>0.98174095153808594</v>
      </c>
      <c r="W477" s="28">
        <v>0.26136096566915512</v>
      </c>
      <c r="X477" s="28">
        <v>0.93535453104414046</v>
      </c>
    </row>
    <row r="478" spans="1:24" ht="13.9">
      <c r="A478" s="1">
        <v>477</v>
      </c>
      <c r="B478" s="23" t="e">
        <f ca="1">_xludf.BETA.INV(R478,'04_PSA_INPUTS'!H5,'04_PSA_INPUTS'!I5)</f>
        <v>#NAME?</v>
      </c>
      <c r="C478" s="23" t="e">
        <f ca="1">_xludf.BETA.INV(S478,'04_PSA_INPUTS'!H6,'04_PSA_INPUTS'!I6)</f>
        <v>#NAME?</v>
      </c>
      <c r="D478" s="27" t="e">
        <f ca="1">_xludf.GAMMA.INV(T478,'04_PSA_INPUTS'!H7,'04_PSA_INPUTS'!I7)</f>
        <v>#NAME?</v>
      </c>
      <c r="E478" s="27" t="e">
        <f ca="1">_xludf.GAMMA.INV(U478,'04_PSA_INPUTS'!H8,'04_PSA_INPUTS'!I8)</f>
        <v>#NAME?</v>
      </c>
      <c r="F478" s="27" t="e">
        <f ca="1">_xludf.GAMMA.INV(V478,'04_PSA_INPUTS'!H9,'04_PSA_INPUTS'!I9)</f>
        <v>#NAME?</v>
      </c>
      <c r="G478" s="23" t="e">
        <f ca="1">_xludf.BETA.INV(W478,'04_PSA_INPUTS'!H10,'04_PSA_INPUTS'!I10)</f>
        <v>#NAME?</v>
      </c>
      <c r="H478" s="23" t="e">
        <f ca="1">_xludf.BETA.INV(X478,'04_PSA_INPUTS'!H11,'04_PSA_INPUTS'!I11)</f>
        <v>#NAME?</v>
      </c>
      <c r="I478" s="27" t="e">
        <f ca="1">D478+B478*F478+'01_INPUTS'!B20</f>
        <v>#NAME?</v>
      </c>
      <c r="J478" s="27" t="e">
        <f ca="1">E478+C478*F478+'01_INPUTS'!B21</f>
        <v>#NAME?</v>
      </c>
      <c r="K478" s="27" t="e">
        <f t="shared" ca="1" si="42"/>
        <v>#NAME?</v>
      </c>
      <c r="L478" s="23" t="e">
        <f t="shared" ca="1" si="43"/>
        <v>#NAME?</v>
      </c>
      <c r="M478" s="23" t="e">
        <f t="shared" ca="1" si="44"/>
        <v>#NAME?</v>
      </c>
      <c r="N478" s="23" t="e">
        <f t="shared" ca="1" si="45"/>
        <v>#NAME?</v>
      </c>
      <c r="O478" s="27" t="e">
        <f t="shared" ca="1" si="46"/>
        <v>#NAME?</v>
      </c>
      <c r="P478" s="27" t="e">
        <f ca="1">'01_INPUTS'!B9*N478-K478</f>
        <v>#NAME?</v>
      </c>
      <c r="Q478" s="1" t="e">
        <f t="shared" ca="1" si="47"/>
        <v>#NAME?</v>
      </c>
      <c r="R478" s="28">
        <v>0.38853144226595759</v>
      </c>
      <c r="S478" s="28">
        <v>0.44930671760812402</v>
      </c>
      <c r="T478" s="28">
        <v>0.42520819464698434</v>
      </c>
      <c r="U478" s="28">
        <v>0.23420929699204862</v>
      </c>
      <c r="V478" s="28">
        <v>0.33102789125405252</v>
      </c>
      <c r="W478" s="28">
        <v>0.40332270227372646</v>
      </c>
      <c r="X478" s="28">
        <v>0.21593197318725288</v>
      </c>
    </row>
    <row r="479" spans="1:24" ht="13.9">
      <c r="A479" s="1">
        <v>478</v>
      </c>
      <c r="B479" s="23" t="e">
        <f ca="1">_xludf.BETA.INV(R479,'04_PSA_INPUTS'!H5,'04_PSA_INPUTS'!I5)</f>
        <v>#NAME?</v>
      </c>
      <c r="C479" s="23" t="e">
        <f ca="1">_xludf.BETA.INV(S479,'04_PSA_INPUTS'!H6,'04_PSA_INPUTS'!I6)</f>
        <v>#NAME?</v>
      </c>
      <c r="D479" s="27" t="e">
        <f ca="1">_xludf.GAMMA.INV(T479,'04_PSA_INPUTS'!H7,'04_PSA_INPUTS'!I7)</f>
        <v>#NAME?</v>
      </c>
      <c r="E479" s="27" t="e">
        <f ca="1">_xludf.GAMMA.INV(U479,'04_PSA_INPUTS'!H8,'04_PSA_INPUTS'!I8)</f>
        <v>#NAME?</v>
      </c>
      <c r="F479" s="27" t="e">
        <f ca="1">_xludf.GAMMA.INV(V479,'04_PSA_INPUTS'!H9,'04_PSA_INPUTS'!I9)</f>
        <v>#NAME?</v>
      </c>
      <c r="G479" s="23" t="e">
        <f ca="1">_xludf.BETA.INV(W479,'04_PSA_INPUTS'!H10,'04_PSA_INPUTS'!I10)</f>
        <v>#NAME?</v>
      </c>
      <c r="H479" s="23" t="e">
        <f ca="1">_xludf.BETA.INV(X479,'04_PSA_INPUTS'!H11,'04_PSA_INPUTS'!I11)</f>
        <v>#NAME?</v>
      </c>
      <c r="I479" s="27" t="e">
        <f ca="1">D479+B479*F479+'01_INPUTS'!B20</f>
        <v>#NAME?</v>
      </c>
      <c r="J479" s="27" t="e">
        <f ca="1">E479+C479*F479+'01_INPUTS'!B21</f>
        <v>#NAME?</v>
      </c>
      <c r="K479" s="27" t="e">
        <f t="shared" ca="1" si="42"/>
        <v>#NAME?</v>
      </c>
      <c r="L479" s="23" t="e">
        <f t="shared" ca="1" si="43"/>
        <v>#NAME?</v>
      </c>
      <c r="M479" s="23" t="e">
        <f t="shared" ca="1" si="44"/>
        <v>#NAME?</v>
      </c>
      <c r="N479" s="23" t="e">
        <f t="shared" ca="1" si="45"/>
        <v>#NAME?</v>
      </c>
      <c r="O479" s="27" t="e">
        <f t="shared" ca="1" si="46"/>
        <v>#NAME?</v>
      </c>
      <c r="P479" s="27" t="e">
        <f ca="1">'01_INPUTS'!B9*N479-K479</f>
        <v>#NAME?</v>
      </c>
      <c r="Q479" s="1" t="e">
        <f t="shared" ca="1" si="47"/>
        <v>#NAME?</v>
      </c>
      <c r="R479" s="28">
        <v>0.67576742032542825</v>
      </c>
      <c r="S479" s="28">
        <v>0.22381457011215389</v>
      </c>
      <c r="T479" s="28">
        <v>0.80453191697597504</v>
      </c>
      <c r="U479" s="28">
        <v>0.51431025005877018</v>
      </c>
      <c r="V479" s="28">
        <v>0.37092592800036073</v>
      </c>
      <c r="W479" s="28">
        <v>0.68515013088472188</v>
      </c>
      <c r="X479" s="28">
        <v>0.55653221835382283</v>
      </c>
    </row>
    <row r="480" spans="1:24" ht="13.9">
      <c r="A480" s="1">
        <v>479</v>
      </c>
      <c r="B480" s="23" t="e">
        <f ca="1">_xludf.BETA.INV(R480,'04_PSA_INPUTS'!H5,'04_PSA_INPUTS'!I5)</f>
        <v>#NAME?</v>
      </c>
      <c r="C480" s="23" t="e">
        <f ca="1">_xludf.BETA.INV(S480,'04_PSA_INPUTS'!H6,'04_PSA_INPUTS'!I6)</f>
        <v>#NAME?</v>
      </c>
      <c r="D480" s="27" t="e">
        <f ca="1">_xludf.GAMMA.INV(T480,'04_PSA_INPUTS'!H7,'04_PSA_INPUTS'!I7)</f>
        <v>#NAME?</v>
      </c>
      <c r="E480" s="27" t="e">
        <f ca="1">_xludf.GAMMA.INV(U480,'04_PSA_INPUTS'!H8,'04_PSA_INPUTS'!I8)</f>
        <v>#NAME?</v>
      </c>
      <c r="F480" s="27" t="e">
        <f ca="1">_xludf.GAMMA.INV(V480,'04_PSA_INPUTS'!H9,'04_PSA_INPUTS'!I9)</f>
        <v>#NAME?</v>
      </c>
      <c r="G480" s="23" t="e">
        <f ca="1">_xludf.BETA.INV(W480,'04_PSA_INPUTS'!H10,'04_PSA_INPUTS'!I10)</f>
        <v>#NAME?</v>
      </c>
      <c r="H480" s="23" t="e">
        <f ca="1">_xludf.BETA.INV(X480,'04_PSA_INPUTS'!H11,'04_PSA_INPUTS'!I11)</f>
        <v>#NAME?</v>
      </c>
      <c r="I480" s="27" t="e">
        <f ca="1">D480+B480*F480+'01_INPUTS'!B20</f>
        <v>#NAME?</v>
      </c>
      <c r="J480" s="27" t="e">
        <f ca="1">E480+C480*F480+'01_INPUTS'!B21</f>
        <v>#NAME?</v>
      </c>
      <c r="K480" s="27" t="e">
        <f t="shared" ca="1" si="42"/>
        <v>#NAME?</v>
      </c>
      <c r="L480" s="23" t="e">
        <f t="shared" ca="1" si="43"/>
        <v>#NAME?</v>
      </c>
      <c r="M480" s="23" t="e">
        <f t="shared" ca="1" si="44"/>
        <v>#NAME?</v>
      </c>
      <c r="N480" s="23" t="e">
        <f t="shared" ca="1" si="45"/>
        <v>#NAME?</v>
      </c>
      <c r="O480" s="27" t="e">
        <f t="shared" ca="1" si="46"/>
        <v>#NAME?</v>
      </c>
      <c r="P480" s="27" t="e">
        <f ca="1">'01_INPUTS'!B9*N480-K480</f>
        <v>#NAME?</v>
      </c>
      <c r="Q480" s="1" t="e">
        <f t="shared" ca="1" si="47"/>
        <v>#NAME?</v>
      </c>
      <c r="R480" s="28">
        <v>0.37673922581598163</v>
      </c>
      <c r="S480" s="28">
        <v>0.75018366146832705</v>
      </c>
      <c r="T480" s="28">
        <v>0.14530581561848521</v>
      </c>
      <c r="U480" s="28">
        <v>0.53166964463889599</v>
      </c>
      <c r="V480" s="28">
        <v>0.14967104280367494</v>
      </c>
      <c r="W480" s="28">
        <v>0.527782246703282</v>
      </c>
      <c r="X480" s="28">
        <v>0.90874171536415815</v>
      </c>
    </row>
    <row r="481" spans="1:24" ht="13.9">
      <c r="A481" s="1">
        <v>480</v>
      </c>
      <c r="B481" s="23" t="e">
        <f ca="1">_xludf.BETA.INV(R481,'04_PSA_INPUTS'!H5,'04_PSA_INPUTS'!I5)</f>
        <v>#NAME?</v>
      </c>
      <c r="C481" s="23" t="e">
        <f ca="1">_xludf.BETA.INV(S481,'04_PSA_INPUTS'!H6,'04_PSA_INPUTS'!I6)</f>
        <v>#NAME?</v>
      </c>
      <c r="D481" s="27" t="e">
        <f ca="1">_xludf.GAMMA.INV(T481,'04_PSA_INPUTS'!H7,'04_PSA_INPUTS'!I7)</f>
        <v>#NAME?</v>
      </c>
      <c r="E481" s="27" t="e">
        <f ca="1">_xludf.GAMMA.INV(U481,'04_PSA_INPUTS'!H8,'04_PSA_INPUTS'!I8)</f>
        <v>#NAME?</v>
      </c>
      <c r="F481" s="27" t="e">
        <f ca="1">_xludf.GAMMA.INV(V481,'04_PSA_INPUTS'!H9,'04_PSA_INPUTS'!I9)</f>
        <v>#NAME?</v>
      </c>
      <c r="G481" s="23" t="e">
        <f ca="1">_xludf.BETA.INV(W481,'04_PSA_INPUTS'!H10,'04_PSA_INPUTS'!I10)</f>
        <v>#NAME?</v>
      </c>
      <c r="H481" s="23" t="e">
        <f ca="1">_xludf.BETA.INV(X481,'04_PSA_INPUTS'!H11,'04_PSA_INPUTS'!I11)</f>
        <v>#NAME?</v>
      </c>
      <c r="I481" s="27" t="e">
        <f ca="1">D481+B481*F481+'01_INPUTS'!B20</f>
        <v>#NAME?</v>
      </c>
      <c r="J481" s="27" t="e">
        <f ca="1">E481+C481*F481+'01_INPUTS'!B21</f>
        <v>#NAME?</v>
      </c>
      <c r="K481" s="27" t="e">
        <f t="shared" ca="1" si="42"/>
        <v>#NAME?</v>
      </c>
      <c r="L481" s="23" t="e">
        <f t="shared" ca="1" si="43"/>
        <v>#NAME?</v>
      </c>
      <c r="M481" s="23" t="e">
        <f t="shared" ca="1" si="44"/>
        <v>#NAME?</v>
      </c>
      <c r="N481" s="23" t="e">
        <f t="shared" ca="1" si="45"/>
        <v>#NAME?</v>
      </c>
      <c r="O481" s="27" t="e">
        <f t="shared" ca="1" si="46"/>
        <v>#NAME?</v>
      </c>
      <c r="P481" s="27" t="e">
        <f ca="1">'01_INPUTS'!B9*N481-K481</f>
        <v>#NAME?</v>
      </c>
      <c r="Q481" s="1" t="e">
        <f t="shared" ca="1" si="47"/>
        <v>#NAME?</v>
      </c>
      <c r="R481" s="28">
        <v>0.31002004002220929</v>
      </c>
      <c r="S481" s="28">
        <v>0.1482554457616061</v>
      </c>
      <c r="T481" s="28">
        <v>0.80185312405228615</v>
      </c>
      <c r="U481" s="28">
        <v>0.22856095316819847</v>
      </c>
      <c r="V481" s="28">
        <v>0.8625324119348079</v>
      </c>
      <c r="W481" s="28">
        <v>0.76443994557484984</v>
      </c>
      <c r="X481" s="28">
        <v>8.7118599098175764E-2</v>
      </c>
    </row>
    <row r="482" spans="1:24" ht="13.9">
      <c r="A482" s="1">
        <v>481</v>
      </c>
      <c r="B482" s="23" t="e">
        <f ca="1">_xludf.BETA.INV(R482,'04_PSA_INPUTS'!H5,'04_PSA_INPUTS'!I5)</f>
        <v>#NAME?</v>
      </c>
      <c r="C482" s="23" t="e">
        <f ca="1">_xludf.BETA.INV(S482,'04_PSA_INPUTS'!H6,'04_PSA_INPUTS'!I6)</f>
        <v>#NAME?</v>
      </c>
      <c r="D482" s="27" t="e">
        <f ca="1">_xludf.GAMMA.INV(T482,'04_PSA_INPUTS'!H7,'04_PSA_INPUTS'!I7)</f>
        <v>#NAME?</v>
      </c>
      <c r="E482" s="27" t="e">
        <f ca="1">_xludf.GAMMA.INV(U482,'04_PSA_INPUTS'!H8,'04_PSA_INPUTS'!I8)</f>
        <v>#NAME?</v>
      </c>
      <c r="F482" s="27" t="e">
        <f ca="1">_xludf.GAMMA.INV(V482,'04_PSA_INPUTS'!H9,'04_PSA_INPUTS'!I9)</f>
        <v>#NAME?</v>
      </c>
      <c r="G482" s="23" t="e">
        <f ca="1">_xludf.BETA.INV(W482,'04_PSA_INPUTS'!H10,'04_PSA_INPUTS'!I10)</f>
        <v>#NAME?</v>
      </c>
      <c r="H482" s="23" t="e">
        <f ca="1">_xludf.BETA.INV(X482,'04_PSA_INPUTS'!H11,'04_PSA_INPUTS'!I11)</f>
        <v>#NAME?</v>
      </c>
      <c r="I482" s="27" t="e">
        <f ca="1">D482+B482*F482+'01_INPUTS'!B20</f>
        <v>#NAME?</v>
      </c>
      <c r="J482" s="27" t="e">
        <f ca="1">E482+C482*F482+'01_INPUTS'!B21</f>
        <v>#NAME?</v>
      </c>
      <c r="K482" s="27" t="e">
        <f t="shared" ca="1" si="42"/>
        <v>#NAME?</v>
      </c>
      <c r="L482" s="23" t="e">
        <f t="shared" ca="1" si="43"/>
        <v>#NAME?</v>
      </c>
      <c r="M482" s="23" t="e">
        <f t="shared" ca="1" si="44"/>
        <v>#NAME?</v>
      </c>
      <c r="N482" s="23" t="e">
        <f t="shared" ca="1" si="45"/>
        <v>#NAME?</v>
      </c>
      <c r="O482" s="27" t="e">
        <f t="shared" ca="1" si="46"/>
        <v>#NAME?</v>
      </c>
      <c r="P482" s="27" t="e">
        <f ca="1">'01_INPUTS'!B9*N482-K482</f>
        <v>#NAME?</v>
      </c>
      <c r="Q482" s="1" t="e">
        <f t="shared" ca="1" si="47"/>
        <v>#NAME?</v>
      </c>
      <c r="R482" s="28">
        <v>0.40035417838953435</v>
      </c>
      <c r="S482" s="28">
        <v>0.53629184560850263</v>
      </c>
      <c r="T482" s="28">
        <v>0.78030951111577451</v>
      </c>
      <c r="U482" s="28">
        <v>0.45856176037341356</v>
      </c>
      <c r="V482" s="28">
        <v>0.39552747923880816</v>
      </c>
      <c r="W482" s="28">
        <v>0.50688707246445119</v>
      </c>
      <c r="X482" s="28">
        <v>0.1764456988312304</v>
      </c>
    </row>
    <row r="483" spans="1:24" ht="13.9">
      <c r="A483" s="1">
        <v>482</v>
      </c>
      <c r="B483" s="23" t="e">
        <f ca="1">_xludf.BETA.INV(R483,'04_PSA_INPUTS'!H5,'04_PSA_INPUTS'!I5)</f>
        <v>#NAME?</v>
      </c>
      <c r="C483" s="23" t="e">
        <f ca="1">_xludf.BETA.INV(S483,'04_PSA_INPUTS'!H6,'04_PSA_INPUTS'!I6)</f>
        <v>#NAME?</v>
      </c>
      <c r="D483" s="27" t="e">
        <f ca="1">_xludf.GAMMA.INV(T483,'04_PSA_INPUTS'!H7,'04_PSA_INPUTS'!I7)</f>
        <v>#NAME?</v>
      </c>
      <c r="E483" s="27" t="e">
        <f ca="1">_xludf.GAMMA.INV(U483,'04_PSA_INPUTS'!H8,'04_PSA_INPUTS'!I8)</f>
        <v>#NAME?</v>
      </c>
      <c r="F483" s="27" t="e">
        <f ca="1">_xludf.GAMMA.INV(V483,'04_PSA_INPUTS'!H9,'04_PSA_INPUTS'!I9)</f>
        <v>#NAME?</v>
      </c>
      <c r="G483" s="23" t="e">
        <f ca="1">_xludf.BETA.INV(W483,'04_PSA_INPUTS'!H10,'04_PSA_INPUTS'!I10)</f>
        <v>#NAME?</v>
      </c>
      <c r="H483" s="23" t="e">
        <f ca="1">_xludf.BETA.INV(X483,'04_PSA_INPUTS'!H11,'04_PSA_INPUTS'!I11)</f>
        <v>#NAME?</v>
      </c>
      <c r="I483" s="27" t="e">
        <f ca="1">D483+B483*F483+'01_INPUTS'!B20</f>
        <v>#NAME?</v>
      </c>
      <c r="J483" s="27" t="e">
        <f ca="1">E483+C483*F483+'01_INPUTS'!B21</f>
        <v>#NAME?</v>
      </c>
      <c r="K483" s="27" t="e">
        <f t="shared" ca="1" si="42"/>
        <v>#NAME?</v>
      </c>
      <c r="L483" s="23" t="e">
        <f t="shared" ca="1" si="43"/>
        <v>#NAME?</v>
      </c>
      <c r="M483" s="23" t="e">
        <f t="shared" ca="1" si="44"/>
        <v>#NAME?</v>
      </c>
      <c r="N483" s="23" t="e">
        <f t="shared" ca="1" si="45"/>
        <v>#NAME?</v>
      </c>
      <c r="O483" s="27" t="e">
        <f t="shared" ca="1" si="46"/>
        <v>#NAME?</v>
      </c>
      <c r="P483" s="27" t="e">
        <f ca="1">'01_INPUTS'!B9*N483-K483</f>
        <v>#NAME?</v>
      </c>
      <c r="Q483" s="1" t="e">
        <f t="shared" ca="1" si="47"/>
        <v>#NAME?</v>
      </c>
      <c r="R483" s="28">
        <v>0.54911122750490904</v>
      </c>
      <c r="S483" s="28">
        <v>0.17767269746400416</v>
      </c>
      <c r="T483" s="28">
        <v>0.87391128018498421</v>
      </c>
      <c r="U483" s="28">
        <v>0.55255660833790898</v>
      </c>
      <c r="V483" s="28">
        <v>0.73060140130110085</v>
      </c>
      <c r="W483" s="28">
        <v>2.4242475628852844E-3</v>
      </c>
      <c r="X483" s="28">
        <v>0.13254858204163611</v>
      </c>
    </row>
    <row r="484" spans="1:24" ht="13.9">
      <c r="A484" s="1">
        <v>483</v>
      </c>
      <c r="B484" s="23" t="e">
        <f ca="1">_xludf.BETA.INV(R484,'04_PSA_INPUTS'!H5,'04_PSA_INPUTS'!I5)</f>
        <v>#NAME?</v>
      </c>
      <c r="C484" s="23" t="e">
        <f ca="1">_xludf.BETA.INV(S484,'04_PSA_INPUTS'!H6,'04_PSA_INPUTS'!I6)</f>
        <v>#NAME?</v>
      </c>
      <c r="D484" s="27" t="e">
        <f ca="1">_xludf.GAMMA.INV(T484,'04_PSA_INPUTS'!H7,'04_PSA_INPUTS'!I7)</f>
        <v>#NAME?</v>
      </c>
      <c r="E484" s="27" t="e">
        <f ca="1">_xludf.GAMMA.INV(U484,'04_PSA_INPUTS'!H8,'04_PSA_INPUTS'!I8)</f>
        <v>#NAME?</v>
      </c>
      <c r="F484" s="27" t="e">
        <f ca="1">_xludf.GAMMA.INV(V484,'04_PSA_INPUTS'!H9,'04_PSA_INPUTS'!I9)</f>
        <v>#NAME?</v>
      </c>
      <c r="G484" s="23" t="e">
        <f ca="1">_xludf.BETA.INV(W484,'04_PSA_INPUTS'!H10,'04_PSA_INPUTS'!I10)</f>
        <v>#NAME?</v>
      </c>
      <c r="H484" s="23" t="e">
        <f ca="1">_xludf.BETA.INV(X484,'04_PSA_INPUTS'!H11,'04_PSA_INPUTS'!I11)</f>
        <v>#NAME?</v>
      </c>
      <c r="I484" s="27" t="e">
        <f ca="1">D484+B484*F484+'01_INPUTS'!B20</f>
        <v>#NAME?</v>
      </c>
      <c r="J484" s="27" t="e">
        <f ca="1">E484+C484*F484+'01_INPUTS'!B21</f>
        <v>#NAME?</v>
      </c>
      <c r="K484" s="27" t="e">
        <f t="shared" ca="1" si="42"/>
        <v>#NAME?</v>
      </c>
      <c r="L484" s="23" t="e">
        <f t="shared" ca="1" si="43"/>
        <v>#NAME?</v>
      </c>
      <c r="M484" s="23" t="e">
        <f t="shared" ca="1" si="44"/>
        <v>#NAME?</v>
      </c>
      <c r="N484" s="23" t="e">
        <f t="shared" ca="1" si="45"/>
        <v>#NAME?</v>
      </c>
      <c r="O484" s="27" t="e">
        <f t="shared" ca="1" si="46"/>
        <v>#NAME?</v>
      </c>
      <c r="P484" s="27" t="e">
        <f ca="1">'01_INPUTS'!B9*N484-K484</f>
        <v>#NAME?</v>
      </c>
      <c r="Q484" s="1" t="e">
        <f t="shared" ca="1" si="47"/>
        <v>#NAME?</v>
      </c>
      <c r="R484" s="28">
        <v>0.33123625512234867</v>
      </c>
      <c r="S484" s="28">
        <v>0.49146001576445997</v>
      </c>
      <c r="T484" s="28">
        <v>4.8823364777490497E-2</v>
      </c>
      <c r="U484" s="28">
        <v>5.8118117274716496E-2</v>
      </c>
      <c r="V484" s="28">
        <v>1.8470459850504994E-2</v>
      </c>
      <c r="W484" s="28">
        <v>0.55587753537110984</v>
      </c>
      <c r="X484" s="28">
        <v>0.5430842898786068</v>
      </c>
    </row>
    <row r="485" spans="1:24" ht="13.9">
      <c r="A485" s="1">
        <v>484</v>
      </c>
      <c r="B485" s="23" t="e">
        <f ca="1">_xludf.BETA.INV(R485,'04_PSA_INPUTS'!H5,'04_PSA_INPUTS'!I5)</f>
        <v>#NAME?</v>
      </c>
      <c r="C485" s="23" t="e">
        <f ca="1">_xludf.BETA.INV(S485,'04_PSA_INPUTS'!H6,'04_PSA_INPUTS'!I6)</f>
        <v>#NAME?</v>
      </c>
      <c r="D485" s="27" t="e">
        <f ca="1">_xludf.GAMMA.INV(T485,'04_PSA_INPUTS'!H7,'04_PSA_INPUTS'!I7)</f>
        <v>#NAME?</v>
      </c>
      <c r="E485" s="27" t="e">
        <f ca="1">_xludf.GAMMA.INV(U485,'04_PSA_INPUTS'!H8,'04_PSA_INPUTS'!I8)</f>
        <v>#NAME?</v>
      </c>
      <c r="F485" s="27" t="e">
        <f ca="1">_xludf.GAMMA.INV(V485,'04_PSA_INPUTS'!H9,'04_PSA_INPUTS'!I9)</f>
        <v>#NAME?</v>
      </c>
      <c r="G485" s="23" t="e">
        <f ca="1">_xludf.BETA.INV(W485,'04_PSA_INPUTS'!H10,'04_PSA_INPUTS'!I10)</f>
        <v>#NAME?</v>
      </c>
      <c r="H485" s="23" t="e">
        <f ca="1">_xludf.BETA.INV(X485,'04_PSA_INPUTS'!H11,'04_PSA_INPUTS'!I11)</f>
        <v>#NAME?</v>
      </c>
      <c r="I485" s="27" t="e">
        <f ca="1">D485+B485*F485+'01_INPUTS'!B20</f>
        <v>#NAME?</v>
      </c>
      <c r="J485" s="27" t="e">
        <f ca="1">E485+C485*F485+'01_INPUTS'!B21</f>
        <v>#NAME?</v>
      </c>
      <c r="K485" s="27" t="e">
        <f t="shared" ca="1" si="42"/>
        <v>#NAME?</v>
      </c>
      <c r="L485" s="23" t="e">
        <f t="shared" ca="1" si="43"/>
        <v>#NAME?</v>
      </c>
      <c r="M485" s="23" t="e">
        <f t="shared" ca="1" si="44"/>
        <v>#NAME?</v>
      </c>
      <c r="N485" s="23" t="e">
        <f t="shared" ca="1" si="45"/>
        <v>#NAME?</v>
      </c>
      <c r="O485" s="27" t="e">
        <f t="shared" ca="1" si="46"/>
        <v>#NAME?</v>
      </c>
      <c r="P485" s="27" t="e">
        <f ca="1">'01_INPUTS'!B9*N485-K485</f>
        <v>#NAME?</v>
      </c>
      <c r="Q485" s="1" t="e">
        <f t="shared" ca="1" si="47"/>
        <v>#NAME?</v>
      </c>
      <c r="R485" s="28">
        <v>0.53276018146425486</v>
      </c>
      <c r="S485" s="28">
        <v>0.46481681941077113</v>
      </c>
      <c r="T485" s="28">
        <v>0.24358641798608005</v>
      </c>
      <c r="U485" s="28">
        <v>0.77155469404533505</v>
      </c>
      <c r="V485" s="28">
        <v>0.47595877363346517</v>
      </c>
      <c r="W485" s="28">
        <v>2.9957953142002225E-2</v>
      </c>
      <c r="X485" s="28">
        <v>0.88817284326069057</v>
      </c>
    </row>
    <row r="486" spans="1:24" ht="13.9">
      <c r="A486" s="1">
        <v>485</v>
      </c>
      <c r="B486" s="23" t="e">
        <f ca="1">_xludf.BETA.INV(R486,'04_PSA_INPUTS'!H5,'04_PSA_INPUTS'!I5)</f>
        <v>#NAME?</v>
      </c>
      <c r="C486" s="23" t="e">
        <f ca="1">_xludf.BETA.INV(S486,'04_PSA_INPUTS'!H6,'04_PSA_INPUTS'!I6)</f>
        <v>#NAME?</v>
      </c>
      <c r="D486" s="27" t="e">
        <f ca="1">_xludf.GAMMA.INV(T486,'04_PSA_INPUTS'!H7,'04_PSA_INPUTS'!I7)</f>
        <v>#NAME?</v>
      </c>
      <c r="E486" s="27" t="e">
        <f ca="1">_xludf.GAMMA.INV(U486,'04_PSA_INPUTS'!H8,'04_PSA_INPUTS'!I8)</f>
        <v>#NAME?</v>
      </c>
      <c r="F486" s="27" t="e">
        <f ca="1">_xludf.GAMMA.INV(V486,'04_PSA_INPUTS'!H9,'04_PSA_INPUTS'!I9)</f>
        <v>#NAME?</v>
      </c>
      <c r="G486" s="23" t="e">
        <f ca="1">_xludf.BETA.INV(W486,'04_PSA_INPUTS'!H10,'04_PSA_INPUTS'!I10)</f>
        <v>#NAME?</v>
      </c>
      <c r="H486" s="23" t="e">
        <f ca="1">_xludf.BETA.INV(X486,'04_PSA_INPUTS'!H11,'04_PSA_INPUTS'!I11)</f>
        <v>#NAME?</v>
      </c>
      <c r="I486" s="27" t="e">
        <f ca="1">D486+B486*F486+'01_INPUTS'!B20</f>
        <v>#NAME?</v>
      </c>
      <c r="J486" s="27" t="e">
        <f ca="1">E486+C486*F486+'01_INPUTS'!B21</f>
        <v>#NAME?</v>
      </c>
      <c r="K486" s="27" t="e">
        <f t="shared" ca="1" si="42"/>
        <v>#NAME?</v>
      </c>
      <c r="L486" s="23" t="e">
        <f t="shared" ca="1" si="43"/>
        <v>#NAME?</v>
      </c>
      <c r="M486" s="23" t="e">
        <f t="shared" ca="1" si="44"/>
        <v>#NAME?</v>
      </c>
      <c r="N486" s="23" t="e">
        <f t="shared" ca="1" si="45"/>
        <v>#NAME?</v>
      </c>
      <c r="O486" s="27" t="e">
        <f t="shared" ca="1" si="46"/>
        <v>#NAME?</v>
      </c>
      <c r="P486" s="27" t="e">
        <f ca="1">'01_INPUTS'!B9*N486-K486</f>
        <v>#NAME?</v>
      </c>
      <c r="Q486" s="1" t="e">
        <f t="shared" ca="1" si="47"/>
        <v>#NAME?</v>
      </c>
      <c r="R486" s="28">
        <v>0.8664241551887244</v>
      </c>
      <c r="S486" s="28">
        <v>0.94907150650396943</v>
      </c>
      <c r="T486" s="28">
        <v>0.50470899324864149</v>
      </c>
      <c r="U486" s="28">
        <v>0.42085980297997594</v>
      </c>
      <c r="V486" s="28">
        <v>0.68379099294543266</v>
      </c>
      <c r="W486" s="28">
        <v>0.36848682095296681</v>
      </c>
      <c r="X486" s="28">
        <v>0.36621826235204935</v>
      </c>
    </row>
    <row r="487" spans="1:24" ht="13.9">
      <c r="A487" s="1">
        <v>486</v>
      </c>
      <c r="B487" s="23" t="e">
        <f ca="1">_xludf.BETA.INV(R487,'04_PSA_INPUTS'!H5,'04_PSA_INPUTS'!I5)</f>
        <v>#NAME?</v>
      </c>
      <c r="C487" s="23" t="e">
        <f ca="1">_xludf.BETA.INV(S487,'04_PSA_INPUTS'!H6,'04_PSA_INPUTS'!I6)</f>
        <v>#NAME?</v>
      </c>
      <c r="D487" s="27" t="e">
        <f ca="1">_xludf.GAMMA.INV(T487,'04_PSA_INPUTS'!H7,'04_PSA_INPUTS'!I7)</f>
        <v>#NAME?</v>
      </c>
      <c r="E487" s="27" t="e">
        <f ca="1">_xludf.GAMMA.INV(U487,'04_PSA_INPUTS'!H8,'04_PSA_INPUTS'!I8)</f>
        <v>#NAME?</v>
      </c>
      <c r="F487" s="27" t="e">
        <f ca="1">_xludf.GAMMA.INV(V487,'04_PSA_INPUTS'!H9,'04_PSA_INPUTS'!I9)</f>
        <v>#NAME?</v>
      </c>
      <c r="G487" s="23" t="e">
        <f ca="1">_xludf.BETA.INV(W487,'04_PSA_INPUTS'!H10,'04_PSA_INPUTS'!I10)</f>
        <v>#NAME?</v>
      </c>
      <c r="H487" s="23" t="e">
        <f ca="1">_xludf.BETA.INV(X487,'04_PSA_INPUTS'!H11,'04_PSA_INPUTS'!I11)</f>
        <v>#NAME?</v>
      </c>
      <c r="I487" s="27" t="e">
        <f ca="1">D487+B487*F487+'01_INPUTS'!B20</f>
        <v>#NAME?</v>
      </c>
      <c r="J487" s="27" t="e">
        <f ca="1">E487+C487*F487+'01_INPUTS'!B21</f>
        <v>#NAME?</v>
      </c>
      <c r="K487" s="27" t="e">
        <f t="shared" ca="1" si="42"/>
        <v>#NAME?</v>
      </c>
      <c r="L487" s="23" t="e">
        <f t="shared" ca="1" si="43"/>
        <v>#NAME?</v>
      </c>
      <c r="M487" s="23" t="e">
        <f t="shared" ca="1" si="44"/>
        <v>#NAME?</v>
      </c>
      <c r="N487" s="23" t="e">
        <f t="shared" ca="1" si="45"/>
        <v>#NAME?</v>
      </c>
      <c r="O487" s="27" t="e">
        <f t="shared" ca="1" si="46"/>
        <v>#NAME?</v>
      </c>
      <c r="P487" s="27" t="e">
        <f ca="1">'01_INPUTS'!B9*N487-K487</f>
        <v>#NAME?</v>
      </c>
      <c r="Q487" s="1" t="e">
        <f t="shared" ca="1" si="47"/>
        <v>#NAME?</v>
      </c>
      <c r="R487" s="28">
        <v>0.51203783927485347</v>
      </c>
      <c r="S487" s="28">
        <v>0.6245138484518975</v>
      </c>
      <c r="T487" s="28">
        <v>0.30531898140907288</v>
      </c>
      <c r="U487" s="28">
        <v>0.3379433318041265</v>
      </c>
      <c r="V487" s="28">
        <v>0.57757264375686646</v>
      </c>
      <c r="W487" s="28">
        <v>0.59615664067678154</v>
      </c>
      <c r="X487" s="28">
        <v>0.31816714443266392</v>
      </c>
    </row>
    <row r="488" spans="1:24" ht="13.9">
      <c r="A488" s="1">
        <v>487</v>
      </c>
      <c r="B488" s="23" t="e">
        <f ca="1">_xludf.BETA.INV(R488,'04_PSA_INPUTS'!H5,'04_PSA_INPUTS'!I5)</f>
        <v>#NAME?</v>
      </c>
      <c r="C488" s="23" t="e">
        <f ca="1">_xludf.BETA.INV(S488,'04_PSA_INPUTS'!H6,'04_PSA_INPUTS'!I6)</f>
        <v>#NAME?</v>
      </c>
      <c r="D488" s="27" t="e">
        <f ca="1">_xludf.GAMMA.INV(T488,'04_PSA_INPUTS'!H7,'04_PSA_INPUTS'!I7)</f>
        <v>#NAME?</v>
      </c>
      <c r="E488" s="27" t="e">
        <f ca="1">_xludf.GAMMA.INV(U488,'04_PSA_INPUTS'!H8,'04_PSA_INPUTS'!I8)</f>
        <v>#NAME?</v>
      </c>
      <c r="F488" s="27" t="e">
        <f ca="1">_xludf.GAMMA.INV(V488,'04_PSA_INPUTS'!H9,'04_PSA_INPUTS'!I9)</f>
        <v>#NAME?</v>
      </c>
      <c r="G488" s="23" t="e">
        <f ca="1">_xludf.BETA.INV(W488,'04_PSA_INPUTS'!H10,'04_PSA_INPUTS'!I10)</f>
        <v>#NAME?</v>
      </c>
      <c r="H488" s="23" t="e">
        <f ca="1">_xludf.BETA.INV(X488,'04_PSA_INPUTS'!H11,'04_PSA_INPUTS'!I11)</f>
        <v>#NAME?</v>
      </c>
      <c r="I488" s="27" t="e">
        <f ca="1">D488+B488*F488+'01_INPUTS'!B20</f>
        <v>#NAME?</v>
      </c>
      <c r="J488" s="27" t="e">
        <f ca="1">E488+C488*F488+'01_INPUTS'!B21</f>
        <v>#NAME?</v>
      </c>
      <c r="K488" s="27" t="e">
        <f t="shared" ca="1" si="42"/>
        <v>#NAME?</v>
      </c>
      <c r="L488" s="23" t="e">
        <f t="shared" ca="1" si="43"/>
        <v>#NAME?</v>
      </c>
      <c r="M488" s="23" t="e">
        <f t="shared" ca="1" si="44"/>
        <v>#NAME?</v>
      </c>
      <c r="N488" s="23" t="e">
        <f t="shared" ca="1" si="45"/>
        <v>#NAME?</v>
      </c>
      <c r="O488" s="27" t="e">
        <f t="shared" ca="1" si="46"/>
        <v>#NAME?</v>
      </c>
      <c r="P488" s="27" t="e">
        <f ca="1">'01_INPUTS'!B9*N488-K488</f>
        <v>#NAME?</v>
      </c>
      <c r="Q488" s="1" t="e">
        <f t="shared" ca="1" si="47"/>
        <v>#NAME?</v>
      </c>
      <c r="R488" s="28">
        <v>0.95979955513030291</v>
      </c>
      <c r="S488" s="28">
        <v>0.75847445148974657</v>
      </c>
      <c r="T488" s="28">
        <v>4.5028125867247581E-2</v>
      </c>
      <c r="U488" s="28">
        <v>0.45298785134218633</v>
      </c>
      <c r="V488" s="28">
        <v>5.4103708593174815E-2</v>
      </c>
      <c r="W488" s="28">
        <v>0.78797568962909281</v>
      </c>
      <c r="X488" s="28">
        <v>0.58161747851409018</v>
      </c>
    </row>
    <row r="489" spans="1:24" ht="13.9">
      <c r="A489" s="1">
        <v>488</v>
      </c>
      <c r="B489" s="23" t="e">
        <f ca="1">_xludf.BETA.INV(R489,'04_PSA_INPUTS'!H5,'04_PSA_INPUTS'!I5)</f>
        <v>#NAME?</v>
      </c>
      <c r="C489" s="23" t="e">
        <f ca="1">_xludf.BETA.INV(S489,'04_PSA_INPUTS'!H6,'04_PSA_INPUTS'!I6)</f>
        <v>#NAME?</v>
      </c>
      <c r="D489" s="27" t="e">
        <f ca="1">_xludf.GAMMA.INV(T489,'04_PSA_INPUTS'!H7,'04_PSA_INPUTS'!I7)</f>
        <v>#NAME?</v>
      </c>
      <c r="E489" s="27" t="e">
        <f ca="1">_xludf.GAMMA.INV(U489,'04_PSA_INPUTS'!H8,'04_PSA_INPUTS'!I8)</f>
        <v>#NAME?</v>
      </c>
      <c r="F489" s="27" t="e">
        <f ca="1">_xludf.GAMMA.INV(V489,'04_PSA_INPUTS'!H9,'04_PSA_INPUTS'!I9)</f>
        <v>#NAME?</v>
      </c>
      <c r="G489" s="23" t="e">
        <f ca="1">_xludf.BETA.INV(W489,'04_PSA_INPUTS'!H10,'04_PSA_INPUTS'!I10)</f>
        <v>#NAME?</v>
      </c>
      <c r="H489" s="23" t="e">
        <f ca="1">_xludf.BETA.INV(X489,'04_PSA_INPUTS'!H11,'04_PSA_INPUTS'!I11)</f>
        <v>#NAME?</v>
      </c>
      <c r="I489" s="27" t="e">
        <f ca="1">D489+B489*F489+'01_INPUTS'!B20</f>
        <v>#NAME?</v>
      </c>
      <c r="J489" s="27" t="e">
        <f ca="1">E489+C489*F489+'01_INPUTS'!B21</f>
        <v>#NAME?</v>
      </c>
      <c r="K489" s="27" t="e">
        <f t="shared" ca="1" si="42"/>
        <v>#NAME?</v>
      </c>
      <c r="L489" s="23" t="e">
        <f t="shared" ca="1" si="43"/>
        <v>#NAME?</v>
      </c>
      <c r="M489" s="23" t="e">
        <f t="shared" ca="1" si="44"/>
        <v>#NAME?</v>
      </c>
      <c r="N489" s="23" t="e">
        <f t="shared" ca="1" si="45"/>
        <v>#NAME?</v>
      </c>
      <c r="O489" s="27" t="e">
        <f t="shared" ca="1" si="46"/>
        <v>#NAME?</v>
      </c>
      <c r="P489" s="27" t="e">
        <f ca="1">'01_INPUTS'!B9*N489-K489</f>
        <v>#NAME?</v>
      </c>
      <c r="Q489" s="1" t="e">
        <f t="shared" ca="1" si="47"/>
        <v>#NAME?</v>
      </c>
      <c r="R489" s="28">
        <v>8.4934759652242064E-2</v>
      </c>
      <c r="S489" s="28">
        <v>0.50489714439027011</v>
      </c>
      <c r="T489" s="28">
        <v>0.39967419533059001</v>
      </c>
      <c r="U489" s="28">
        <v>0.8303838821593672</v>
      </c>
      <c r="V489" s="28">
        <v>0.90335381007753313</v>
      </c>
      <c r="W489" s="28">
        <v>0.60220710374414921</v>
      </c>
      <c r="X489" s="28">
        <v>0.56490607303567231</v>
      </c>
    </row>
    <row r="490" spans="1:24" ht="13.9">
      <c r="A490" s="1">
        <v>489</v>
      </c>
      <c r="B490" s="23" t="e">
        <f ca="1">_xludf.BETA.INV(R490,'04_PSA_INPUTS'!H5,'04_PSA_INPUTS'!I5)</f>
        <v>#NAME?</v>
      </c>
      <c r="C490" s="23" t="e">
        <f ca="1">_xludf.BETA.INV(S490,'04_PSA_INPUTS'!H6,'04_PSA_INPUTS'!I6)</f>
        <v>#NAME?</v>
      </c>
      <c r="D490" s="27" t="e">
        <f ca="1">_xludf.GAMMA.INV(T490,'04_PSA_INPUTS'!H7,'04_PSA_INPUTS'!I7)</f>
        <v>#NAME?</v>
      </c>
      <c r="E490" s="27" t="e">
        <f ca="1">_xludf.GAMMA.INV(U490,'04_PSA_INPUTS'!H8,'04_PSA_INPUTS'!I8)</f>
        <v>#NAME?</v>
      </c>
      <c r="F490" s="27" t="e">
        <f ca="1">_xludf.GAMMA.INV(V490,'04_PSA_INPUTS'!H9,'04_PSA_INPUTS'!I9)</f>
        <v>#NAME?</v>
      </c>
      <c r="G490" s="23" t="e">
        <f ca="1">_xludf.BETA.INV(W490,'04_PSA_INPUTS'!H10,'04_PSA_INPUTS'!I10)</f>
        <v>#NAME?</v>
      </c>
      <c r="H490" s="23" t="e">
        <f ca="1">_xludf.BETA.INV(X490,'04_PSA_INPUTS'!H11,'04_PSA_INPUTS'!I11)</f>
        <v>#NAME?</v>
      </c>
      <c r="I490" s="27" t="e">
        <f ca="1">D490+B490*F490+'01_INPUTS'!B20</f>
        <v>#NAME?</v>
      </c>
      <c r="J490" s="27" t="e">
        <f ca="1">E490+C490*F490+'01_INPUTS'!B21</f>
        <v>#NAME?</v>
      </c>
      <c r="K490" s="27" t="e">
        <f t="shared" ca="1" si="42"/>
        <v>#NAME?</v>
      </c>
      <c r="L490" s="23" t="e">
        <f t="shared" ca="1" si="43"/>
        <v>#NAME?</v>
      </c>
      <c r="M490" s="23" t="e">
        <f t="shared" ca="1" si="44"/>
        <v>#NAME?</v>
      </c>
      <c r="N490" s="23" t="e">
        <f t="shared" ca="1" si="45"/>
        <v>#NAME?</v>
      </c>
      <c r="O490" s="27" t="e">
        <f t="shared" ca="1" si="46"/>
        <v>#NAME?</v>
      </c>
      <c r="P490" s="27" t="e">
        <f ca="1">'01_INPUTS'!B9*N490-K490</f>
        <v>#NAME?</v>
      </c>
      <c r="Q490" s="1" t="e">
        <f t="shared" ca="1" si="47"/>
        <v>#NAME?</v>
      </c>
      <c r="R490" s="28">
        <v>0.3689387789927423</v>
      </c>
      <c r="S490" s="28">
        <v>0.69444787292741239</v>
      </c>
      <c r="T490" s="28">
        <v>0.69785699085332453</v>
      </c>
      <c r="U490" s="28">
        <v>5.3621698170900345E-3</v>
      </c>
      <c r="V490" s="28">
        <v>0.5304513955488801</v>
      </c>
      <c r="W490" s="28">
        <v>0.71189753920771182</v>
      </c>
      <c r="X490" s="28">
        <v>0.89690482406876981</v>
      </c>
    </row>
    <row r="491" spans="1:24" ht="13.9">
      <c r="A491" s="1">
        <v>490</v>
      </c>
      <c r="B491" s="23" t="e">
        <f ca="1">_xludf.BETA.INV(R491,'04_PSA_INPUTS'!H5,'04_PSA_INPUTS'!I5)</f>
        <v>#NAME?</v>
      </c>
      <c r="C491" s="23" t="e">
        <f ca="1">_xludf.BETA.INV(S491,'04_PSA_INPUTS'!H6,'04_PSA_INPUTS'!I6)</f>
        <v>#NAME?</v>
      </c>
      <c r="D491" s="27" t="e">
        <f ca="1">_xludf.GAMMA.INV(T491,'04_PSA_INPUTS'!H7,'04_PSA_INPUTS'!I7)</f>
        <v>#NAME?</v>
      </c>
      <c r="E491" s="27" t="e">
        <f ca="1">_xludf.GAMMA.INV(U491,'04_PSA_INPUTS'!H8,'04_PSA_INPUTS'!I8)</f>
        <v>#NAME?</v>
      </c>
      <c r="F491" s="27" t="e">
        <f ca="1">_xludf.GAMMA.INV(V491,'04_PSA_INPUTS'!H9,'04_PSA_INPUTS'!I9)</f>
        <v>#NAME?</v>
      </c>
      <c r="G491" s="23" t="e">
        <f ca="1">_xludf.BETA.INV(W491,'04_PSA_INPUTS'!H10,'04_PSA_INPUTS'!I10)</f>
        <v>#NAME?</v>
      </c>
      <c r="H491" s="23" t="e">
        <f ca="1">_xludf.BETA.INV(X491,'04_PSA_INPUTS'!H11,'04_PSA_INPUTS'!I11)</f>
        <v>#NAME?</v>
      </c>
      <c r="I491" s="27" t="e">
        <f ca="1">D491+B491*F491+'01_INPUTS'!B20</f>
        <v>#NAME?</v>
      </c>
      <c r="J491" s="27" t="e">
        <f ca="1">E491+C491*F491+'01_INPUTS'!B21</f>
        <v>#NAME?</v>
      </c>
      <c r="K491" s="27" t="e">
        <f t="shared" ca="1" si="42"/>
        <v>#NAME?</v>
      </c>
      <c r="L491" s="23" t="e">
        <f t="shared" ca="1" si="43"/>
        <v>#NAME?</v>
      </c>
      <c r="M491" s="23" t="e">
        <f t="shared" ca="1" si="44"/>
        <v>#NAME?</v>
      </c>
      <c r="N491" s="23" t="e">
        <f t="shared" ca="1" si="45"/>
        <v>#NAME?</v>
      </c>
      <c r="O491" s="27" t="e">
        <f t="shared" ca="1" si="46"/>
        <v>#NAME?</v>
      </c>
      <c r="P491" s="27" t="e">
        <f ca="1">'01_INPUTS'!B9*N491-K491</f>
        <v>#NAME?</v>
      </c>
      <c r="Q491" s="1" t="e">
        <f t="shared" ca="1" si="47"/>
        <v>#NAME?</v>
      </c>
      <c r="R491" s="28">
        <v>0.25089952489361167</v>
      </c>
      <c r="S491" s="28">
        <v>0.65299553796648979</v>
      </c>
      <c r="T491" s="28">
        <v>0.67296318244189024</v>
      </c>
      <c r="U491" s="28">
        <v>0.34885640675202012</v>
      </c>
      <c r="V491" s="28">
        <v>0.64867524313740432</v>
      </c>
      <c r="W491" s="28">
        <v>0.44688417203724384</v>
      </c>
      <c r="X491" s="28">
        <v>0.67731920839287341</v>
      </c>
    </row>
    <row r="492" spans="1:24" ht="13.9">
      <c r="A492" s="1">
        <v>491</v>
      </c>
      <c r="B492" s="23" t="e">
        <f ca="1">_xludf.BETA.INV(R492,'04_PSA_INPUTS'!H5,'04_PSA_INPUTS'!I5)</f>
        <v>#NAME?</v>
      </c>
      <c r="C492" s="23" t="e">
        <f ca="1">_xludf.BETA.INV(S492,'04_PSA_INPUTS'!H6,'04_PSA_INPUTS'!I6)</f>
        <v>#NAME?</v>
      </c>
      <c r="D492" s="27" t="e">
        <f ca="1">_xludf.GAMMA.INV(T492,'04_PSA_INPUTS'!H7,'04_PSA_INPUTS'!I7)</f>
        <v>#NAME?</v>
      </c>
      <c r="E492" s="27" t="e">
        <f ca="1">_xludf.GAMMA.INV(U492,'04_PSA_INPUTS'!H8,'04_PSA_INPUTS'!I8)</f>
        <v>#NAME?</v>
      </c>
      <c r="F492" s="27" t="e">
        <f ca="1">_xludf.GAMMA.INV(V492,'04_PSA_INPUTS'!H9,'04_PSA_INPUTS'!I9)</f>
        <v>#NAME?</v>
      </c>
      <c r="G492" s="23" t="e">
        <f ca="1">_xludf.BETA.INV(W492,'04_PSA_INPUTS'!H10,'04_PSA_INPUTS'!I10)</f>
        <v>#NAME?</v>
      </c>
      <c r="H492" s="23" t="e">
        <f ca="1">_xludf.BETA.INV(X492,'04_PSA_INPUTS'!H11,'04_PSA_INPUTS'!I11)</f>
        <v>#NAME?</v>
      </c>
      <c r="I492" s="27" t="e">
        <f ca="1">D492+B492*F492+'01_INPUTS'!B20</f>
        <v>#NAME?</v>
      </c>
      <c r="J492" s="27" t="e">
        <f ca="1">E492+C492*F492+'01_INPUTS'!B21</f>
        <v>#NAME?</v>
      </c>
      <c r="K492" s="27" t="e">
        <f t="shared" ca="1" si="42"/>
        <v>#NAME?</v>
      </c>
      <c r="L492" s="23" t="e">
        <f t="shared" ca="1" si="43"/>
        <v>#NAME?</v>
      </c>
      <c r="M492" s="23" t="e">
        <f t="shared" ca="1" si="44"/>
        <v>#NAME?</v>
      </c>
      <c r="N492" s="23" t="e">
        <f t="shared" ca="1" si="45"/>
        <v>#NAME?</v>
      </c>
      <c r="O492" s="27" t="e">
        <f t="shared" ca="1" si="46"/>
        <v>#NAME?</v>
      </c>
      <c r="P492" s="27" t="e">
        <f ca="1">'01_INPUTS'!B9*N492-K492</f>
        <v>#NAME?</v>
      </c>
      <c r="Q492" s="1" t="e">
        <f t="shared" ca="1" si="47"/>
        <v>#NAME?</v>
      </c>
      <c r="R492" s="28">
        <v>0.44618675368838012</v>
      </c>
      <c r="S492" s="28">
        <v>0.45572407590225339</v>
      </c>
      <c r="T492" s="28">
        <v>0.62456657900474966</v>
      </c>
      <c r="U492" s="28">
        <v>4.8470649868249893E-2</v>
      </c>
      <c r="V492" s="28">
        <v>0.21713564242236316</v>
      </c>
      <c r="W492" s="28">
        <v>0.36762914387509227</v>
      </c>
      <c r="X492" s="28">
        <v>0.71077542915008962</v>
      </c>
    </row>
    <row r="493" spans="1:24" ht="13.9">
      <c r="A493" s="1">
        <v>492</v>
      </c>
      <c r="B493" s="23" t="e">
        <f ca="1">_xludf.BETA.INV(R493,'04_PSA_INPUTS'!H5,'04_PSA_INPUTS'!I5)</f>
        <v>#NAME?</v>
      </c>
      <c r="C493" s="23" t="e">
        <f ca="1">_xludf.BETA.INV(S493,'04_PSA_INPUTS'!H6,'04_PSA_INPUTS'!I6)</f>
        <v>#NAME?</v>
      </c>
      <c r="D493" s="27" t="e">
        <f ca="1">_xludf.GAMMA.INV(T493,'04_PSA_INPUTS'!H7,'04_PSA_INPUTS'!I7)</f>
        <v>#NAME?</v>
      </c>
      <c r="E493" s="27" t="e">
        <f ca="1">_xludf.GAMMA.INV(U493,'04_PSA_INPUTS'!H8,'04_PSA_INPUTS'!I8)</f>
        <v>#NAME?</v>
      </c>
      <c r="F493" s="27" t="e">
        <f ca="1">_xludf.GAMMA.INV(V493,'04_PSA_INPUTS'!H9,'04_PSA_INPUTS'!I9)</f>
        <v>#NAME?</v>
      </c>
      <c r="G493" s="23" t="e">
        <f ca="1">_xludf.BETA.INV(W493,'04_PSA_INPUTS'!H10,'04_PSA_INPUTS'!I10)</f>
        <v>#NAME?</v>
      </c>
      <c r="H493" s="23" t="e">
        <f ca="1">_xludf.BETA.INV(X493,'04_PSA_INPUTS'!H11,'04_PSA_INPUTS'!I11)</f>
        <v>#NAME?</v>
      </c>
      <c r="I493" s="27" t="e">
        <f ca="1">D493+B493*F493+'01_INPUTS'!B20</f>
        <v>#NAME?</v>
      </c>
      <c r="J493" s="27" t="e">
        <f ca="1">E493+C493*F493+'01_INPUTS'!B21</f>
        <v>#NAME?</v>
      </c>
      <c r="K493" s="27" t="e">
        <f t="shared" ca="1" si="42"/>
        <v>#NAME?</v>
      </c>
      <c r="L493" s="23" t="e">
        <f t="shared" ca="1" si="43"/>
        <v>#NAME?</v>
      </c>
      <c r="M493" s="23" t="e">
        <f t="shared" ca="1" si="44"/>
        <v>#NAME?</v>
      </c>
      <c r="N493" s="23" t="e">
        <f t="shared" ca="1" si="45"/>
        <v>#NAME?</v>
      </c>
      <c r="O493" s="27" t="e">
        <f t="shared" ca="1" si="46"/>
        <v>#NAME?</v>
      </c>
      <c r="P493" s="27" t="e">
        <f ca="1">'01_INPUTS'!B9*N493-K493</f>
        <v>#NAME?</v>
      </c>
      <c r="Q493" s="1" t="e">
        <f t="shared" ca="1" si="47"/>
        <v>#NAME?</v>
      </c>
      <c r="R493" s="28">
        <v>0.56735086883418262</v>
      </c>
      <c r="S493" s="28">
        <v>0.55660097440704703</v>
      </c>
      <c r="T493" s="28">
        <v>0.73425366077572107</v>
      </c>
      <c r="U493" s="28">
        <v>0.66920477920211852</v>
      </c>
      <c r="V493" s="28">
        <v>2.1223474759608507E-3</v>
      </c>
      <c r="W493" s="28">
        <v>2.5923013919964433E-2</v>
      </c>
      <c r="X493" s="28">
        <v>0.86294278292916715</v>
      </c>
    </row>
    <row r="494" spans="1:24" ht="13.9">
      <c r="A494" s="1">
        <v>493</v>
      </c>
      <c r="B494" s="23" t="e">
        <f ca="1">_xludf.BETA.INV(R494,'04_PSA_INPUTS'!H5,'04_PSA_INPUTS'!I5)</f>
        <v>#NAME?</v>
      </c>
      <c r="C494" s="23" t="e">
        <f ca="1">_xludf.BETA.INV(S494,'04_PSA_INPUTS'!H6,'04_PSA_INPUTS'!I6)</f>
        <v>#NAME?</v>
      </c>
      <c r="D494" s="27" t="e">
        <f ca="1">_xludf.GAMMA.INV(T494,'04_PSA_INPUTS'!H7,'04_PSA_INPUTS'!I7)</f>
        <v>#NAME?</v>
      </c>
      <c r="E494" s="27" t="e">
        <f ca="1">_xludf.GAMMA.INV(U494,'04_PSA_INPUTS'!H8,'04_PSA_INPUTS'!I8)</f>
        <v>#NAME?</v>
      </c>
      <c r="F494" s="27" t="e">
        <f ca="1">_xludf.GAMMA.INV(V494,'04_PSA_INPUTS'!H9,'04_PSA_INPUTS'!I9)</f>
        <v>#NAME?</v>
      </c>
      <c r="G494" s="23" t="e">
        <f ca="1">_xludf.BETA.INV(W494,'04_PSA_INPUTS'!H10,'04_PSA_INPUTS'!I10)</f>
        <v>#NAME?</v>
      </c>
      <c r="H494" s="23" t="e">
        <f ca="1">_xludf.BETA.INV(X494,'04_PSA_INPUTS'!H11,'04_PSA_INPUTS'!I11)</f>
        <v>#NAME?</v>
      </c>
      <c r="I494" s="27" t="e">
        <f ca="1">D494+B494*F494+'01_INPUTS'!B20</f>
        <v>#NAME?</v>
      </c>
      <c r="J494" s="27" t="e">
        <f ca="1">E494+C494*F494+'01_INPUTS'!B21</f>
        <v>#NAME?</v>
      </c>
      <c r="K494" s="27" t="e">
        <f t="shared" ca="1" si="42"/>
        <v>#NAME?</v>
      </c>
      <c r="L494" s="23" t="e">
        <f t="shared" ca="1" si="43"/>
        <v>#NAME?</v>
      </c>
      <c r="M494" s="23" t="e">
        <f t="shared" ca="1" si="44"/>
        <v>#NAME?</v>
      </c>
      <c r="N494" s="23" t="e">
        <f t="shared" ca="1" si="45"/>
        <v>#NAME?</v>
      </c>
      <c r="O494" s="27" t="e">
        <f t="shared" ca="1" si="46"/>
        <v>#NAME?</v>
      </c>
      <c r="P494" s="27" t="e">
        <f ca="1">'01_INPUTS'!B9*N494-K494</f>
        <v>#NAME?</v>
      </c>
      <c r="Q494" s="1" t="e">
        <f t="shared" ca="1" si="47"/>
        <v>#NAME?</v>
      </c>
      <c r="R494" s="28">
        <v>0.63330158055759966</v>
      </c>
      <c r="S494" s="28">
        <v>0.20985831087455153</v>
      </c>
      <c r="T494" s="28">
        <v>0.77581192879006267</v>
      </c>
      <c r="U494" s="28">
        <v>0.8212853348813951</v>
      </c>
      <c r="V494" s="28">
        <v>0.16656174976378679</v>
      </c>
      <c r="W494" s="28">
        <v>0.95496666105464101</v>
      </c>
      <c r="X494" s="28">
        <v>0.18879825063049793</v>
      </c>
    </row>
    <row r="495" spans="1:24" ht="13.9">
      <c r="A495" s="1">
        <v>494</v>
      </c>
      <c r="B495" s="23" t="e">
        <f ca="1">_xludf.BETA.INV(R495,'04_PSA_INPUTS'!H5,'04_PSA_INPUTS'!I5)</f>
        <v>#NAME?</v>
      </c>
      <c r="C495" s="23" t="e">
        <f ca="1">_xludf.BETA.INV(S495,'04_PSA_INPUTS'!H6,'04_PSA_INPUTS'!I6)</f>
        <v>#NAME?</v>
      </c>
      <c r="D495" s="27" t="e">
        <f ca="1">_xludf.GAMMA.INV(T495,'04_PSA_INPUTS'!H7,'04_PSA_INPUTS'!I7)</f>
        <v>#NAME?</v>
      </c>
      <c r="E495" s="27" t="e">
        <f ca="1">_xludf.GAMMA.INV(U495,'04_PSA_INPUTS'!H8,'04_PSA_INPUTS'!I8)</f>
        <v>#NAME?</v>
      </c>
      <c r="F495" s="27" t="e">
        <f ca="1">_xludf.GAMMA.INV(V495,'04_PSA_INPUTS'!H9,'04_PSA_INPUTS'!I9)</f>
        <v>#NAME?</v>
      </c>
      <c r="G495" s="23" t="e">
        <f ca="1">_xludf.BETA.INV(W495,'04_PSA_INPUTS'!H10,'04_PSA_INPUTS'!I10)</f>
        <v>#NAME?</v>
      </c>
      <c r="H495" s="23" t="e">
        <f ca="1">_xludf.BETA.INV(X495,'04_PSA_INPUTS'!H11,'04_PSA_INPUTS'!I11)</f>
        <v>#NAME?</v>
      </c>
      <c r="I495" s="27" t="e">
        <f ca="1">D495+B495*F495+'01_INPUTS'!B20</f>
        <v>#NAME?</v>
      </c>
      <c r="J495" s="27" t="e">
        <f ca="1">E495+C495*F495+'01_INPUTS'!B21</f>
        <v>#NAME?</v>
      </c>
      <c r="K495" s="27" t="e">
        <f t="shared" ca="1" si="42"/>
        <v>#NAME?</v>
      </c>
      <c r="L495" s="23" t="e">
        <f t="shared" ca="1" si="43"/>
        <v>#NAME?</v>
      </c>
      <c r="M495" s="23" t="e">
        <f t="shared" ca="1" si="44"/>
        <v>#NAME?</v>
      </c>
      <c r="N495" s="23" t="e">
        <f t="shared" ca="1" si="45"/>
        <v>#NAME?</v>
      </c>
      <c r="O495" s="27" t="e">
        <f t="shared" ca="1" si="46"/>
        <v>#NAME?</v>
      </c>
      <c r="P495" s="27" t="e">
        <f ca="1">'01_INPUTS'!B9*N495-K495</f>
        <v>#NAME?</v>
      </c>
      <c r="Q495" s="1" t="e">
        <f t="shared" ca="1" si="47"/>
        <v>#NAME?</v>
      </c>
      <c r="R495" s="28">
        <v>5.7889237068593502E-2</v>
      </c>
      <c r="S495" s="28">
        <v>0.77535130409523845</v>
      </c>
      <c r="T495" s="28">
        <v>0.24152418691664934</v>
      </c>
      <c r="U495" s="28">
        <v>0.90156913921236992</v>
      </c>
      <c r="V495" s="28">
        <v>0.94589514983817935</v>
      </c>
      <c r="W495" s="28">
        <v>0.56065195053815842</v>
      </c>
      <c r="X495" s="28">
        <v>0.67223502160049975</v>
      </c>
    </row>
    <row r="496" spans="1:24" ht="13.9">
      <c r="A496" s="1">
        <v>495</v>
      </c>
      <c r="B496" s="23" t="e">
        <f ca="1">_xludf.BETA.INV(R496,'04_PSA_INPUTS'!H5,'04_PSA_INPUTS'!I5)</f>
        <v>#NAME?</v>
      </c>
      <c r="C496" s="23" t="e">
        <f ca="1">_xludf.BETA.INV(S496,'04_PSA_INPUTS'!H6,'04_PSA_INPUTS'!I6)</f>
        <v>#NAME?</v>
      </c>
      <c r="D496" s="27" t="e">
        <f ca="1">_xludf.GAMMA.INV(T496,'04_PSA_INPUTS'!H7,'04_PSA_INPUTS'!I7)</f>
        <v>#NAME?</v>
      </c>
      <c r="E496" s="27" t="e">
        <f ca="1">_xludf.GAMMA.INV(U496,'04_PSA_INPUTS'!H8,'04_PSA_INPUTS'!I8)</f>
        <v>#NAME?</v>
      </c>
      <c r="F496" s="27" t="e">
        <f ca="1">_xludf.GAMMA.INV(V496,'04_PSA_INPUTS'!H9,'04_PSA_INPUTS'!I9)</f>
        <v>#NAME?</v>
      </c>
      <c r="G496" s="23" t="e">
        <f ca="1">_xludf.BETA.INV(W496,'04_PSA_INPUTS'!H10,'04_PSA_INPUTS'!I10)</f>
        <v>#NAME?</v>
      </c>
      <c r="H496" s="23" t="e">
        <f ca="1">_xludf.BETA.INV(X496,'04_PSA_INPUTS'!H11,'04_PSA_INPUTS'!I11)</f>
        <v>#NAME?</v>
      </c>
      <c r="I496" s="27" t="e">
        <f ca="1">D496+B496*F496+'01_INPUTS'!B20</f>
        <v>#NAME?</v>
      </c>
      <c r="J496" s="27" t="e">
        <f ca="1">E496+C496*F496+'01_INPUTS'!B21</f>
        <v>#NAME?</v>
      </c>
      <c r="K496" s="27" t="e">
        <f t="shared" ca="1" si="42"/>
        <v>#NAME?</v>
      </c>
      <c r="L496" s="23" t="e">
        <f t="shared" ca="1" si="43"/>
        <v>#NAME?</v>
      </c>
      <c r="M496" s="23" t="e">
        <f t="shared" ca="1" si="44"/>
        <v>#NAME?</v>
      </c>
      <c r="N496" s="23" t="e">
        <f t="shared" ca="1" si="45"/>
        <v>#NAME?</v>
      </c>
      <c r="O496" s="27" t="e">
        <f t="shared" ca="1" si="46"/>
        <v>#NAME?</v>
      </c>
      <c r="P496" s="27" t="e">
        <f ca="1">'01_INPUTS'!B9*N496-K496</f>
        <v>#NAME?</v>
      </c>
      <c r="Q496" s="1" t="e">
        <f t="shared" ca="1" si="47"/>
        <v>#NAME?</v>
      </c>
      <c r="R496" s="28">
        <v>0.23339401325210929</v>
      </c>
      <c r="S496" s="28">
        <v>0.50919864070601761</v>
      </c>
      <c r="T496" s="28">
        <v>0.58705100510269403</v>
      </c>
      <c r="U496" s="28">
        <v>0.89712665323168039</v>
      </c>
      <c r="V496" s="28">
        <v>0.87993188621476293</v>
      </c>
      <c r="W496" s="28">
        <v>0.44606468267738819</v>
      </c>
      <c r="X496" s="28">
        <v>0.44083062605932355</v>
      </c>
    </row>
    <row r="497" spans="1:24" ht="13.9">
      <c r="A497" s="1">
        <v>496</v>
      </c>
      <c r="B497" s="23" t="e">
        <f ca="1">_xludf.BETA.INV(R497,'04_PSA_INPUTS'!H5,'04_PSA_INPUTS'!I5)</f>
        <v>#NAME?</v>
      </c>
      <c r="C497" s="23" t="e">
        <f ca="1">_xludf.BETA.INV(S497,'04_PSA_INPUTS'!H6,'04_PSA_INPUTS'!I6)</f>
        <v>#NAME?</v>
      </c>
      <c r="D497" s="27" t="e">
        <f ca="1">_xludf.GAMMA.INV(T497,'04_PSA_INPUTS'!H7,'04_PSA_INPUTS'!I7)</f>
        <v>#NAME?</v>
      </c>
      <c r="E497" s="27" t="e">
        <f ca="1">_xludf.GAMMA.INV(U497,'04_PSA_INPUTS'!H8,'04_PSA_INPUTS'!I8)</f>
        <v>#NAME?</v>
      </c>
      <c r="F497" s="27" t="e">
        <f ca="1">_xludf.GAMMA.INV(V497,'04_PSA_INPUTS'!H9,'04_PSA_INPUTS'!I9)</f>
        <v>#NAME?</v>
      </c>
      <c r="G497" s="23" t="e">
        <f ca="1">_xludf.BETA.INV(W497,'04_PSA_INPUTS'!H10,'04_PSA_INPUTS'!I10)</f>
        <v>#NAME?</v>
      </c>
      <c r="H497" s="23" t="e">
        <f ca="1">_xludf.BETA.INV(X497,'04_PSA_INPUTS'!H11,'04_PSA_INPUTS'!I11)</f>
        <v>#NAME?</v>
      </c>
      <c r="I497" s="27" t="e">
        <f ca="1">D497+B497*F497+'01_INPUTS'!B20</f>
        <v>#NAME?</v>
      </c>
      <c r="J497" s="27" t="e">
        <f ca="1">E497+C497*F497+'01_INPUTS'!B21</f>
        <v>#NAME?</v>
      </c>
      <c r="K497" s="27" t="e">
        <f t="shared" ca="1" si="42"/>
        <v>#NAME?</v>
      </c>
      <c r="L497" s="23" t="e">
        <f t="shared" ca="1" si="43"/>
        <v>#NAME?</v>
      </c>
      <c r="M497" s="23" t="e">
        <f t="shared" ca="1" si="44"/>
        <v>#NAME?</v>
      </c>
      <c r="N497" s="23" t="e">
        <f t="shared" ca="1" si="45"/>
        <v>#NAME?</v>
      </c>
      <c r="O497" s="27" t="e">
        <f t="shared" ca="1" si="46"/>
        <v>#NAME?</v>
      </c>
      <c r="P497" s="27" t="e">
        <f ca="1">'01_INPUTS'!B9*N497-K497</f>
        <v>#NAME?</v>
      </c>
      <c r="Q497" s="1" t="e">
        <f t="shared" ca="1" si="47"/>
        <v>#NAME?</v>
      </c>
      <c r="R497" s="28">
        <v>0.13952315435744822</v>
      </c>
      <c r="S497" s="28">
        <v>0.48247975553385913</v>
      </c>
      <c r="T497" s="28">
        <v>0.97032752609811723</v>
      </c>
      <c r="U497" s="28">
        <v>0.14959236956201494</v>
      </c>
      <c r="V497" s="28">
        <v>0.19454785762354732</v>
      </c>
      <c r="W497" s="28">
        <v>0.17307486734353006</v>
      </c>
      <c r="X497" s="28">
        <v>0.74743454484269023</v>
      </c>
    </row>
    <row r="498" spans="1:24" ht="13.9">
      <c r="A498" s="1">
        <v>497</v>
      </c>
      <c r="B498" s="23" t="e">
        <f ca="1">_xludf.BETA.INV(R498,'04_PSA_INPUTS'!H5,'04_PSA_INPUTS'!I5)</f>
        <v>#NAME?</v>
      </c>
      <c r="C498" s="23" t="e">
        <f ca="1">_xludf.BETA.INV(S498,'04_PSA_INPUTS'!H6,'04_PSA_INPUTS'!I6)</f>
        <v>#NAME?</v>
      </c>
      <c r="D498" s="27" t="e">
        <f ca="1">_xludf.GAMMA.INV(T498,'04_PSA_INPUTS'!H7,'04_PSA_INPUTS'!I7)</f>
        <v>#NAME?</v>
      </c>
      <c r="E498" s="27" t="e">
        <f ca="1">_xludf.GAMMA.INV(U498,'04_PSA_INPUTS'!H8,'04_PSA_INPUTS'!I8)</f>
        <v>#NAME?</v>
      </c>
      <c r="F498" s="27" t="e">
        <f ca="1">_xludf.GAMMA.INV(V498,'04_PSA_INPUTS'!H9,'04_PSA_INPUTS'!I9)</f>
        <v>#NAME?</v>
      </c>
      <c r="G498" s="23" t="e">
        <f ca="1">_xludf.BETA.INV(W498,'04_PSA_INPUTS'!H10,'04_PSA_INPUTS'!I10)</f>
        <v>#NAME?</v>
      </c>
      <c r="H498" s="23" t="e">
        <f ca="1">_xludf.BETA.INV(X498,'04_PSA_INPUTS'!H11,'04_PSA_INPUTS'!I11)</f>
        <v>#NAME?</v>
      </c>
      <c r="I498" s="27" t="e">
        <f ca="1">D498+B498*F498+'01_INPUTS'!B20</f>
        <v>#NAME?</v>
      </c>
      <c r="J498" s="27" t="e">
        <f ca="1">E498+C498*F498+'01_INPUTS'!B21</f>
        <v>#NAME?</v>
      </c>
      <c r="K498" s="27" t="e">
        <f t="shared" ca="1" si="42"/>
        <v>#NAME?</v>
      </c>
      <c r="L498" s="23" t="e">
        <f t="shared" ca="1" si="43"/>
        <v>#NAME?</v>
      </c>
      <c r="M498" s="23" t="e">
        <f t="shared" ca="1" si="44"/>
        <v>#NAME?</v>
      </c>
      <c r="N498" s="23" t="e">
        <f t="shared" ca="1" si="45"/>
        <v>#NAME?</v>
      </c>
      <c r="O498" s="27" t="e">
        <f t="shared" ca="1" si="46"/>
        <v>#NAME?</v>
      </c>
      <c r="P498" s="27" t="e">
        <f ca="1">'01_INPUTS'!B9*N498-K498</f>
        <v>#NAME?</v>
      </c>
      <c r="Q498" s="1" t="e">
        <f t="shared" ca="1" si="47"/>
        <v>#NAME?</v>
      </c>
      <c r="R498" s="28">
        <v>0.2661377873737365</v>
      </c>
      <c r="S498" s="28">
        <v>0.27651974093168974</v>
      </c>
      <c r="T498" s="28">
        <v>0.7083651281427592</v>
      </c>
      <c r="U498" s="28">
        <v>2.2307194303721189E-3</v>
      </c>
      <c r="V498" s="28">
        <v>0.36944215418770909</v>
      </c>
      <c r="W498" s="28">
        <v>0.49647962627932429</v>
      </c>
      <c r="X498" s="28">
        <v>0.7248292313888669</v>
      </c>
    </row>
    <row r="499" spans="1:24" ht="13.9">
      <c r="A499" s="1">
        <v>498</v>
      </c>
      <c r="B499" s="23" t="e">
        <f ca="1">_xludf.BETA.INV(R499,'04_PSA_INPUTS'!H5,'04_PSA_INPUTS'!I5)</f>
        <v>#NAME?</v>
      </c>
      <c r="C499" s="23" t="e">
        <f ca="1">_xludf.BETA.INV(S499,'04_PSA_INPUTS'!H6,'04_PSA_INPUTS'!I6)</f>
        <v>#NAME?</v>
      </c>
      <c r="D499" s="27" t="e">
        <f ca="1">_xludf.GAMMA.INV(T499,'04_PSA_INPUTS'!H7,'04_PSA_INPUTS'!I7)</f>
        <v>#NAME?</v>
      </c>
      <c r="E499" s="27" t="e">
        <f ca="1">_xludf.GAMMA.INV(U499,'04_PSA_INPUTS'!H8,'04_PSA_INPUTS'!I8)</f>
        <v>#NAME?</v>
      </c>
      <c r="F499" s="27" t="e">
        <f ca="1">_xludf.GAMMA.INV(V499,'04_PSA_INPUTS'!H9,'04_PSA_INPUTS'!I9)</f>
        <v>#NAME?</v>
      </c>
      <c r="G499" s="23" t="e">
        <f ca="1">_xludf.BETA.INV(W499,'04_PSA_INPUTS'!H10,'04_PSA_INPUTS'!I10)</f>
        <v>#NAME?</v>
      </c>
      <c r="H499" s="23" t="e">
        <f ca="1">_xludf.BETA.INV(X499,'04_PSA_INPUTS'!H11,'04_PSA_INPUTS'!I11)</f>
        <v>#NAME?</v>
      </c>
      <c r="I499" s="27" t="e">
        <f ca="1">D499+B499*F499+'01_INPUTS'!B20</f>
        <v>#NAME?</v>
      </c>
      <c r="J499" s="27" t="e">
        <f ca="1">E499+C499*F499+'01_INPUTS'!B21</f>
        <v>#NAME?</v>
      </c>
      <c r="K499" s="27" t="e">
        <f t="shared" ca="1" si="42"/>
        <v>#NAME?</v>
      </c>
      <c r="L499" s="23" t="e">
        <f t="shared" ca="1" si="43"/>
        <v>#NAME?</v>
      </c>
      <c r="M499" s="23" t="e">
        <f t="shared" ca="1" si="44"/>
        <v>#NAME?</v>
      </c>
      <c r="N499" s="23" t="e">
        <f t="shared" ca="1" si="45"/>
        <v>#NAME?</v>
      </c>
      <c r="O499" s="27" t="e">
        <f t="shared" ca="1" si="46"/>
        <v>#NAME?</v>
      </c>
      <c r="P499" s="27" t="e">
        <f ca="1">'01_INPUTS'!B9*N499-K499</f>
        <v>#NAME?</v>
      </c>
      <c r="Q499" s="1" t="e">
        <f t="shared" ca="1" si="47"/>
        <v>#NAME?</v>
      </c>
      <c r="R499" s="28">
        <v>0.31628892384469509</v>
      </c>
      <c r="S499" s="28">
        <v>0.94871646887622774</v>
      </c>
      <c r="T499" s="28">
        <v>0.58671147050336003</v>
      </c>
      <c r="U499" s="28">
        <v>0.71444464381784201</v>
      </c>
      <c r="V499" s="28">
        <v>0.12754676654003561</v>
      </c>
      <c r="W499" s="28">
        <v>0.36762648890726268</v>
      </c>
      <c r="X499" s="28">
        <v>0.15652656881138682</v>
      </c>
    </row>
    <row r="500" spans="1:24" ht="13.9">
      <c r="A500" s="1">
        <v>499</v>
      </c>
      <c r="B500" s="23" t="e">
        <f ca="1">_xludf.BETA.INV(R500,'04_PSA_INPUTS'!H5,'04_PSA_INPUTS'!I5)</f>
        <v>#NAME?</v>
      </c>
      <c r="C500" s="23" t="e">
        <f ca="1">_xludf.BETA.INV(S500,'04_PSA_INPUTS'!H6,'04_PSA_INPUTS'!I6)</f>
        <v>#NAME?</v>
      </c>
      <c r="D500" s="27" t="e">
        <f ca="1">_xludf.GAMMA.INV(T500,'04_PSA_INPUTS'!H7,'04_PSA_INPUTS'!I7)</f>
        <v>#NAME?</v>
      </c>
      <c r="E500" s="27" t="e">
        <f ca="1">_xludf.GAMMA.INV(U500,'04_PSA_INPUTS'!H8,'04_PSA_INPUTS'!I8)</f>
        <v>#NAME?</v>
      </c>
      <c r="F500" s="27" t="e">
        <f ca="1">_xludf.GAMMA.INV(V500,'04_PSA_INPUTS'!H9,'04_PSA_INPUTS'!I9)</f>
        <v>#NAME?</v>
      </c>
      <c r="G500" s="23" t="e">
        <f ca="1">_xludf.BETA.INV(W500,'04_PSA_INPUTS'!H10,'04_PSA_INPUTS'!I10)</f>
        <v>#NAME?</v>
      </c>
      <c r="H500" s="23" t="e">
        <f ca="1">_xludf.BETA.INV(X500,'04_PSA_INPUTS'!H11,'04_PSA_INPUTS'!I11)</f>
        <v>#NAME?</v>
      </c>
      <c r="I500" s="27" t="e">
        <f ca="1">D500+B500*F500+'01_INPUTS'!B20</f>
        <v>#NAME?</v>
      </c>
      <c r="J500" s="27" t="e">
        <f ca="1">E500+C500*F500+'01_INPUTS'!B21</f>
        <v>#NAME?</v>
      </c>
      <c r="K500" s="27" t="e">
        <f t="shared" ca="1" si="42"/>
        <v>#NAME?</v>
      </c>
      <c r="L500" s="23" t="e">
        <f t="shared" ca="1" si="43"/>
        <v>#NAME?</v>
      </c>
      <c r="M500" s="23" t="e">
        <f t="shared" ca="1" si="44"/>
        <v>#NAME?</v>
      </c>
      <c r="N500" s="23" t="e">
        <f t="shared" ca="1" si="45"/>
        <v>#NAME?</v>
      </c>
      <c r="O500" s="27" t="e">
        <f t="shared" ca="1" si="46"/>
        <v>#NAME?</v>
      </c>
      <c r="P500" s="27" t="e">
        <f ca="1">'01_INPUTS'!B9*N500-K500</f>
        <v>#NAME?</v>
      </c>
      <c r="Q500" s="1" t="e">
        <f t="shared" ca="1" si="47"/>
        <v>#NAME?</v>
      </c>
      <c r="R500" s="28">
        <v>0.81455473881214857</v>
      </c>
      <c r="S500" s="28">
        <v>0.99179099872708321</v>
      </c>
      <c r="T500" s="28">
        <v>0.53346247598528862</v>
      </c>
      <c r="U500" s="28">
        <v>0.94844375946559012</v>
      </c>
      <c r="V500" s="28">
        <v>0.95491107809357345</v>
      </c>
      <c r="W500" s="28">
        <v>0.70553199923597276</v>
      </c>
      <c r="X500" s="28">
        <v>1.8205908127129078E-3</v>
      </c>
    </row>
    <row r="501" spans="1:24" ht="13.9">
      <c r="A501" s="1">
        <v>500</v>
      </c>
      <c r="B501" s="23" t="e">
        <f ca="1">_xludf.BETA.INV(R501,'04_PSA_INPUTS'!H5,'04_PSA_INPUTS'!I5)</f>
        <v>#NAME?</v>
      </c>
      <c r="C501" s="23" t="e">
        <f ca="1">_xludf.BETA.INV(S501,'04_PSA_INPUTS'!H6,'04_PSA_INPUTS'!I6)</f>
        <v>#NAME?</v>
      </c>
      <c r="D501" s="27" t="e">
        <f ca="1">_xludf.GAMMA.INV(T501,'04_PSA_INPUTS'!H7,'04_PSA_INPUTS'!I7)</f>
        <v>#NAME?</v>
      </c>
      <c r="E501" s="27" t="e">
        <f ca="1">_xludf.GAMMA.INV(U501,'04_PSA_INPUTS'!H8,'04_PSA_INPUTS'!I8)</f>
        <v>#NAME?</v>
      </c>
      <c r="F501" s="27" t="e">
        <f ca="1">_xludf.GAMMA.INV(V501,'04_PSA_INPUTS'!H9,'04_PSA_INPUTS'!I9)</f>
        <v>#NAME?</v>
      </c>
      <c r="G501" s="23" t="e">
        <f ca="1">_xludf.BETA.INV(W501,'04_PSA_INPUTS'!H10,'04_PSA_INPUTS'!I10)</f>
        <v>#NAME?</v>
      </c>
      <c r="H501" s="23" t="e">
        <f ca="1">_xludf.BETA.INV(X501,'04_PSA_INPUTS'!H11,'04_PSA_INPUTS'!I11)</f>
        <v>#NAME?</v>
      </c>
      <c r="I501" s="27" t="e">
        <f ca="1">D501+B501*F501+'01_INPUTS'!B20</f>
        <v>#NAME?</v>
      </c>
      <c r="J501" s="27" t="e">
        <f ca="1">E501+C501*F501+'01_INPUTS'!B21</f>
        <v>#NAME?</v>
      </c>
      <c r="K501" s="27" t="e">
        <f t="shared" ca="1" si="42"/>
        <v>#NAME?</v>
      </c>
      <c r="L501" s="23" t="e">
        <f t="shared" ca="1" si="43"/>
        <v>#NAME?</v>
      </c>
      <c r="M501" s="23" t="e">
        <f t="shared" ca="1" si="44"/>
        <v>#NAME?</v>
      </c>
      <c r="N501" s="23" t="e">
        <f t="shared" ca="1" si="45"/>
        <v>#NAME?</v>
      </c>
      <c r="O501" s="27" t="e">
        <f t="shared" ca="1" si="46"/>
        <v>#NAME?</v>
      </c>
      <c r="P501" s="27" t="e">
        <f ca="1">'01_INPUTS'!B9*N501-K501</f>
        <v>#NAME?</v>
      </c>
      <c r="Q501" s="1" t="e">
        <f t="shared" ca="1" si="47"/>
        <v>#NAME?</v>
      </c>
      <c r="R501" s="28">
        <v>0.88942232495173812</v>
      </c>
      <c r="S501" s="28">
        <v>0.11306898645125329</v>
      </c>
      <c r="T501" s="28">
        <v>0.78442589659243822</v>
      </c>
      <c r="U501" s="28">
        <v>0.63377194874919951</v>
      </c>
      <c r="V501" s="28">
        <v>0.34312330489046872</v>
      </c>
      <c r="W501" s="28">
        <v>0.49626923492178321</v>
      </c>
      <c r="X501" s="28">
        <v>0.44560933299362659</v>
      </c>
    </row>
    <row r="502" spans="1:24" ht="13.9">
      <c r="A502" s="1">
        <v>501</v>
      </c>
      <c r="B502" s="23" t="e">
        <f ca="1">_xludf.BETA.INV(R502,'04_PSA_INPUTS'!H5,'04_PSA_INPUTS'!I5)</f>
        <v>#NAME?</v>
      </c>
      <c r="C502" s="23" t="e">
        <f ca="1">_xludf.BETA.INV(S502,'04_PSA_INPUTS'!H6,'04_PSA_INPUTS'!I6)</f>
        <v>#NAME?</v>
      </c>
      <c r="D502" s="27" t="e">
        <f ca="1">_xludf.GAMMA.INV(T502,'04_PSA_INPUTS'!H7,'04_PSA_INPUTS'!I7)</f>
        <v>#NAME?</v>
      </c>
      <c r="E502" s="27" t="e">
        <f ca="1">_xludf.GAMMA.INV(U502,'04_PSA_INPUTS'!H8,'04_PSA_INPUTS'!I8)</f>
        <v>#NAME?</v>
      </c>
      <c r="F502" s="27" t="e">
        <f ca="1">_xludf.GAMMA.INV(V502,'04_PSA_INPUTS'!H9,'04_PSA_INPUTS'!I9)</f>
        <v>#NAME?</v>
      </c>
      <c r="G502" s="23" t="e">
        <f ca="1">_xludf.BETA.INV(W502,'04_PSA_INPUTS'!H10,'04_PSA_INPUTS'!I10)</f>
        <v>#NAME?</v>
      </c>
      <c r="H502" s="23" t="e">
        <f ca="1">_xludf.BETA.INV(X502,'04_PSA_INPUTS'!H11,'04_PSA_INPUTS'!I11)</f>
        <v>#NAME?</v>
      </c>
      <c r="I502" s="27" t="e">
        <f ca="1">D502+B502*F502+'01_INPUTS'!B20</f>
        <v>#NAME?</v>
      </c>
      <c r="J502" s="27" t="e">
        <f ca="1">E502+C502*F502+'01_INPUTS'!B21</f>
        <v>#NAME?</v>
      </c>
      <c r="K502" s="27" t="e">
        <f t="shared" ca="1" si="42"/>
        <v>#NAME?</v>
      </c>
      <c r="L502" s="23" t="e">
        <f t="shared" ca="1" si="43"/>
        <v>#NAME?</v>
      </c>
      <c r="M502" s="23" t="e">
        <f t="shared" ca="1" si="44"/>
        <v>#NAME?</v>
      </c>
      <c r="N502" s="23" t="e">
        <f t="shared" ca="1" si="45"/>
        <v>#NAME?</v>
      </c>
      <c r="O502" s="27" t="e">
        <f t="shared" ca="1" si="46"/>
        <v>#NAME?</v>
      </c>
      <c r="P502" s="27" t="e">
        <f ca="1">'01_INPUTS'!B9*N502-K502</f>
        <v>#NAME?</v>
      </c>
      <c r="Q502" s="1" t="e">
        <f t="shared" ca="1" si="47"/>
        <v>#NAME?</v>
      </c>
      <c r="R502" s="28">
        <v>0.15330069093033671</v>
      </c>
      <c r="S502" s="28">
        <v>0.50215588905848563</v>
      </c>
      <c r="T502" s="28">
        <v>0.79885614407248795</v>
      </c>
      <c r="U502" s="28">
        <v>0.113837955519557</v>
      </c>
      <c r="V502" s="28">
        <v>0.98892473825253546</v>
      </c>
      <c r="W502" s="28">
        <v>0.27083970955573022</v>
      </c>
      <c r="X502" s="28">
        <v>0.93681390420533717</v>
      </c>
    </row>
    <row r="503" spans="1:24" ht="13.9">
      <c r="A503" s="1">
        <v>502</v>
      </c>
      <c r="B503" s="23" t="e">
        <f ca="1">_xludf.BETA.INV(R503,'04_PSA_INPUTS'!H5,'04_PSA_INPUTS'!I5)</f>
        <v>#NAME?</v>
      </c>
      <c r="C503" s="23" t="e">
        <f ca="1">_xludf.BETA.INV(S503,'04_PSA_INPUTS'!H6,'04_PSA_INPUTS'!I6)</f>
        <v>#NAME?</v>
      </c>
      <c r="D503" s="27" t="e">
        <f ca="1">_xludf.GAMMA.INV(T503,'04_PSA_INPUTS'!H7,'04_PSA_INPUTS'!I7)</f>
        <v>#NAME?</v>
      </c>
      <c r="E503" s="27" t="e">
        <f ca="1">_xludf.GAMMA.INV(U503,'04_PSA_INPUTS'!H8,'04_PSA_INPUTS'!I8)</f>
        <v>#NAME?</v>
      </c>
      <c r="F503" s="27" t="e">
        <f ca="1">_xludf.GAMMA.INV(V503,'04_PSA_INPUTS'!H9,'04_PSA_INPUTS'!I9)</f>
        <v>#NAME?</v>
      </c>
      <c r="G503" s="23" t="e">
        <f ca="1">_xludf.BETA.INV(W503,'04_PSA_INPUTS'!H10,'04_PSA_INPUTS'!I10)</f>
        <v>#NAME?</v>
      </c>
      <c r="H503" s="23" t="e">
        <f ca="1">_xludf.BETA.INV(X503,'04_PSA_INPUTS'!H11,'04_PSA_INPUTS'!I11)</f>
        <v>#NAME?</v>
      </c>
      <c r="I503" s="27" t="e">
        <f ca="1">D503+B503*F503+'01_INPUTS'!B20</f>
        <v>#NAME?</v>
      </c>
      <c r="J503" s="27" t="e">
        <f ca="1">E503+C503*F503+'01_INPUTS'!B21</f>
        <v>#NAME?</v>
      </c>
      <c r="K503" s="27" t="e">
        <f t="shared" ca="1" si="42"/>
        <v>#NAME?</v>
      </c>
      <c r="L503" s="23" t="e">
        <f t="shared" ca="1" si="43"/>
        <v>#NAME?</v>
      </c>
      <c r="M503" s="23" t="e">
        <f t="shared" ca="1" si="44"/>
        <v>#NAME?</v>
      </c>
      <c r="N503" s="23" t="e">
        <f t="shared" ca="1" si="45"/>
        <v>#NAME?</v>
      </c>
      <c r="O503" s="27" t="e">
        <f t="shared" ca="1" si="46"/>
        <v>#NAME?</v>
      </c>
      <c r="P503" s="27" t="e">
        <f ca="1">'01_INPUTS'!B9*N503-K503</f>
        <v>#NAME?</v>
      </c>
      <c r="Q503" s="1" t="e">
        <f t="shared" ca="1" si="47"/>
        <v>#NAME?</v>
      </c>
      <c r="R503" s="28">
        <v>0.11855008034035563</v>
      </c>
      <c r="S503" s="28">
        <v>0.73481472069397569</v>
      </c>
      <c r="T503" s="28">
        <v>0.84846885781735182</v>
      </c>
      <c r="U503" s="28">
        <v>0.31286394060589373</v>
      </c>
      <c r="V503" s="28">
        <v>0.13381844945251942</v>
      </c>
      <c r="W503" s="28">
        <v>0.84619341581128538</v>
      </c>
      <c r="X503" s="28">
        <v>0.96997134550474584</v>
      </c>
    </row>
    <row r="504" spans="1:24" ht="13.9">
      <c r="A504" s="1">
        <v>503</v>
      </c>
      <c r="B504" s="23" t="e">
        <f ca="1">_xludf.BETA.INV(R504,'04_PSA_INPUTS'!H5,'04_PSA_INPUTS'!I5)</f>
        <v>#NAME?</v>
      </c>
      <c r="C504" s="23" t="e">
        <f ca="1">_xludf.BETA.INV(S504,'04_PSA_INPUTS'!H6,'04_PSA_INPUTS'!I6)</f>
        <v>#NAME?</v>
      </c>
      <c r="D504" s="27" t="e">
        <f ca="1">_xludf.GAMMA.INV(T504,'04_PSA_INPUTS'!H7,'04_PSA_INPUTS'!I7)</f>
        <v>#NAME?</v>
      </c>
      <c r="E504" s="27" t="e">
        <f ca="1">_xludf.GAMMA.INV(U504,'04_PSA_INPUTS'!H8,'04_PSA_INPUTS'!I8)</f>
        <v>#NAME?</v>
      </c>
      <c r="F504" s="27" t="e">
        <f ca="1">_xludf.GAMMA.INV(V504,'04_PSA_INPUTS'!H9,'04_PSA_INPUTS'!I9)</f>
        <v>#NAME?</v>
      </c>
      <c r="G504" s="23" t="e">
        <f ca="1">_xludf.BETA.INV(W504,'04_PSA_INPUTS'!H10,'04_PSA_INPUTS'!I10)</f>
        <v>#NAME?</v>
      </c>
      <c r="H504" s="23" t="e">
        <f ca="1">_xludf.BETA.INV(X504,'04_PSA_INPUTS'!H11,'04_PSA_INPUTS'!I11)</f>
        <v>#NAME?</v>
      </c>
      <c r="I504" s="27" t="e">
        <f ca="1">D504+B504*F504+'01_INPUTS'!B20</f>
        <v>#NAME?</v>
      </c>
      <c r="J504" s="27" t="e">
        <f ca="1">E504+C504*F504+'01_INPUTS'!B21</f>
        <v>#NAME?</v>
      </c>
      <c r="K504" s="27" t="e">
        <f t="shared" ca="1" si="42"/>
        <v>#NAME?</v>
      </c>
      <c r="L504" s="23" t="e">
        <f t="shared" ca="1" si="43"/>
        <v>#NAME?</v>
      </c>
      <c r="M504" s="23" t="e">
        <f t="shared" ca="1" si="44"/>
        <v>#NAME?</v>
      </c>
      <c r="N504" s="23" t="e">
        <f t="shared" ca="1" si="45"/>
        <v>#NAME?</v>
      </c>
      <c r="O504" s="27" t="e">
        <f t="shared" ca="1" si="46"/>
        <v>#NAME?</v>
      </c>
      <c r="P504" s="27" t="e">
        <f ca="1">'01_INPUTS'!B9*N504-K504</f>
        <v>#NAME?</v>
      </c>
      <c r="Q504" s="1" t="e">
        <f t="shared" ca="1" si="47"/>
        <v>#NAME?</v>
      </c>
      <c r="R504" s="28">
        <v>0.56494780397042632</v>
      </c>
      <c r="S504" s="28">
        <v>0.90113975503481925</v>
      </c>
      <c r="T504" s="28">
        <v>0.31657923245802522</v>
      </c>
      <c r="U504" s="28">
        <v>0.64820972364395857</v>
      </c>
      <c r="V504" s="28">
        <v>0.73290059971623123</v>
      </c>
      <c r="W504" s="28">
        <v>0.5010093420278281</v>
      </c>
      <c r="X504" s="28">
        <v>0.82779644196853042</v>
      </c>
    </row>
    <row r="505" spans="1:24" ht="13.9">
      <c r="A505" s="1">
        <v>504</v>
      </c>
      <c r="B505" s="23" t="e">
        <f ca="1">_xludf.BETA.INV(R505,'04_PSA_INPUTS'!H5,'04_PSA_INPUTS'!I5)</f>
        <v>#NAME?</v>
      </c>
      <c r="C505" s="23" t="e">
        <f ca="1">_xludf.BETA.INV(S505,'04_PSA_INPUTS'!H6,'04_PSA_INPUTS'!I6)</f>
        <v>#NAME?</v>
      </c>
      <c r="D505" s="27" t="e">
        <f ca="1">_xludf.GAMMA.INV(T505,'04_PSA_INPUTS'!H7,'04_PSA_INPUTS'!I7)</f>
        <v>#NAME?</v>
      </c>
      <c r="E505" s="27" t="e">
        <f ca="1">_xludf.GAMMA.INV(U505,'04_PSA_INPUTS'!H8,'04_PSA_INPUTS'!I8)</f>
        <v>#NAME?</v>
      </c>
      <c r="F505" s="27" t="e">
        <f ca="1">_xludf.GAMMA.INV(V505,'04_PSA_INPUTS'!H9,'04_PSA_INPUTS'!I9)</f>
        <v>#NAME?</v>
      </c>
      <c r="G505" s="23" t="e">
        <f ca="1">_xludf.BETA.INV(W505,'04_PSA_INPUTS'!H10,'04_PSA_INPUTS'!I10)</f>
        <v>#NAME?</v>
      </c>
      <c r="H505" s="23" t="e">
        <f ca="1">_xludf.BETA.INV(X505,'04_PSA_INPUTS'!H11,'04_PSA_INPUTS'!I11)</f>
        <v>#NAME?</v>
      </c>
      <c r="I505" s="27" t="e">
        <f ca="1">D505+B505*F505+'01_INPUTS'!B20</f>
        <v>#NAME?</v>
      </c>
      <c r="J505" s="27" t="e">
        <f ca="1">E505+C505*F505+'01_INPUTS'!B21</f>
        <v>#NAME?</v>
      </c>
      <c r="K505" s="27" t="e">
        <f t="shared" ca="1" si="42"/>
        <v>#NAME?</v>
      </c>
      <c r="L505" s="23" t="e">
        <f t="shared" ca="1" si="43"/>
        <v>#NAME?</v>
      </c>
      <c r="M505" s="23" t="e">
        <f t="shared" ca="1" si="44"/>
        <v>#NAME?</v>
      </c>
      <c r="N505" s="23" t="e">
        <f t="shared" ca="1" si="45"/>
        <v>#NAME?</v>
      </c>
      <c r="O505" s="27" t="e">
        <f t="shared" ca="1" si="46"/>
        <v>#NAME?</v>
      </c>
      <c r="P505" s="27" t="e">
        <f ca="1">'01_INPUTS'!B9*N505-K505</f>
        <v>#NAME?</v>
      </c>
      <c r="Q505" s="1" t="e">
        <f t="shared" ca="1" si="47"/>
        <v>#NAME?</v>
      </c>
      <c r="R505" s="28">
        <v>0.43299625255167484</v>
      </c>
      <c r="S505" s="28">
        <v>0.44461449584923685</v>
      </c>
      <c r="T505" s="28">
        <v>4.0455640759319067E-2</v>
      </c>
      <c r="U505" s="28">
        <v>0.39229960110969841</v>
      </c>
      <c r="V505" s="28">
        <v>0.28355731698684394</v>
      </c>
      <c r="W505" s="28">
        <v>4.6654254430904984E-2</v>
      </c>
      <c r="X505" s="28">
        <v>0.37909877067431808</v>
      </c>
    </row>
    <row r="506" spans="1:24" ht="13.9">
      <c r="A506" s="1">
        <v>505</v>
      </c>
      <c r="B506" s="23" t="e">
        <f ca="1">_xludf.BETA.INV(R506,'04_PSA_INPUTS'!H5,'04_PSA_INPUTS'!I5)</f>
        <v>#NAME?</v>
      </c>
      <c r="C506" s="23" t="e">
        <f ca="1">_xludf.BETA.INV(S506,'04_PSA_INPUTS'!H6,'04_PSA_INPUTS'!I6)</f>
        <v>#NAME?</v>
      </c>
      <c r="D506" s="27" t="e">
        <f ca="1">_xludf.GAMMA.INV(T506,'04_PSA_INPUTS'!H7,'04_PSA_INPUTS'!I7)</f>
        <v>#NAME?</v>
      </c>
      <c r="E506" s="27" t="e">
        <f ca="1">_xludf.GAMMA.INV(U506,'04_PSA_INPUTS'!H8,'04_PSA_INPUTS'!I8)</f>
        <v>#NAME?</v>
      </c>
      <c r="F506" s="27" t="e">
        <f ca="1">_xludf.GAMMA.INV(V506,'04_PSA_INPUTS'!H9,'04_PSA_INPUTS'!I9)</f>
        <v>#NAME?</v>
      </c>
      <c r="G506" s="23" t="e">
        <f ca="1">_xludf.BETA.INV(W506,'04_PSA_INPUTS'!H10,'04_PSA_INPUTS'!I10)</f>
        <v>#NAME?</v>
      </c>
      <c r="H506" s="23" t="e">
        <f ca="1">_xludf.BETA.INV(X506,'04_PSA_INPUTS'!H11,'04_PSA_INPUTS'!I11)</f>
        <v>#NAME?</v>
      </c>
      <c r="I506" s="27" t="e">
        <f ca="1">D506+B506*F506+'01_INPUTS'!B20</f>
        <v>#NAME?</v>
      </c>
      <c r="J506" s="27" t="e">
        <f ca="1">E506+C506*F506+'01_INPUTS'!B21</f>
        <v>#NAME?</v>
      </c>
      <c r="K506" s="27" t="e">
        <f t="shared" ca="1" si="42"/>
        <v>#NAME?</v>
      </c>
      <c r="L506" s="23" t="e">
        <f t="shared" ca="1" si="43"/>
        <v>#NAME?</v>
      </c>
      <c r="M506" s="23" t="e">
        <f t="shared" ca="1" si="44"/>
        <v>#NAME?</v>
      </c>
      <c r="N506" s="23" t="e">
        <f t="shared" ca="1" si="45"/>
        <v>#NAME?</v>
      </c>
      <c r="O506" s="27" t="e">
        <f t="shared" ca="1" si="46"/>
        <v>#NAME?</v>
      </c>
      <c r="P506" s="27" t="e">
        <f ca="1">'01_INPUTS'!B9*N506-K506</f>
        <v>#NAME?</v>
      </c>
      <c r="Q506" s="1" t="e">
        <f t="shared" ca="1" si="47"/>
        <v>#NAME?</v>
      </c>
      <c r="R506" s="28">
        <v>0.5707404320128262</v>
      </c>
      <c r="S506" s="28">
        <v>0.34144295263104141</v>
      </c>
      <c r="T506" s="28">
        <v>0.60051385685801506</v>
      </c>
      <c r="U506" s="28">
        <v>0.34274338372051716</v>
      </c>
      <c r="V506" s="28">
        <v>0.50077738822437823</v>
      </c>
      <c r="W506" s="28">
        <v>0.57679912145249546</v>
      </c>
      <c r="X506" s="28">
        <v>0.20199893368408084</v>
      </c>
    </row>
    <row r="507" spans="1:24" ht="13.9">
      <c r="A507" s="1">
        <v>506</v>
      </c>
      <c r="B507" s="23" t="e">
        <f ca="1">_xludf.BETA.INV(R507,'04_PSA_INPUTS'!H5,'04_PSA_INPUTS'!I5)</f>
        <v>#NAME?</v>
      </c>
      <c r="C507" s="23" t="e">
        <f ca="1">_xludf.BETA.INV(S507,'04_PSA_INPUTS'!H6,'04_PSA_INPUTS'!I6)</f>
        <v>#NAME?</v>
      </c>
      <c r="D507" s="27" t="e">
        <f ca="1">_xludf.GAMMA.INV(T507,'04_PSA_INPUTS'!H7,'04_PSA_INPUTS'!I7)</f>
        <v>#NAME?</v>
      </c>
      <c r="E507" s="27" t="e">
        <f ca="1">_xludf.GAMMA.INV(U507,'04_PSA_INPUTS'!H8,'04_PSA_INPUTS'!I8)</f>
        <v>#NAME?</v>
      </c>
      <c r="F507" s="27" t="e">
        <f ca="1">_xludf.GAMMA.INV(V507,'04_PSA_INPUTS'!H9,'04_PSA_INPUTS'!I9)</f>
        <v>#NAME?</v>
      </c>
      <c r="G507" s="23" t="e">
        <f ca="1">_xludf.BETA.INV(W507,'04_PSA_INPUTS'!H10,'04_PSA_INPUTS'!I10)</f>
        <v>#NAME?</v>
      </c>
      <c r="H507" s="23" t="e">
        <f ca="1">_xludf.BETA.INV(X507,'04_PSA_INPUTS'!H11,'04_PSA_INPUTS'!I11)</f>
        <v>#NAME?</v>
      </c>
      <c r="I507" s="27" t="e">
        <f ca="1">D507+B507*F507+'01_INPUTS'!B20</f>
        <v>#NAME?</v>
      </c>
      <c r="J507" s="27" t="e">
        <f ca="1">E507+C507*F507+'01_INPUTS'!B21</f>
        <v>#NAME?</v>
      </c>
      <c r="K507" s="27" t="e">
        <f t="shared" ca="1" si="42"/>
        <v>#NAME?</v>
      </c>
      <c r="L507" s="23" t="e">
        <f t="shared" ca="1" si="43"/>
        <v>#NAME?</v>
      </c>
      <c r="M507" s="23" t="e">
        <f t="shared" ca="1" si="44"/>
        <v>#NAME?</v>
      </c>
      <c r="N507" s="23" t="e">
        <f t="shared" ca="1" si="45"/>
        <v>#NAME?</v>
      </c>
      <c r="O507" s="27" t="e">
        <f t="shared" ca="1" si="46"/>
        <v>#NAME?</v>
      </c>
      <c r="P507" s="27" t="e">
        <f ca="1">'01_INPUTS'!B9*N507-K507</f>
        <v>#NAME?</v>
      </c>
      <c r="Q507" s="1" t="e">
        <f t="shared" ca="1" si="47"/>
        <v>#NAME?</v>
      </c>
      <c r="R507" s="28">
        <v>0.47613162570632994</v>
      </c>
      <c r="S507" s="28">
        <v>0.18153365072794259</v>
      </c>
      <c r="T507" s="28">
        <v>0.442540223011747</v>
      </c>
      <c r="U507" s="28">
        <v>3.0340431723743677E-2</v>
      </c>
      <c r="V507" s="28">
        <v>0.88008330506272614</v>
      </c>
      <c r="W507" s="28">
        <v>0.61020945338532329</v>
      </c>
      <c r="X507" s="28">
        <v>0.26708809519186616</v>
      </c>
    </row>
    <row r="508" spans="1:24" ht="13.9">
      <c r="A508" s="1">
        <v>507</v>
      </c>
      <c r="B508" s="23" t="e">
        <f ca="1">_xludf.BETA.INV(R508,'04_PSA_INPUTS'!H5,'04_PSA_INPUTS'!I5)</f>
        <v>#NAME?</v>
      </c>
      <c r="C508" s="23" t="e">
        <f ca="1">_xludf.BETA.INV(S508,'04_PSA_INPUTS'!H6,'04_PSA_INPUTS'!I6)</f>
        <v>#NAME?</v>
      </c>
      <c r="D508" s="27" t="e">
        <f ca="1">_xludf.GAMMA.INV(T508,'04_PSA_INPUTS'!H7,'04_PSA_INPUTS'!I7)</f>
        <v>#NAME?</v>
      </c>
      <c r="E508" s="27" t="e">
        <f ca="1">_xludf.GAMMA.INV(U508,'04_PSA_INPUTS'!H8,'04_PSA_INPUTS'!I8)</f>
        <v>#NAME?</v>
      </c>
      <c r="F508" s="27" t="e">
        <f ca="1">_xludf.GAMMA.INV(V508,'04_PSA_INPUTS'!H9,'04_PSA_INPUTS'!I9)</f>
        <v>#NAME?</v>
      </c>
      <c r="G508" s="23" t="e">
        <f ca="1">_xludf.BETA.INV(W508,'04_PSA_INPUTS'!H10,'04_PSA_INPUTS'!I10)</f>
        <v>#NAME?</v>
      </c>
      <c r="H508" s="23" t="e">
        <f ca="1">_xludf.BETA.INV(X508,'04_PSA_INPUTS'!H11,'04_PSA_INPUTS'!I11)</f>
        <v>#NAME?</v>
      </c>
      <c r="I508" s="27" t="e">
        <f ca="1">D508+B508*F508+'01_INPUTS'!B20</f>
        <v>#NAME?</v>
      </c>
      <c r="J508" s="27" t="e">
        <f ca="1">E508+C508*F508+'01_INPUTS'!B21</f>
        <v>#NAME?</v>
      </c>
      <c r="K508" s="27" t="e">
        <f t="shared" ca="1" si="42"/>
        <v>#NAME?</v>
      </c>
      <c r="L508" s="23" t="e">
        <f t="shared" ca="1" si="43"/>
        <v>#NAME?</v>
      </c>
      <c r="M508" s="23" t="e">
        <f t="shared" ca="1" si="44"/>
        <v>#NAME?</v>
      </c>
      <c r="N508" s="23" t="e">
        <f t="shared" ca="1" si="45"/>
        <v>#NAME?</v>
      </c>
      <c r="O508" s="27" t="e">
        <f t="shared" ca="1" si="46"/>
        <v>#NAME?</v>
      </c>
      <c r="P508" s="27" t="e">
        <f ca="1">'01_INPUTS'!B9*N508-K508</f>
        <v>#NAME?</v>
      </c>
      <c r="Q508" s="1" t="e">
        <f t="shared" ca="1" si="47"/>
        <v>#NAME?</v>
      </c>
      <c r="R508" s="28">
        <v>0.77283198270015419</v>
      </c>
      <c r="S508" s="28">
        <v>0.13837009575217962</v>
      </c>
      <c r="T508" s="28">
        <v>0.25866069388575852</v>
      </c>
      <c r="U508" s="28">
        <v>0.60325045045465231</v>
      </c>
      <c r="V508" s="28">
        <v>0.11005059513263404</v>
      </c>
      <c r="W508" s="28">
        <v>0.69509291090071201</v>
      </c>
      <c r="X508" s="28">
        <v>0.82262186845764518</v>
      </c>
    </row>
    <row r="509" spans="1:24" ht="13.9">
      <c r="A509" s="1">
        <v>508</v>
      </c>
      <c r="B509" s="23" t="e">
        <f ca="1">_xludf.BETA.INV(R509,'04_PSA_INPUTS'!H5,'04_PSA_INPUTS'!I5)</f>
        <v>#NAME?</v>
      </c>
      <c r="C509" s="23" t="e">
        <f ca="1">_xludf.BETA.INV(S509,'04_PSA_INPUTS'!H6,'04_PSA_INPUTS'!I6)</f>
        <v>#NAME?</v>
      </c>
      <c r="D509" s="27" t="e">
        <f ca="1">_xludf.GAMMA.INV(T509,'04_PSA_INPUTS'!H7,'04_PSA_INPUTS'!I7)</f>
        <v>#NAME?</v>
      </c>
      <c r="E509" s="27" t="e">
        <f ca="1">_xludf.GAMMA.INV(U509,'04_PSA_INPUTS'!H8,'04_PSA_INPUTS'!I8)</f>
        <v>#NAME?</v>
      </c>
      <c r="F509" s="27" t="e">
        <f ca="1">_xludf.GAMMA.INV(V509,'04_PSA_INPUTS'!H9,'04_PSA_INPUTS'!I9)</f>
        <v>#NAME?</v>
      </c>
      <c r="G509" s="23" t="e">
        <f ca="1">_xludf.BETA.INV(W509,'04_PSA_INPUTS'!H10,'04_PSA_INPUTS'!I10)</f>
        <v>#NAME?</v>
      </c>
      <c r="H509" s="23" t="e">
        <f ca="1">_xludf.BETA.INV(X509,'04_PSA_INPUTS'!H11,'04_PSA_INPUTS'!I11)</f>
        <v>#NAME?</v>
      </c>
      <c r="I509" s="27" t="e">
        <f ca="1">D509+B509*F509+'01_INPUTS'!B20</f>
        <v>#NAME?</v>
      </c>
      <c r="J509" s="27" t="e">
        <f ca="1">E509+C509*F509+'01_INPUTS'!B21</f>
        <v>#NAME?</v>
      </c>
      <c r="K509" s="27" t="e">
        <f t="shared" ca="1" si="42"/>
        <v>#NAME?</v>
      </c>
      <c r="L509" s="23" t="e">
        <f t="shared" ca="1" si="43"/>
        <v>#NAME?</v>
      </c>
      <c r="M509" s="23" t="e">
        <f t="shared" ca="1" si="44"/>
        <v>#NAME?</v>
      </c>
      <c r="N509" s="23" t="e">
        <f t="shared" ca="1" si="45"/>
        <v>#NAME?</v>
      </c>
      <c r="O509" s="27" t="e">
        <f t="shared" ca="1" si="46"/>
        <v>#NAME?</v>
      </c>
      <c r="P509" s="27" t="e">
        <f ca="1">'01_INPUTS'!B9*N509-K509</f>
        <v>#NAME?</v>
      </c>
      <c r="Q509" s="1" t="e">
        <f t="shared" ca="1" si="47"/>
        <v>#NAME?</v>
      </c>
      <c r="R509" s="28">
        <v>0.40039110486395657</v>
      </c>
      <c r="S509" s="28">
        <v>0.39922329434193671</v>
      </c>
      <c r="T509" s="28">
        <v>9.1029771137982607E-2</v>
      </c>
      <c r="U509" s="28">
        <v>0.93451797449961305</v>
      </c>
      <c r="V509" s="28">
        <v>0.45179948001168668</v>
      </c>
      <c r="W509" s="28">
        <v>0.82838736800476909</v>
      </c>
      <c r="X509" s="28">
        <v>0.32021575863473117</v>
      </c>
    </row>
    <row r="510" spans="1:24" ht="13.9">
      <c r="A510" s="1">
        <v>509</v>
      </c>
      <c r="B510" s="23" t="e">
        <f ca="1">_xludf.BETA.INV(R510,'04_PSA_INPUTS'!H5,'04_PSA_INPUTS'!I5)</f>
        <v>#NAME?</v>
      </c>
      <c r="C510" s="23" t="e">
        <f ca="1">_xludf.BETA.INV(S510,'04_PSA_INPUTS'!H6,'04_PSA_INPUTS'!I6)</f>
        <v>#NAME?</v>
      </c>
      <c r="D510" s="27" t="e">
        <f ca="1">_xludf.GAMMA.INV(T510,'04_PSA_INPUTS'!H7,'04_PSA_INPUTS'!I7)</f>
        <v>#NAME?</v>
      </c>
      <c r="E510" s="27" t="e">
        <f ca="1">_xludf.GAMMA.INV(U510,'04_PSA_INPUTS'!H8,'04_PSA_INPUTS'!I8)</f>
        <v>#NAME?</v>
      </c>
      <c r="F510" s="27" t="e">
        <f ca="1">_xludf.GAMMA.INV(V510,'04_PSA_INPUTS'!H9,'04_PSA_INPUTS'!I9)</f>
        <v>#NAME?</v>
      </c>
      <c r="G510" s="23" t="e">
        <f ca="1">_xludf.BETA.INV(W510,'04_PSA_INPUTS'!H10,'04_PSA_INPUTS'!I10)</f>
        <v>#NAME?</v>
      </c>
      <c r="H510" s="23" t="e">
        <f ca="1">_xludf.BETA.INV(X510,'04_PSA_INPUTS'!H11,'04_PSA_INPUTS'!I11)</f>
        <v>#NAME?</v>
      </c>
      <c r="I510" s="27" t="e">
        <f ca="1">D510+B510*F510+'01_INPUTS'!B20</f>
        <v>#NAME?</v>
      </c>
      <c r="J510" s="27" t="e">
        <f ca="1">E510+C510*F510+'01_INPUTS'!B21</f>
        <v>#NAME?</v>
      </c>
      <c r="K510" s="27" t="e">
        <f t="shared" ca="1" si="42"/>
        <v>#NAME?</v>
      </c>
      <c r="L510" s="23" t="e">
        <f t="shared" ca="1" si="43"/>
        <v>#NAME?</v>
      </c>
      <c r="M510" s="23" t="e">
        <f t="shared" ca="1" si="44"/>
        <v>#NAME?</v>
      </c>
      <c r="N510" s="23" t="e">
        <f t="shared" ca="1" si="45"/>
        <v>#NAME?</v>
      </c>
      <c r="O510" s="27" t="e">
        <f t="shared" ca="1" si="46"/>
        <v>#NAME?</v>
      </c>
      <c r="P510" s="27" t="e">
        <f ca="1">'01_INPUTS'!B9*N510-K510</f>
        <v>#NAME?</v>
      </c>
      <c r="Q510" s="1" t="e">
        <f t="shared" ca="1" si="47"/>
        <v>#NAME?</v>
      </c>
      <c r="R510" s="28">
        <v>0.76754125929437578</v>
      </c>
      <c r="S510" s="28">
        <v>0.28875399404205382</v>
      </c>
      <c r="T510" s="28">
        <v>0.37535667489282787</v>
      </c>
      <c r="U510" s="28">
        <v>0.40069841267541051</v>
      </c>
      <c r="V510" s="28">
        <v>0.45176394353620708</v>
      </c>
      <c r="W510" s="28">
        <v>0.58475693454965949</v>
      </c>
      <c r="X510" s="28">
        <v>0.36167192086577415</v>
      </c>
    </row>
    <row r="511" spans="1:24" ht="13.9">
      <c r="A511" s="1">
        <v>510</v>
      </c>
      <c r="B511" s="23" t="e">
        <f ca="1">_xludf.BETA.INV(R511,'04_PSA_INPUTS'!H5,'04_PSA_INPUTS'!I5)</f>
        <v>#NAME?</v>
      </c>
      <c r="C511" s="23" t="e">
        <f ca="1">_xludf.BETA.INV(S511,'04_PSA_INPUTS'!H6,'04_PSA_INPUTS'!I6)</f>
        <v>#NAME?</v>
      </c>
      <c r="D511" s="27" t="e">
        <f ca="1">_xludf.GAMMA.INV(T511,'04_PSA_INPUTS'!H7,'04_PSA_INPUTS'!I7)</f>
        <v>#NAME?</v>
      </c>
      <c r="E511" s="27" t="e">
        <f ca="1">_xludf.GAMMA.INV(U511,'04_PSA_INPUTS'!H8,'04_PSA_INPUTS'!I8)</f>
        <v>#NAME?</v>
      </c>
      <c r="F511" s="27" t="e">
        <f ca="1">_xludf.GAMMA.INV(V511,'04_PSA_INPUTS'!H9,'04_PSA_INPUTS'!I9)</f>
        <v>#NAME?</v>
      </c>
      <c r="G511" s="23" t="e">
        <f ca="1">_xludf.BETA.INV(W511,'04_PSA_INPUTS'!H10,'04_PSA_INPUTS'!I10)</f>
        <v>#NAME?</v>
      </c>
      <c r="H511" s="23" t="e">
        <f ca="1">_xludf.BETA.INV(X511,'04_PSA_INPUTS'!H11,'04_PSA_INPUTS'!I11)</f>
        <v>#NAME?</v>
      </c>
      <c r="I511" s="27" t="e">
        <f ca="1">D511+B511*F511+'01_INPUTS'!B20</f>
        <v>#NAME?</v>
      </c>
      <c r="J511" s="27" t="e">
        <f ca="1">E511+C511*F511+'01_INPUTS'!B21</f>
        <v>#NAME?</v>
      </c>
      <c r="K511" s="27" t="e">
        <f t="shared" ca="1" si="42"/>
        <v>#NAME?</v>
      </c>
      <c r="L511" s="23" t="e">
        <f t="shared" ca="1" si="43"/>
        <v>#NAME?</v>
      </c>
      <c r="M511" s="23" t="e">
        <f t="shared" ca="1" si="44"/>
        <v>#NAME?</v>
      </c>
      <c r="N511" s="23" t="e">
        <f t="shared" ca="1" si="45"/>
        <v>#NAME?</v>
      </c>
      <c r="O511" s="27" t="e">
        <f t="shared" ca="1" si="46"/>
        <v>#NAME?</v>
      </c>
      <c r="P511" s="27" t="e">
        <f ca="1">'01_INPUTS'!B9*N511-K511</f>
        <v>#NAME?</v>
      </c>
      <c r="Q511" s="1" t="e">
        <f t="shared" ca="1" si="47"/>
        <v>#NAME?</v>
      </c>
      <c r="R511" s="28">
        <v>0.29705803794786334</v>
      </c>
      <c r="S511" s="28">
        <v>0.36178966029547155</v>
      </c>
      <c r="T511" s="28">
        <v>0.45489517971873283</v>
      </c>
      <c r="U511" s="28">
        <v>0.29557096888311207</v>
      </c>
      <c r="V511" s="28">
        <v>0.96283794404007494</v>
      </c>
      <c r="W511" s="28">
        <v>0.33508193003945053</v>
      </c>
      <c r="X511" s="28">
        <v>0.50045257085002959</v>
      </c>
    </row>
    <row r="512" spans="1:24" ht="13.9">
      <c r="A512" s="1">
        <v>511</v>
      </c>
      <c r="B512" s="23" t="e">
        <f ca="1">_xludf.BETA.INV(R512,'04_PSA_INPUTS'!H5,'04_PSA_INPUTS'!I5)</f>
        <v>#NAME?</v>
      </c>
      <c r="C512" s="23" t="e">
        <f ca="1">_xludf.BETA.INV(S512,'04_PSA_INPUTS'!H6,'04_PSA_INPUTS'!I6)</f>
        <v>#NAME?</v>
      </c>
      <c r="D512" s="27" t="e">
        <f ca="1">_xludf.GAMMA.INV(T512,'04_PSA_INPUTS'!H7,'04_PSA_INPUTS'!I7)</f>
        <v>#NAME?</v>
      </c>
      <c r="E512" s="27" t="e">
        <f ca="1">_xludf.GAMMA.INV(U512,'04_PSA_INPUTS'!H8,'04_PSA_INPUTS'!I8)</f>
        <v>#NAME?</v>
      </c>
      <c r="F512" s="27" t="e">
        <f ca="1">_xludf.GAMMA.INV(V512,'04_PSA_INPUTS'!H9,'04_PSA_INPUTS'!I9)</f>
        <v>#NAME?</v>
      </c>
      <c r="G512" s="23" t="e">
        <f ca="1">_xludf.BETA.INV(W512,'04_PSA_INPUTS'!H10,'04_PSA_INPUTS'!I10)</f>
        <v>#NAME?</v>
      </c>
      <c r="H512" s="23" t="e">
        <f ca="1">_xludf.BETA.INV(X512,'04_PSA_INPUTS'!H11,'04_PSA_INPUTS'!I11)</f>
        <v>#NAME?</v>
      </c>
      <c r="I512" s="27" t="e">
        <f ca="1">D512+B512*F512+'01_INPUTS'!B20</f>
        <v>#NAME?</v>
      </c>
      <c r="J512" s="27" t="e">
        <f ca="1">E512+C512*F512+'01_INPUTS'!B21</f>
        <v>#NAME?</v>
      </c>
      <c r="K512" s="27" t="e">
        <f t="shared" ca="1" si="42"/>
        <v>#NAME?</v>
      </c>
      <c r="L512" s="23" t="e">
        <f t="shared" ca="1" si="43"/>
        <v>#NAME?</v>
      </c>
      <c r="M512" s="23" t="e">
        <f t="shared" ca="1" si="44"/>
        <v>#NAME?</v>
      </c>
      <c r="N512" s="23" t="e">
        <f t="shared" ca="1" si="45"/>
        <v>#NAME?</v>
      </c>
      <c r="O512" s="27" t="e">
        <f t="shared" ca="1" si="46"/>
        <v>#NAME?</v>
      </c>
      <c r="P512" s="27" t="e">
        <f ca="1">'01_INPUTS'!B9*N512-K512</f>
        <v>#NAME?</v>
      </c>
      <c r="Q512" s="1" t="e">
        <f t="shared" ca="1" si="47"/>
        <v>#NAME?</v>
      </c>
      <c r="R512" s="28">
        <v>0.6750474248547107</v>
      </c>
      <c r="S512" s="28">
        <v>0.82530827587470412</v>
      </c>
      <c r="T512" s="28">
        <v>0.89578367490321398</v>
      </c>
      <c r="U512" s="28">
        <v>0.15791041823104024</v>
      </c>
      <c r="V512" s="28">
        <v>0.62104148347862065</v>
      </c>
      <c r="W512" s="28">
        <v>0.76022191322408617</v>
      </c>
      <c r="X512" s="28">
        <v>0.6452365901786834</v>
      </c>
    </row>
    <row r="513" spans="1:24" ht="13.9">
      <c r="A513" s="1">
        <v>512</v>
      </c>
      <c r="B513" s="23" t="e">
        <f ca="1">_xludf.BETA.INV(R513,'04_PSA_INPUTS'!H5,'04_PSA_INPUTS'!I5)</f>
        <v>#NAME?</v>
      </c>
      <c r="C513" s="23" t="e">
        <f ca="1">_xludf.BETA.INV(S513,'04_PSA_INPUTS'!H6,'04_PSA_INPUTS'!I6)</f>
        <v>#NAME?</v>
      </c>
      <c r="D513" s="27" t="e">
        <f ca="1">_xludf.GAMMA.INV(T513,'04_PSA_INPUTS'!H7,'04_PSA_INPUTS'!I7)</f>
        <v>#NAME?</v>
      </c>
      <c r="E513" s="27" t="e">
        <f ca="1">_xludf.GAMMA.INV(U513,'04_PSA_INPUTS'!H8,'04_PSA_INPUTS'!I8)</f>
        <v>#NAME?</v>
      </c>
      <c r="F513" s="27" t="e">
        <f ca="1">_xludf.GAMMA.INV(V513,'04_PSA_INPUTS'!H9,'04_PSA_INPUTS'!I9)</f>
        <v>#NAME?</v>
      </c>
      <c r="G513" s="23" t="e">
        <f ca="1">_xludf.BETA.INV(W513,'04_PSA_INPUTS'!H10,'04_PSA_INPUTS'!I10)</f>
        <v>#NAME?</v>
      </c>
      <c r="H513" s="23" t="e">
        <f ca="1">_xludf.BETA.INV(X513,'04_PSA_INPUTS'!H11,'04_PSA_INPUTS'!I11)</f>
        <v>#NAME?</v>
      </c>
      <c r="I513" s="27" t="e">
        <f ca="1">D513+B513*F513+'01_INPUTS'!B20</f>
        <v>#NAME?</v>
      </c>
      <c r="J513" s="27" t="e">
        <f ca="1">E513+C513*F513+'01_INPUTS'!B21</f>
        <v>#NAME?</v>
      </c>
      <c r="K513" s="27" t="e">
        <f t="shared" ca="1" si="42"/>
        <v>#NAME?</v>
      </c>
      <c r="L513" s="23" t="e">
        <f t="shared" ca="1" si="43"/>
        <v>#NAME?</v>
      </c>
      <c r="M513" s="23" t="e">
        <f t="shared" ca="1" si="44"/>
        <v>#NAME?</v>
      </c>
      <c r="N513" s="23" t="e">
        <f t="shared" ca="1" si="45"/>
        <v>#NAME?</v>
      </c>
      <c r="O513" s="27" t="e">
        <f t="shared" ca="1" si="46"/>
        <v>#NAME?</v>
      </c>
      <c r="P513" s="27" t="e">
        <f ca="1">'01_INPUTS'!B9*N513-K513</f>
        <v>#NAME?</v>
      </c>
      <c r="Q513" s="1" t="e">
        <f t="shared" ca="1" si="47"/>
        <v>#NAME?</v>
      </c>
      <c r="R513" s="28">
        <v>4.73028514534235E-3</v>
      </c>
      <c r="S513" s="28">
        <v>0.12957769096828997</v>
      </c>
      <c r="T513" s="28">
        <v>0.45350483758375049</v>
      </c>
      <c r="U513" s="28">
        <v>0.47147291339933872</v>
      </c>
      <c r="V513" s="28">
        <v>6.87028793618083E-3</v>
      </c>
      <c r="W513" s="28">
        <v>0.82031643041409552</v>
      </c>
      <c r="X513" s="28">
        <v>0.73247705562971532</v>
      </c>
    </row>
    <row r="514" spans="1:24" ht="13.9">
      <c r="A514" s="1">
        <v>513</v>
      </c>
      <c r="B514" s="23" t="e">
        <f ca="1">_xludf.BETA.INV(R514,'04_PSA_INPUTS'!H5,'04_PSA_INPUTS'!I5)</f>
        <v>#NAME?</v>
      </c>
      <c r="C514" s="23" t="e">
        <f ca="1">_xludf.BETA.INV(S514,'04_PSA_INPUTS'!H6,'04_PSA_INPUTS'!I6)</f>
        <v>#NAME?</v>
      </c>
      <c r="D514" s="27" t="e">
        <f ca="1">_xludf.GAMMA.INV(T514,'04_PSA_INPUTS'!H7,'04_PSA_INPUTS'!I7)</f>
        <v>#NAME?</v>
      </c>
      <c r="E514" s="27" t="e">
        <f ca="1">_xludf.GAMMA.INV(U514,'04_PSA_INPUTS'!H8,'04_PSA_INPUTS'!I8)</f>
        <v>#NAME?</v>
      </c>
      <c r="F514" s="27" t="e">
        <f ca="1">_xludf.GAMMA.INV(V514,'04_PSA_INPUTS'!H9,'04_PSA_INPUTS'!I9)</f>
        <v>#NAME?</v>
      </c>
      <c r="G514" s="23" t="e">
        <f ca="1">_xludf.BETA.INV(W514,'04_PSA_INPUTS'!H10,'04_PSA_INPUTS'!I10)</f>
        <v>#NAME?</v>
      </c>
      <c r="H514" s="23" t="e">
        <f ca="1">_xludf.BETA.INV(X514,'04_PSA_INPUTS'!H11,'04_PSA_INPUTS'!I11)</f>
        <v>#NAME?</v>
      </c>
      <c r="I514" s="27" t="e">
        <f ca="1">D514+B514*F514+'01_INPUTS'!B20</f>
        <v>#NAME?</v>
      </c>
      <c r="J514" s="27" t="e">
        <f ca="1">E514+C514*F514+'01_INPUTS'!B21</f>
        <v>#NAME?</v>
      </c>
      <c r="K514" s="27" t="e">
        <f t="shared" ref="K514:K577" ca="1" si="48">I514-J514</f>
        <v>#NAME?</v>
      </c>
      <c r="L514" s="23" t="e">
        <f t="shared" ref="L514:L577" ca="1" si="49">G514-B514*H514</f>
        <v>#NAME?</v>
      </c>
      <c r="M514" s="23" t="e">
        <f t="shared" ref="M514:M577" ca="1" si="50">G514-C514*H514</f>
        <v>#NAME?</v>
      </c>
      <c r="N514" s="23" t="e">
        <f t="shared" ref="N514:N577" ca="1" si="51">L514-M514</f>
        <v>#NAME?</v>
      </c>
      <c r="O514" s="27" t="e">
        <f t="shared" ref="O514:O577" ca="1" si="52">IF(N514=0,"",K514/N514)</f>
        <v>#NAME?</v>
      </c>
      <c r="P514" s="27" t="e">
        <f ca="1">'01_INPUTS'!B9*N514-K514</f>
        <v>#NAME?</v>
      </c>
      <c r="Q514" s="1" t="e">
        <f t="shared" ref="Q514:Q577" ca="1" si="53">IF(P514&gt;0,1,0)</f>
        <v>#NAME?</v>
      </c>
      <c r="R514" s="28">
        <v>0.33983769826591015</v>
      </c>
      <c r="S514" s="28">
        <v>0.48433909798040986</v>
      </c>
      <c r="T514" s="28">
        <v>0.61059279670007527</v>
      </c>
      <c r="U514" s="28">
        <v>0.64285211311653256</v>
      </c>
      <c r="V514" s="28">
        <v>0.30362996435724199</v>
      </c>
      <c r="W514" s="28">
        <v>0.63595988997258246</v>
      </c>
      <c r="X514" s="28">
        <v>9.2944509815424681E-3</v>
      </c>
    </row>
    <row r="515" spans="1:24" ht="13.9">
      <c r="A515" s="1">
        <v>514</v>
      </c>
      <c r="B515" s="23" t="e">
        <f ca="1">_xludf.BETA.INV(R515,'04_PSA_INPUTS'!H5,'04_PSA_INPUTS'!I5)</f>
        <v>#NAME?</v>
      </c>
      <c r="C515" s="23" t="e">
        <f ca="1">_xludf.BETA.INV(S515,'04_PSA_INPUTS'!H6,'04_PSA_INPUTS'!I6)</f>
        <v>#NAME?</v>
      </c>
      <c r="D515" s="27" t="e">
        <f ca="1">_xludf.GAMMA.INV(T515,'04_PSA_INPUTS'!H7,'04_PSA_INPUTS'!I7)</f>
        <v>#NAME?</v>
      </c>
      <c r="E515" s="27" t="e">
        <f ca="1">_xludf.GAMMA.INV(U515,'04_PSA_INPUTS'!H8,'04_PSA_INPUTS'!I8)</f>
        <v>#NAME?</v>
      </c>
      <c r="F515" s="27" t="e">
        <f ca="1">_xludf.GAMMA.INV(V515,'04_PSA_INPUTS'!H9,'04_PSA_INPUTS'!I9)</f>
        <v>#NAME?</v>
      </c>
      <c r="G515" s="23" t="e">
        <f ca="1">_xludf.BETA.INV(W515,'04_PSA_INPUTS'!H10,'04_PSA_INPUTS'!I10)</f>
        <v>#NAME?</v>
      </c>
      <c r="H515" s="23" t="e">
        <f ca="1">_xludf.BETA.INV(X515,'04_PSA_INPUTS'!H11,'04_PSA_INPUTS'!I11)</f>
        <v>#NAME?</v>
      </c>
      <c r="I515" s="27" t="e">
        <f ca="1">D515+B515*F515+'01_INPUTS'!B20</f>
        <v>#NAME?</v>
      </c>
      <c r="J515" s="27" t="e">
        <f ca="1">E515+C515*F515+'01_INPUTS'!B21</f>
        <v>#NAME?</v>
      </c>
      <c r="K515" s="27" t="e">
        <f t="shared" ca="1" si="48"/>
        <v>#NAME?</v>
      </c>
      <c r="L515" s="23" t="e">
        <f t="shared" ca="1" si="49"/>
        <v>#NAME?</v>
      </c>
      <c r="M515" s="23" t="e">
        <f t="shared" ca="1" si="50"/>
        <v>#NAME?</v>
      </c>
      <c r="N515" s="23" t="e">
        <f t="shared" ca="1" si="51"/>
        <v>#NAME?</v>
      </c>
      <c r="O515" s="27" t="e">
        <f t="shared" ca="1" si="52"/>
        <v>#NAME?</v>
      </c>
      <c r="P515" s="27" t="e">
        <f ca="1">'01_INPUTS'!B9*N515-K515</f>
        <v>#NAME?</v>
      </c>
      <c r="Q515" s="1" t="e">
        <f t="shared" ca="1" si="53"/>
        <v>#NAME?</v>
      </c>
      <c r="R515" s="28">
        <v>0.689461454981938</v>
      </c>
      <c r="S515" s="28">
        <v>0.9052245425991714</v>
      </c>
      <c r="T515" s="28">
        <v>0.9464850511867553</v>
      </c>
      <c r="U515" s="28">
        <v>0.93702840432524681</v>
      </c>
      <c r="V515" s="28">
        <v>9.3231711536645889E-2</v>
      </c>
      <c r="W515" s="28">
        <v>0.43293785769492388</v>
      </c>
      <c r="X515" s="28">
        <v>0.80402474477887154</v>
      </c>
    </row>
    <row r="516" spans="1:24" ht="13.9">
      <c r="A516" s="1">
        <v>515</v>
      </c>
      <c r="B516" s="23" t="e">
        <f ca="1">_xludf.BETA.INV(R516,'04_PSA_INPUTS'!H5,'04_PSA_INPUTS'!I5)</f>
        <v>#NAME?</v>
      </c>
      <c r="C516" s="23" t="e">
        <f ca="1">_xludf.BETA.INV(S516,'04_PSA_INPUTS'!H6,'04_PSA_INPUTS'!I6)</f>
        <v>#NAME?</v>
      </c>
      <c r="D516" s="27" t="e">
        <f ca="1">_xludf.GAMMA.INV(T516,'04_PSA_INPUTS'!H7,'04_PSA_INPUTS'!I7)</f>
        <v>#NAME?</v>
      </c>
      <c r="E516" s="27" t="e">
        <f ca="1">_xludf.GAMMA.INV(U516,'04_PSA_INPUTS'!H8,'04_PSA_INPUTS'!I8)</f>
        <v>#NAME?</v>
      </c>
      <c r="F516" s="27" t="e">
        <f ca="1">_xludf.GAMMA.INV(V516,'04_PSA_INPUTS'!H9,'04_PSA_INPUTS'!I9)</f>
        <v>#NAME?</v>
      </c>
      <c r="G516" s="23" t="e">
        <f ca="1">_xludf.BETA.INV(W516,'04_PSA_INPUTS'!H10,'04_PSA_INPUTS'!I10)</f>
        <v>#NAME?</v>
      </c>
      <c r="H516" s="23" t="e">
        <f ca="1">_xludf.BETA.INV(X516,'04_PSA_INPUTS'!H11,'04_PSA_INPUTS'!I11)</f>
        <v>#NAME?</v>
      </c>
      <c r="I516" s="27" t="e">
        <f ca="1">D516+B516*F516+'01_INPUTS'!B20</f>
        <v>#NAME?</v>
      </c>
      <c r="J516" s="27" t="e">
        <f ca="1">E516+C516*F516+'01_INPUTS'!B21</f>
        <v>#NAME?</v>
      </c>
      <c r="K516" s="27" t="e">
        <f t="shared" ca="1" si="48"/>
        <v>#NAME?</v>
      </c>
      <c r="L516" s="23" t="e">
        <f t="shared" ca="1" si="49"/>
        <v>#NAME?</v>
      </c>
      <c r="M516" s="23" t="e">
        <f t="shared" ca="1" si="50"/>
        <v>#NAME?</v>
      </c>
      <c r="N516" s="23" t="e">
        <f t="shared" ca="1" si="51"/>
        <v>#NAME?</v>
      </c>
      <c r="O516" s="27" t="e">
        <f t="shared" ca="1" si="52"/>
        <v>#NAME?</v>
      </c>
      <c r="P516" s="27" t="e">
        <f ca="1">'01_INPUTS'!B9*N516-K516</f>
        <v>#NAME?</v>
      </c>
      <c r="Q516" s="1" t="e">
        <f t="shared" ca="1" si="53"/>
        <v>#NAME?</v>
      </c>
      <c r="R516" s="28">
        <v>0.367450135294348</v>
      </c>
      <c r="S516" s="28">
        <v>0.12680237065069377</v>
      </c>
      <c r="T516" s="28">
        <v>0.69965654192492366</v>
      </c>
      <c r="U516" s="28">
        <v>0.44288841262459755</v>
      </c>
      <c r="V516" s="28">
        <v>0.22852470027282834</v>
      </c>
      <c r="W516" s="28">
        <v>0.6878153090365231</v>
      </c>
      <c r="X516" s="28">
        <v>0.29357609106227756</v>
      </c>
    </row>
    <row r="517" spans="1:24" ht="13.9">
      <c r="A517" s="1">
        <v>516</v>
      </c>
      <c r="B517" s="23" t="e">
        <f ca="1">_xludf.BETA.INV(R517,'04_PSA_INPUTS'!H5,'04_PSA_INPUTS'!I5)</f>
        <v>#NAME?</v>
      </c>
      <c r="C517" s="23" t="e">
        <f ca="1">_xludf.BETA.INV(S517,'04_PSA_INPUTS'!H6,'04_PSA_INPUTS'!I6)</f>
        <v>#NAME?</v>
      </c>
      <c r="D517" s="27" t="e">
        <f ca="1">_xludf.GAMMA.INV(T517,'04_PSA_INPUTS'!H7,'04_PSA_INPUTS'!I7)</f>
        <v>#NAME?</v>
      </c>
      <c r="E517" s="27" t="e">
        <f ca="1">_xludf.GAMMA.INV(U517,'04_PSA_INPUTS'!H8,'04_PSA_INPUTS'!I8)</f>
        <v>#NAME?</v>
      </c>
      <c r="F517" s="27" t="e">
        <f ca="1">_xludf.GAMMA.INV(V517,'04_PSA_INPUTS'!H9,'04_PSA_INPUTS'!I9)</f>
        <v>#NAME?</v>
      </c>
      <c r="G517" s="23" t="e">
        <f ca="1">_xludf.BETA.INV(W517,'04_PSA_INPUTS'!H10,'04_PSA_INPUTS'!I10)</f>
        <v>#NAME?</v>
      </c>
      <c r="H517" s="23" t="e">
        <f ca="1">_xludf.BETA.INV(X517,'04_PSA_INPUTS'!H11,'04_PSA_INPUTS'!I11)</f>
        <v>#NAME?</v>
      </c>
      <c r="I517" s="27" t="e">
        <f ca="1">D517+B517*F517+'01_INPUTS'!B20</f>
        <v>#NAME?</v>
      </c>
      <c r="J517" s="27" t="e">
        <f ca="1">E517+C517*F517+'01_INPUTS'!B21</f>
        <v>#NAME?</v>
      </c>
      <c r="K517" s="27" t="e">
        <f t="shared" ca="1" si="48"/>
        <v>#NAME?</v>
      </c>
      <c r="L517" s="23" t="e">
        <f t="shared" ca="1" si="49"/>
        <v>#NAME?</v>
      </c>
      <c r="M517" s="23" t="e">
        <f t="shared" ca="1" si="50"/>
        <v>#NAME?</v>
      </c>
      <c r="N517" s="23" t="e">
        <f t="shared" ca="1" si="51"/>
        <v>#NAME?</v>
      </c>
      <c r="O517" s="27" t="e">
        <f t="shared" ca="1" si="52"/>
        <v>#NAME?</v>
      </c>
      <c r="P517" s="27" t="e">
        <f ca="1">'01_INPUTS'!B9*N517-K517</f>
        <v>#NAME?</v>
      </c>
      <c r="Q517" s="1" t="e">
        <f t="shared" ca="1" si="53"/>
        <v>#NAME?</v>
      </c>
      <c r="R517" s="28">
        <v>0.45716502564027905</v>
      </c>
      <c r="S517" s="28">
        <v>0.34794967947527766</v>
      </c>
      <c r="T517" s="28">
        <v>0.13046053377911448</v>
      </c>
      <c r="U517" s="28">
        <v>0.45912571391090751</v>
      </c>
      <c r="V517" s="28">
        <v>5.2303338423371315E-2</v>
      </c>
      <c r="W517" s="28">
        <v>0.35434015770442784</v>
      </c>
      <c r="X517" s="28">
        <v>0.56776872370392084</v>
      </c>
    </row>
    <row r="518" spans="1:24" ht="13.9">
      <c r="A518" s="1">
        <v>517</v>
      </c>
      <c r="B518" s="23" t="e">
        <f ca="1">_xludf.BETA.INV(R518,'04_PSA_INPUTS'!H5,'04_PSA_INPUTS'!I5)</f>
        <v>#NAME?</v>
      </c>
      <c r="C518" s="23" t="e">
        <f ca="1">_xludf.BETA.INV(S518,'04_PSA_INPUTS'!H6,'04_PSA_INPUTS'!I6)</f>
        <v>#NAME?</v>
      </c>
      <c r="D518" s="27" t="e">
        <f ca="1">_xludf.GAMMA.INV(T518,'04_PSA_INPUTS'!H7,'04_PSA_INPUTS'!I7)</f>
        <v>#NAME?</v>
      </c>
      <c r="E518" s="27" t="e">
        <f ca="1">_xludf.GAMMA.INV(U518,'04_PSA_INPUTS'!H8,'04_PSA_INPUTS'!I8)</f>
        <v>#NAME?</v>
      </c>
      <c r="F518" s="27" t="e">
        <f ca="1">_xludf.GAMMA.INV(V518,'04_PSA_INPUTS'!H9,'04_PSA_INPUTS'!I9)</f>
        <v>#NAME?</v>
      </c>
      <c r="G518" s="23" t="e">
        <f ca="1">_xludf.BETA.INV(W518,'04_PSA_INPUTS'!H10,'04_PSA_INPUTS'!I10)</f>
        <v>#NAME?</v>
      </c>
      <c r="H518" s="23" t="e">
        <f ca="1">_xludf.BETA.INV(X518,'04_PSA_INPUTS'!H11,'04_PSA_INPUTS'!I11)</f>
        <v>#NAME?</v>
      </c>
      <c r="I518" s="27" t="e">
        <f ca="1">D518+B518*F518+'01_INPUTS'!B20</f>
        <v>#NAME?</v>
      </c>
      <c r="J518" s="27" t="e">
        <f ca="1">E518+C518*F518+'01_INPUTS'!B21</f>
        <v>#NAME?</v>
      </c>
      <c r="K518" s="27" t="e">
        <f t="shared" ca="1" si="48"/>
        <v>#NAME?</v>
      </c>
      <c r="L518" s="23" t="e">
        <f t="shared" ca="1" si="49"/>
        <v>#NAME?</v>
      </c>
      <c r="M518" s="23" t="e">
        <f t="shared" ca="1" si="50"/>
        <v>#NAME?</v>
      </c>
      <c r="N518" s="23" t="e">
        <f t="shared" ca="1" si="51"/>
        <v>#NAME?</v>
      </c>
      <c r="O518" s="27" t="e">
        <f t="shared" ca="1" si="52"/>
        <v>#NAME?</v>
      </c>
      <c r="P518" s="27" t="e">
        <f ca="1">'01_INPUTS'!B9*N518-K518</f>
        <v>#NAME?</v>
      </c>
      <c r="Q518" s="1" t="e">
        <f t="shared" ca="1" si="53"/>
        <v>#NAME?</v>
      </c>
      <c r="R518" s="28">
        <v>0.44753905129618943</v>
      </c>
      <c r="S518" s="28">
        <v>0.5835793768055737</v>
      </c>
      <c r="T518" s="28">
        <v>0.3860882930457592</v>
      </c>
      <c r="U518" s="28">
        <v>0.67559185274876654</v>
      </c>
      <c r="V518" s="28">
        <v>0.81337594194337726</v>
      </c>
      <c r="W518" s="28">
        <v>0.85572519502602518</v>
      </c>
      <c r="X518" s="28">
        <v>0.62726421770639718</v>
      </c>
    </row>
    <row r="519" spans="1:24" ht="13.9">
      <c r="A519" s="1">
        <v>518</v>
      </c>
      <c r="B519" s="23" t="e">
        <f ca="1">_xludf.BETA.INV(R519,'04_PSA_INPUTS'!H5,'04_PSA_INPUTS'!I5)</f>
        <v>#NAME?</v>
      </c>
      <c r="C519" s="23" t="e">
        <f ca="1">_xludf.BETA.INV(S519,'04_PSA_INPUTS'!H6,'04_PSA_INPUTS'!I6)</f>
        <v>#NAME?</v>
      </c>
      <c r="D519" s="27" t="e">
        <f ca="1">_xludf.GAMMA.INV(T519,'04_PSA_INPUTS'!H7,'04_PSA_INPUTS'!I7)</f>
        <v>#NAME?</v>
      </c>
      <c r="E519" s="27" t="e">
        <f ca="1">_xludf.GAMMA.INV(U519,'04_PSA_INPUTS'!H8,'04_PSA_INPUTS'!I8)</f>
        <v>#NAME?</v>
      </c>
      <c r="F519" s="27" t="e">
        <f ca="1">_xludf.GAMMA.INV(V519,'04_PSA_INPUTS'!H9,'04_PSA_INPUTS'!I9)</f>
        <v>#NAME?</v>
      </c>
      <c r="G519" s="23" t="e">
        <f ca="1">_xludf.BETA.INV(W519,'04_PSA_INPUTS'!H10,'04_PSA_INPUTS'!I10)</f>
        <v>#NAME?</v>
      </c>
      <c r="H519" s="23" t="e">
        <f ca="1">_xludf.BETA.INV(X519,'04_PSA_INPUTS'!H11,'04_PSA_INPUTS'!I11)</f>
        <v>#NAME?</v>
      </c>
      <c r="I519" s="27" t="e">
        <f ca="1">D519+B519*F519+'01_INPUTS'!B20</f>
        <v>#NAME?</v>
      </c>
      <c r="J519" s="27" t="e">
        <f ca="1">E519+C519*F519+'01_INPUTS'!B21</f>
        <v>#NAME?</v>
      </c>
      <c r="K519" s="27" t="e">
        <f t="shared" ca="1" si="48"/>
        <v>#NAME?</v>
      </c>
      <c r="L519" s="23" t="e">
        <f t="shared" ca="1" si="49"/>
        <v>#NAME?</v>
      </c>
      <c r="M519" s="23" t="e">
        <f t="shared" ca="1" si="50"/>
        <v>#NAME?</v>
      </c>
      <c r="N519" s="23" t="e">
        <f t="shared" ca="1" si="51"/>
        <v>#NAME?</v>
      </c>
      <c r="O519" s="27" t="e">
        <f t="shared" ca="1" si="52"/>
        <v>#NAME?</v>
      </c>
      <c r="P519" s="27" t="e">
        <f ca="1">'01_INPUTS'!B9*N519-K519</f>
        <v>#NAME?</v>
      </c>
      <c r="Q519" s="1" t="e">
        <f t="shared" ca="1" si="53"/>
        <v>#NAME?</v>
      </c>
      <c r="R519" s="28">
        <v>0.99466778943315148</v>
      </c>
      <c r="S519" s="28">
        <v>0.95771460537798703</v>
      </c>
      <c r="T519" s="28">
        <v>0.66616949788294733</v>
      </c>
      <c r="U519" s="28">
        <v>0.38825223431922495</v>
      </c>
      <c r="V519" s="28">
        <v>0.48207308631390333</v>
      </c>
      <c r="W519" s="28">
        <v>0.85350272851064801</v>
      </c>
      <c r="X519" s="28">
        <v>0.19844103790819645</v>
      </c>
    </row>
    <row r="520" spans="1:24" ht="13.9">
      <c r="A520" s="1">
        <v>519</v>
      </c>
      <c r="B520" s="23" t="e">
        <f ca="1">_xludf.BETA.INV(R520,'04_PSA_INPUTS'!H5,'04_PSA_INPUTS'!I5)</f>
        <v>#NAME?</v>
      </c>
      <c r="C520" s="23" t="e">
        <f ca="1">_xludf.BETA.INV(S520,'04_PSA_INPUTS'!H6,'04_PSA_INPUTS'!I6)</f>
        <v>#NAME?</v>
      </c>
      <c r="D520" s="27" t="e">
        <f ca="1">_xludf.GAMMA.INV(T520,'04_PSA_INPUTS'!H7,'04_PSA_INPUTS'!I7)</f>
        <v>#NAME?</v>
      </c>
      <c r="E520" s="27" t="e">
        <f ca="1">_xludf.GAMMA.INV(U520,'04_PSA_INPUTS'!H8,'04_PSA_INPUTS'!I8)</f>
        <v>#NAME?</v>
      </c>
      <c r="F520" s="27" t="e">
        <f ca="1">_xludf.GAMMA.INV(V520,'04_PSA_INPUTS'!H9,'04_PSA_INPUTS'!I9)</f>
        <v>#NAME?</v>
      </c>
      <c r="G520" s="23" t="e">
        <f ca="1">_xludf.BETA.INV(W520,'04_PSA_INPUTS'!H10,'04_PSA_INPUTS'!I10)</f>
        <v>#NAME?</v>
      </c>
      <c r="H520" s="23" t="e">
        <f ca="1">_xludf.BETA.INV(X520,'04_PSA_INPUTS'!H11,'04_PSA_INPUTS'!I11)</f>
        <v>#NAME?</v>
      </c>
      <c r="I520" s="27" t="e">
        <f ca="1">D520+B520*F520+'01_INPUTS'!B20</f>
        <v>#NAME?</v>
      </c>
      <c r="J520" s="27" t="e">
        <f ca="1">E520+C520*F520+'01_INPUTS'!B21</f>
        <v>#NAME?</v>
      </c>
      <c r="K520" s="27" t="e">
        <f t="shared" ca="1" si="48"/>
        <v>#NAME?</v>
      </c>
      <c r="L520" s="23" t="e">
        <f t="shared" ca="1" si="49"/>
        <v>#NAME?</v>
      </c>
      <c r="M520" s="23" t="e">
        <f t="shared" ca="1" si="50"/>
        <v>#NAME?</v>
      </c>
      <c r="N520" s="23" t="e">
        <f t="shared" ca="1" si="51"/>
        <v>#NAME?</v>
      </c>
      <c r="O520" s="27" t="e">
        <f t="shared" ca="1" si="52"/>
        <v>#NAME?</v>
      </c>
      <c r="P520" s="27" t="e">
        <f ca="1">'01_INPUTS'!B9*N520-K520</f>
        <v>#NAME?</v>
      </c>
      <c r="Q520" s="1" t="e">
        <f t="shared" ca="1" si="53"/>
        <v>#NAME?</v>
      </c>
      <c r="R520" s="28">
        <v>0.87284090183675289</v>
      </c>
      <c r="S520" s="28">
        <v>0.17968126852065325</v>
      </c>
      <c r="T520" s="28">
        <v>0.78246443788520992</v>
      </c>
      <c r="U520" s="28">
        <v>0.42753835022449493</v>
      </c>
      <c r="V520" s="28">
        <v>0.69462627917528152</v>
      </c>
      <c r="W520" s="28">
        <v>0.30058089038357139</v>
      </c>
      <c r="X520" s="28">
        <v>0.92214969941414893</v>
      </c>
    </row>
    <row r="521" spans="1:24" ht="13.9">
      <c r="A521" s="1">
        <v>520</v>
      </c>
      <c r="B521" s="23" t="e">
        <f ca="1">_xludf.BETA.INV(R521,'04_PSA_INPUTS'!H5,'04_PSA_INPUTS'!I5)</f>
        <v>#NAME?</v>
      </c>
      <c r="C521" s="23" t="e">
        <f ca="1">_xludf.BETA.INV(S521,'04_PSA_INPUTS'!H6,'04_PSA_INPUTS'!I6)</f>
        <v>#NAME?</v>
      </c>
      <c r="D521" s="27" t="e">
        <f ca="1">_xludf.GAMMA.INV(T521,'04_PSA_INPUTS'!H7,'04_PSA_INPUTS'!I7)</f>
        <v>#NAME?</v>
      </c>
      <c r="E521" s="27" t="e">
        <f ca="1">_xludf.GAMMA.INV(U521,'04_PSA_INPUTS'!H8,'04_PSA_INPUTS'!I8)</f>
        <v>#NAME?</v>
      </c>
      <c r="F521" s="27" t="e">
        <f ca="1">_xludf.GAMMA.INV(V521,'04_PSA_INPUTS'!H9,'04_PSA_INPUTS'!I9)</f>
        <v>#NAME?</v>
      </c>
      <c r="G521" s="23" t="e">
        <f ca="1">_xludf.BETA.INV(W521,'04_PSA_INPUTS'!H10,'04_PSA_INPUTS'!I10)</f>
        <v>#NAME?</v>
      </c>
      <c r="H521" s="23" t="e">
        <f ca="1">_xludf.BETA.INV(X521,'04_PSA_INPUTS'!H11,'04_PSA_INPUTS'!I11)</f>
        <v>#NAME?</v>
      </c>
      <c r="I521" s="27" t="e">
        <f ca="1">D521+B521*F521+'01_INPUTS'!B20</f>
        <v>#NAME?</v>
      </c>
      <c r="J521" s="27" t="e">
        <f ca="1">E521+C521*F521+'01_INPUTS'!B21</f>
        <v>#NAME?</v>
      </c>
      <c r="K521" s="27" t="e">
        <f t="shared" ca="1" si="48"/>
        <v>#NAME?</v>
      </c>
      <c r="L521" s="23" t="e">
        <f t="shared" ca="1" si="49"/>
        <v>#NAME?</v>
      </c>
      <c r="M521" s="23" t="e">
        <f t="shared" ca="1" si="50"/>
        <v>#NAME?</v>
      </c>
      <c r="N521" s="23" t="e">
        <f t="shared" ca="1" si="51"/>
        <v>#NAME?</v>
      </c>
      <c r="O521" s="27" t="e">
        <f t="shared" ca="1" si="52"/>
        <v>#NAME?</v>
      </c>
      <c r="P521" s="27" t="e">
        <f ca="1">'01_INPUTS'!B9*N521-K521</f>
        <v>#NAME?</v>
      </c>
      <c r="Q521" s="1" t="e">
        <f t="shared" ca="1" si="53"/>
        <v>#NAME?</v>
      </c>
      <c r="R521" s="28">
        <v>0.92295291158370674</v>
      </c>
      <c r="S521" s="28">
        <v>0.83073332323692739</v>
      </c>
      <c r="T521" s="28">
        <v>0.18129426636733115</v>
      </c>
      <c r="U521" s="28">
        <v>0.96794911357574165</v>
      </c>
      <c r="V521" s="28">
        <v>0.33003144315443933</v>
      </c>
      <c r="W521" s="28">
        <v>0.97263693483546376</v>
      </c>
      <c r="X521" s="28">
        <v>4.565285868011415E-2</v>
      </c>
    </row>
    <row r="522" spans="1:24" ht="13.9">
      <c r="A522" s="1">
        <v>521</v>
      </c>
      <c r="B522" s="23" t="e">
        <f ca="1">_xludf.BETA.INV(R522,'04_PSA_INPUTS'!H5,'04_PSA_INPUTS'!I5)</f>
        <v>#NAME?</v>
      </c>
      <c r="C522" s="23" t="e">
        <f ca="1">_xludf.BETA.INV(S522,'04_PSA_INPUTS'!H6,'04_PSA_INPUTS'!I6)</f>
        <v>#NAME?</v>
      </c>
      <c r="D522" s="27" t="e">
        <f ca="1">_xludf.GAMMA.INV(T522,'04_PSA_INPUTS'!H7,'04_PSA_INPUTS'!I7)</f>
        <v>#NAME?</v>
      </c>
      <c r="E522" s="27" t="e">
        <f ca="1">_xludf.GAMMA.INV(U522,'04_PSA_INPUTS'!H8,'04_PSA_INPUTS'!I8)</f>
        <v>#NAME?</v>
      </c>
      <c r="F522" s="27" t="e">
        <f ca="1">_xludf.GAMMA.INV(V522,'04_PSA_INPUTS'!H9,'04_PSA_INPUTS'!I9)</f>
        <v>#NAME?</v>
      </c>
      <c r="G522" s="23" t="e">
        <f ca="1">_xludf.BETA.INV(W522,'04_PSA_INPUTS'!H10,'04_PSA_INPUTS'!I10)</f>
        <v>#NAME?</v>
      </c>
      <c r="H522" s="23" t="e">
        <f ca="1">_xludf.BETA.INV(X522,'04_PSA_INPUTS'!H11,'04_PSA_INPUTS'!I11)</f>
        <v>#NAME?</v>
      </c>
      <c r="I522" s="27" t="e">
        <f ca="1">D522+B522*F522+'01_INPUTS'!B20</f>
        <v>#NAME?</v>
      </c>
      <c r="J522" s="27" t="e">
        <f ca="1">E522+C522*F522+'01_INPUTS'!B21</f>
        <v>#NAME?</v>
      </c>
      <c r="K522" s="27" t="e">
        <f t="shared" ca="1" si="48"/>
        <v>#NAME?</v>
      </c>
      <c r="L522" s="23" t="e">
        <f t="shared" ca="1" si="49"/>
        <v>#NAME?</v>
      </c>
      <c r="M522" s="23" t="e">
        <f t="shared" ca="1" si="50"/>
        <v>#NAME?</v>
      </c>
      <c r="N522" s="23" t="e">
        <f t="shared" ca="1" si="51"/>
        <v>#NAME?</v>
      </c>
      <c r="O522" s="27" t="e">
        <f t="shared" ca="1" si="52"/>
        <v>#NAME?</v>
      </c>
      <c r="P522" s="27" t="e">
        <f ca="1">'01_INPUTS'!B9*N522-K522</f>
        <v>#NAME?</v>
      </c>
      <c r="Q522" s="1" t="e">
        <f t="shared" ca="1" si="53"/>
        <v>#NAME?</v>
      </c>
      <c r="R522" s="28">
        <v>0.58078453782945871</v>
      </c>
      <c r="S522" s="28">
        <v>0.90523586003109813</v>
      </c>
      <c r="T522" s="28">
        <v>0.51140616042539477</v>
      </c>
      <c r="U522" s="28">
        <v>0.82320942147634923</v>
      </c>
      <c r="V522" s="28">
        <v>0.70194611488841474</v>
      </c>
      <c r="W522" s="28">
        <v>5.5090582929551601E-2</v>
      </c>
      <c r="X522" s="28">
        <v>0.85076719103381038</v>
      </c>
    </row>
    <row r="523" spans="1:24" ht="13.9">
      <c r="A523" s="1">
        <v>522</v>
      </c>
      <c r="B523" s="23" t="e">
        <f ca="1">_xludf.BETA.INV(R523,'04_PSA_INPUTS'!H5,'04_PSA_INPUTS'!I5)</f>
        <v>#NAME?</v>
      </c>
      <c r="C523" s="23" t="e">
        <f ca="1">_xludf.BETA.INV(S523,'04_PSA_INPUTS'!H6,'04_PSA_INPUTS'!I6)</f>
        <v>#NAME?</v>
      </c>
      <c r="D523" s="27" t="e">
        <f ca="1">_xludf.GAMMA.INV(T523,'04_PSA_INPUTS'!H7,'04_PSA_INPUTS'!I7)</f>
        <v>#NAME?</v>
      </c>
      <c r="E523" s="27" t="e">
        <f ca="1">_xludf.GAMMA.INV(U523,'04_PSA_INPUTS'!H8,'04_PSA_INPUTS'!I8)</f>
        <v>#NAME?</v>
      </c>
      <c r="F523" s="27" t="e">
        <f ca="1">_xludf.GAMMA.INV(V523,'04_PSA_INPUTS'!H9,'04_PSA_INPUTS'!I9)</f>
        <v>#NAME?</v>
      </c>
      <c r="G523" s="23" t="e">
        <f ca="1">_xludf.BETA.INV(W523,'04_PSA_INPUTS'!H10,'04_PSA_INPUTS'!I10)</f>
        <v>#NAME?</v>
      </c>
      <c r="H523" s="23" t="e">
        <f ca="1">_xludf.BETA.INV(X523,'04_PSA_INPUTS'!H11,'04_PSA_INPUTS'!I11)</f>
        <v>#NAME?</v>
      </c>
      <c r="I523" s="27" t="e">
        <f ca="1">D523+B523*F523+'01_INPUTS'!B20</f>
        <v>#NAME?</v>
      </c>
      <c r="J523" s="27" t="e">
        <f ca="1">E523+C523*F523+'01_INPUTS'!B21</f>
        <v>#NAME?</v>
      </c>
      <c r="K523" s="27" t="e">
        <f t="shared" ca="1" si="48"/>
        <v>#NAME?</v>
      </c>
      <c r="L523" s="23" t="e">
        <f t="shared" ca="1" si="49"/>
        <v>#NAME?</v>
      </c>
      <c r="M523" s="23" t="e">
        <f t="shared" ca="1" si="50"/>
        <v>#NAME?</v>
      </c>
      <c r="N523" s="23" t="e">
        <f t="shared" ca="1" si="51"/>
        <v>#NAME?</v>
      </c>
      <c r="O523" s="27" t="e">
        <f t="shared" ca="1" si="52"/>
        <v>#NAME?</v>
      </c>
      <c r="P523" s="27" t="e">
        <f ca="1">'01_INPUTS'!B9*N523-K523</f>
        <v>#NAME?</v>
      </c>
      <c r="Q523" s="1" t="e">
        <f t="shared" ca="1" si="53"/>
        <v>#NAME?</v>
      </c>
      <c r="R523" s="28">
        <v>0.17457171226851642</v>
      </c>
      <c r="S523" s="28">
        <v>0.74315886478871107</v>
      </c>
      <c r="T523" s="28">
        <v>0.88002937450073659</v>
      </c>
      <c r="U523" s="28">
        <v>4.8325276933610439E-2</v>
      </c>
      <c r="V523" s="28">
        <v>0.75255862507037818</v>
      </c>
      <c r="W523" s="28">
        <v>0.36493507772684097</v>
      </c>
      <c r="X523" s="28">
        <v>0.90218717814423144</v>
      </c>
    </row>
    <row r="524" spans="1:24" ht="13.9">
      <c r="A524" s="1">
        <v>523</v>
      </c>
      <c r="B524" s="23" t="e">
        <f ca="1">_xludf.BETA.INV(R524,'04_PSA_INPUTS'!H5,'04_PSA_INPUTS'!I5)</f>
        <v>#NAME?</v>
      </c>
      <c r="C524" s="23" t="e">
        <f ca="1">_xludf.BETA.INV(S524,'04_PSA_INPUTS'!H6,'04_PSA_INPUTS'!I6)</f>
        <v>#NAME?</v>
      </c>
      <c r="D524" s="27" t="e">
        <f ca="1">_xludf.GAMMA.INV(T524,'04_PSA_INPUTS'!H7,'04_PSA_INPUTS'!I7)</f>
        <v>#NAME?</v>
      </c>
      <c r="E524" s="27" t="e">
        <f ca="1">_xludf.GAMMA.INV(U524,'04_PSA_INPUTS'!H8,'04_PSA_INPUTS'!I8)</f>
        <v>#NAME?</v>
      </c>
      <c r="F524" s="27" t="e">
        <f ca="1">_xludf.GAMMA.INV(V524,'04_PSA_INPUTS'!H9,'04_PSA_INPUTS'!I9)</f>
        <v>#NAME?</v>
      </c>
      <c r="G524" s="23" t="e">
        <f ca="1">_xludf.BETA.INV(W524,'04_PSA_INPUTS'!H10,'04_PSA_INPUTS'!I10)</f>
        <v>#NAME?</v>
      </c>
      <c r="H524" s="23" t="e">
        <f ca="1">_xludf.BETA.INV(X524,'04_PSA_INPUTS'!H11,'04_PSA_INPUTS'!I11)</f>
        <v>#NAME?</v>
      </c>
      <c r="I524" s="27" t="e">
        <f ca="1">D524+B524*F524+'01_INPUTS'!B20</f>
        <v>#NAME?</v>
      </c>
      <c r="J524" s="27" t="e">
        <f ca="1">E524+C524*F524+'01_INPUTS'!B21</f>
        <v>#NAME?</v>
      </c>
      <c r="K524" s="27" t="e">
        <f t="shared" ca="1" si="48"/>
        <v>#NAME?</v>
      </c>
      <c r="L524" s="23" t="e">
        <f t="shared" ca="1" si="49"/>
        <v>#NAME?</v>
      </c>
      <c r="M524" s="23" t="e">
        <f t="shared" ca="1" si="50"/>
        <v>#NAME?</v>
      </c>
      <c r="N524" s="23" t="e">
        <f t="shared" ca="1" si="51"/>
        <v>#NAME?</v>
      </c>
      <c r="O524" s="27" t="e">
        <f t="shared" ca="1" si="52"/>
        <v>#NAME?</v>
      </c>
      <c r="P524" s="27" t="e">
        <f ca="1">'01_INPUTS'!B9*N524-K524</f>
        <v>#NAME?</v>
      </c>
      <c r="Q524" s="1" t="e">
        <f t="shared" ca="1" si="53"/>
        <v>#NAME?</v>
      </c>
      <c r="R524" s="28">
        <v>0.6529428199864924</v>
      </c>
      <c r="S524" s="28">
        <v>0.87598570133559406</v>
      </c>
      <c r="T524" s="28">
        <v>0.56364231184124947</v>
      </c>
      <c r="U524" s="28">
        <v>1.9764238269999623E-2</v>
      </c>
      <c r="V524" s="28">
        <v>0.12092210236005485</v>
      </c>
      <c r="W524" s="28">
        <v>0.70904609491117299</v>
      </c>
      <c r="X524" s="28">
        <v>0.7222344228066504</v>
      </c>
    </row>
    <row r="525" spans="1:24" ht="13.9">
      <c r="A525" s="1">
        <v>524</v>
      </c>
      <c r="B525" s="23" t="e">
        <f ca="1">_xludf.BETA.INV(R525,'04_PSA_INPUTS'!H5,'04_PSA_INPUTS'!I5)</f>
        <v>#NAME?</v>
      </c>
      <c r="C525" s="23" t="e">
        <f ca="1">_xludf.BETA.INV(S525,'04_PSA_INPUTS'!H6,'04_PSA_INPUTS'!I6)</f>
        <v>#NAME?</v>
      </c>
      <c r="D525" s="27" t="e">
        <f ca="1">_xludf.GAMMA.INV(T525,'04_PSA_INPUTS'!H7,'04_PSA_INPUTS'!I7)</f>
        <v>#NAME?</v>
      </c>
      <c r="E525" s="27" t="e">
        <f ca="1">_xludf.GAMMA.INV(U525,'04_PSA_INPUTS'!H8,'04_PSA_INPUTS'!I8)</f>
        <v>#NAME?</v>
      </c>
      <c r="F525" s="27" t="e">
        <f ca="1">_xludf.GAMMA.INV(V525,'04_PSA_INPUTS'!H9,'04_PSA_INPUTS'!I9)</f>
        <v>#NAME?</v>
      </c>
      <c r="G525" s="23" t="e">
        <f ca="1">_xludf.BETA.INV(W525,'04_PSA_INPUTS'!H10,'04_PSA_INPUTS'!I10)</f>
        <v>#NAME?</v>
      </c>
      <c r="H525" s="23" t="e">
        <f ca="1">_xludf.BETA.INV(X525,'04_PSA_INPUTS'!H11,'04_PSA_INPUTS'!I11)</f>
        <v>#NAME?</v>
      </c>
      <c r="I525" s="27" t="e">
        <f ca="1">D525+B525*F525+'01_INPUTS'!B20</f>
        <v>#NAME?</v>
      </c>
      <c r="J525" s="27" t="e">
        <f ca="1">E525+C525*F525+'01_INPUTS'!B21</f>
        <v>#NAME?</v>
      </c>
      <c r="K525" s="27" t="e">
        <f t="shared" ca="1" si="48"/>
        <v>#NAME?</v>
      </c>
      <c r="L525" s="23" t="e">
        <f t="shared" ca="1" si="49"/>
        <v>#NAME?</v>
      </c>
      <c r="M525" s="23" t="e">
        <f t="shared" ca="1" si="50"/>
        <v>#NAME?</v>
      </c>
      <c r="N525" s="23" t="e">
        <f t="shared" ca="1" si="51"/>
        <v>#NAME?</v>
      </c>
      <c r="O525" s="27" t="e">
        <f t="shared" ca="1" si="52"/>
        <v>#NAME?</v>
      </c>
      <c r="P525" s="27" t="e">
        <f ca="1">'01_INPUTS'!B9*N525-K525</f>
        <v>#NAME?</v>
      </c>
      <c r="Q525" s="1" t="e">
        <f t="shared" ca="1" si="53"/>
        <v>#NAME?</v>
      </c>
      <c r="R525" s="28">
        <v>0.8137685724068433</v>
      </c>
      <c r="S525" s="28">
        <v>0.98242957959882915</v>
      </c>
      <c r="T525" s="28">
        <v>0.46113652247004211</v>
      </c>
      <c r="U525" s="28">
        <v>8.4261027397587895E-2</v>
      </c>
      <c r="V525" s="28">
        <v>0.53495451621711254</v>
      </c>
      <c r="W525" s="28">
        <v>0.87537598772905767</v>
      </c>
      <c r="X525" s="28">
        <v>0.50551978452131152</v>
      </c>
    </row>
    <row r="526" spans="1:24" ht="13.9">
      <c r="A526" s="1">
        <v>525</v>
      </c>
      <c r="B526" s="23" t="e">
        <f ca="1">_xludf.BETA.INV(R526,'04_PSA_INPUTS'!H5,'04_PSA_INPUTS'!I5)</f>
        <v>#NAME?</v>
      </c>
      <c r="C526" s="23" t="e">
        <f ca="1">_xludf.BETA.INV(S526,'04_PSA_INPUTS'!H6,'04_PSA_INPUTS'!I6)</f>
        <v>#NAME?</v>
      </c>
      <c r="D526" s="27" t="e">
        <f ca="1">_xludf.GAMMA.INV(T526,'04_PSA_INPUTS'!H7,'04_PSA_INPUTS'!I7)</f>
        <v>#NAME?</v>
      </c>
      <c r="E526" s="27" t="e">
        <f ca="1">_xludf.GAMMA.INV(U526,'04_PSA_INPUTS'!H8,'04_PSA_INPUTS'!I8)</f>
        <v>#NAME?</v>
      </c>
      <c r="F526" s="27" t="e">
        <f ca="1">_xludf.GAMMA.INV(V526,'04_PSA_INPUTS'!H9,'04_PSA_INPUTS'!I9)</f>
        <v>#NAME?</v>
      </c>
      <c r="G526" s="23" t="e">
        <f ca="1">_xludf.BETA.INV(W526,'04_PSA_INPUTS'!H10,'04_PSA_INPUTS'!I10)</f>
        <v>#NAME?</v>
      </c>
      <c r="H526" s="23" t="e">
        <f ca="1">_xludf.BETA.INV(X526,'04_PSA_INPUTS'!H11,'04_PSA_INPUTS'!I11)</f>
        <v>#NAME?</v>
      </c>
      <c r="I526" s="27" t="e">
        <f ca="1">D526+B526*F526+'01_INPUTS'!B20</f>
        <v>#NAME?</v>
      </c>
      <c r="J526" s="27" t="e">
        <f ca="1">E526+C526*F526+'01_INPUTS'!B21</f>
        <v>#NAME?</v>
      </c>
      <c r="K526" s="27" t="e">
        <f t="shared" ca="1" si="48"/>
        <v>#NAME?</v>
      </c>
      <c r="L526" s="23" t="e">
        <f t="shared" ca="1" si="49"/>
        <v>#NAME?</v>
      </c>
      <c r="M526" s="23" t="e">
        <f t="shared" ca="1" si="50"/>
        <v>#NAME?</v>
      </c>
      <c r="N526" s="23" t="e">
        <f t="shared" ca="1" si="51"/>
        <v>#NAME?</v>
      </c>
      <c r="O526" s="27" t="e">
        <f t="shared" ca="1" si="52"/>
        <v>#NAME?</v>
      </c>
      <c r="P526" s="27" t="e">
        <f ca="1">'01_INPUTS'!B9*N526-K526</f>
        <v>#NAME?</v>
      </c>
      <c r="Q526" s="1" t="e">
        <f t="shared" ca="1" si="53"/>
        <v>#NAME?</v>
      </c>
      <c r="R526" s="28">
        <v>0.53132950351573527</v>
      </c>
      <c r="S526" s="28">
        <v>0.31386378570459783</v>
      </c>
      <c r="T526" s="28">
        <v>0.92591780517250299</v>
      </c>
      <c r="U526" s="28">
        <v>0.41202495363540947</v>
      </c>
      <c r="V526" s="28">
        <v>0.31033749226480722</v>
      </c>
      <c r="W526" s="28">
        <v>0.31626551575027406</v>
      </c>
      <c r="X526" s="28">
        <v>5.3733019391074777E-2</v>
      </c>
    </row>
    <row r="527" spans="1:24" ht="13.9">
      <c r="A527" s="1">
        <v>526</v>
      </c>
      <c r="B527" s="23" t="e">
        <f ca="1">_xludf.BETA.INV(R527,'04_PSA_INPUTS'!H5,'04_PSA_INPUTS'!I5)</f>
        <v>#NAME?</v>
      </c>
      <c r="C527" s="23" t="e">
        <f ca="1">_xludf.BETA.INV(S527,'04_PSA_INPUTS'!H6,'04_PSA_INPUTS'!I6)</f>
        <v>#NAME?</v>
      </c>
      <c r="D527" s="27" t="e">
        <f ca="1">_xludf.GAMMA.INV(T527,'04_PSA_INPUTS'!H7,'04_PSA_INPUTS'!I7)</f>
        <v>#NAME?</v>
      </c>
      <c r="E527" s="27" t="e">
        <f ca="1">_xludf.GAMMA.INV(U527,'04_PSA_INPUTS'!H8,'04_PSA_INPUTS'!I8)</f>
        <v>#NAME?</v>
      </c>
      <c r="F527" s="27" t="e">
        <f ca="1">_xludf.GAMMA.INV(V527,'04_PSA_INPUTS'!H9,'04_PSA_INPUTS'!I9)</f>
        <v>#NAME?</v>
      </c>
      <c r="G527" s="23" t="e">
        <f ca="1">_xludf.BETA.INV(W527,'04_PSA_INPUTS'!H10,'04_PSA_INPUTS'!I10)</f>
        <v>#NAME?</v>
      </c>
      <c r="H527" s="23" t="e">
        <f ca="1">_xludf.BETA.INV(X527,'04_PSA_INPUTS'!H11,'04_PSA_INPUTS'!I11)</f>
        <v>#NAME?</v>
      </c>
      <c r="I527" s="27" t="e">
        <f ca="1">D527+B527*F527+'01_INPUTS'!B20</f>
        <v>#NAME?</v>
      </c>
      <c r="J527" s="27" t="e">
        <f ca="1">E527+C527*F527+'01_INPUTS'!B21</f>
        <v>#NAME?</v>
      </c>
      <c r="K527" s="27" t="e">
        <f t="shared" ca="1" si="48"/>
        <v>#NAME?</v>
      </c>
      <c r="L527" s="23" t="e">
        <f t="shared" ca="1" si="49"/>
        <v>#NAME?</v>
      </c>
      <c r="M527" s="23" t="e">
        <f t="shared" ca="1" si="50"/>
        <v>#NAME?</v>
      </c>
      <c r="N527" s="23" t="e">
        <f t="shared" ca="1" si="51"/>
        <v>#NAME?</v>
      </c>
      <c r="O527" s="27" t="e">
        <f t="shared" ca="1" si="52"/>
        <v>#NAME?</v>
      </c>
      <c r="P527" s="27" t="e">
        <f ca="1">'01_INPUTS'!B9*N527-K527</f>
        <v>#NAME?</v>
      </c>
      <c r="Q527" s="1" t="e">
        <f t="shared" ca="1" si="53"/>
        <v>#NAME?</v>
      </c>
      <c r="R527" s="28">
        <v>0.20157806761562824</v>
      </c>
      <c r="S527" s="28">
        <v>7.66556765884161E-2</v>
      </c>
      <c r="T527" s="28">
        <v>0.69552440824918449</v>
      </c>
      <c r="U527" s="28">
        <v>0.44565473403781652</v>
      </c>
      <c r="V527" s="28">
        <v>0.84093692526221275</v>
      </c>
      <c r="W527" s="28">
        <v>0.16572285979054868</v>
      </c>
      <c r="X527" s="28">
        <v>0.77870886959135532</v>
      </c>
    </row>
    <row r="528" spans="1:24" ht="13.9">
      <c r="A528" s="1">
        <v>527</v>
      </c>
      <c r="B528" s="23" t="e">
        <f ca="1">_xludf.BETA.INV(R528,'04_PSA_INPUTS'!H5,'04_PSA_INPUTS'!I5)</f>
        <v>#NAME?</v>
      </c>
      <c r="C528" s="23" t="e">
        <f ca="1">_xludf.BETA.INV(S528,'04_PSA_INPUTS'!H6,'04_PSA_INPUTS'!I6)</f>
        <v>#NAME?</v>
      </c>
      <c r="D528" s="27" t="e">
        <f ca="1">_xludf.GAMMA.INV(T528,'04_PSA_INPUTS'!H7,'04_PSA_INPUTS'!I7)</f>
        <v>#NAME?</v>
      </c>
      <c r="E528" s="27" t="e">
        <f ca="1">_xludf.GAMMA.INV(U528,'04_PSA_INPUTS'!H8,'04_PSA_INPUTS'!I8)</f>
        <v>#NAME?</v>
      </c>
      <c r="F528" s="27" t="e">
        <f ca="1">_xludf.GAMMA.INV(V528,'04_PSA_INPUTS'!H9,'04_PSA_INPUTS'!I9)</f>
        <v>#NAME?</v>
      </c>
      <c r="G528" s="23" t="e">
        <f ca="1">_xludf.BETA.INV(W528,'04_PSA_INPUTS'!H10,'04_PSA_INPUTS'!I10)</f>
        <v>#NAME?</v>
      </c>
      <c r="H528" s="23" t="e">
        <f ca="1">_xludf.BETA.INV(X528,'04_PSA_INPUTS'!H11,'04_PSA_INPUTS'!I11)</f>
        <v>#NAME?</v>
      </c>
      <c r="I528" s="27" t="e">
        <f ca="1">D528+B528*F528+'01_INPUTS'!B20</f>
        <v>#NAME?</v>
      </c>
      <c r="J528" s="27" t="e">
        <f ca="1">E528+C528*F528+'01_INPUTS'!B21</f>
        <v>#NAME?</v>
      </c>
      <c r="K528" s="27" t="e">
        <f t="shared" ca="1" si="48"/>
        <v>#NAME?</v>
      </c>
      <c r="L528" s="23" t="e">
        <f t="shared" ca="1" si="49"/>
        <v>#NAME?</v>
      </c>
      <c r="M528" s="23" t="e">
        <f t="shared" ca="1" si="50"/>
        <v>#NAME?</v>
      </c>
      <c r="N528" s="23" t="e">
        <f t="shared" ca="1" si="51"/>
        <v>#NAME?</v>
      </c>
      <c r="O528" s="27" t="e">
        <f t="shared" ca="1" si="52"/>
        <v>#NAME?</v>
      </c>
      <c r="P528" s="27" t="e">
        <f ca="1">'01_INPUTS'!B9*N528-K528</f>
        <v>#NAME?</v>
      </c>
      <c r="Q528" s="1" t="e">
        <f t="shared" ca="1" si="53"/>
        <v>#NAME?</v>
      </c>
      <c r="R528" s="28">
        <v>0.80507490294985473</v>
      </c>
      <c r="S528" s="28">
        <v>0.45951702119782567</v>
      </c>
      <c r="T528" s="28">
        <v>0.11957875988446176</v>
      </c>
      <c r="U528" s="28">
        <v>0.632671122206375</v>
      </c>
      <c r="V528" s="28">
        <v>0.6015997133217752</v>
      </c>
      <c r="W528" s="28">
        <v>0.11577472928911448</v>
      </c>
      <c r="X528" s="28">
        <v>0.19878182210959494</v>
      </c>
    </row>
    <row r="529" spans="1:24" ht="13.9">
      <c r="A529" s="1">
        <v>528</v>
      </c>
      <c r="B529" s="23" t="e">
        <f ca="1">_xludf.BETA.INV(R529,'04_PSA_INPUTS'!H5,'04_PSA_INPUTS'!I5)</f>
        <v>#NAME?</v>
      </c>
      <c r="C529" s="23" t="e">
        <f ca="1">_xludf.BETA.INV(S529,'04_PSA_INPUTS'!H6,'04_PSA_INPUTS'!I6)</f>
        <v>#NAME?</v>
      </c>
      <c r="D529" s="27" t="e">
        <f ca="1">_xludf.GAMMA.INV(T529,'04_PSA_INPUTS'!H7,'04_PSA_INPUTS'!I7)</f>
        <v>#NAME?</v>
      </c>
      <c r="E529" s="27" t="e">
        <f ca="1">_xludf.GAMMA.INV(U529,'04_PSA_INPUTS'!H8,'04_PSA_INPUTS'!I8)</f>
        <v>#NAME?</v>
      </c>
      <c r="F529" s="27" t="e">
        <f ca="1">_xludf.GAMMA.INV(V529,'04_PSA_INPUTS'!H9,'04_PSA_INPUTS'!I9)</f>
        <v>#NAME?</v>
      </c>
      <c r="G529" s="23" t="e">
        <f ca="1">_xludf.BETA.INV(W529,'04_PSA_INPUTS'!H10,'04_PSA_INPUTS'!I10)</f>
        <v>#NAME?</v>
      </c>
      <c r="H529" s="23" t="e">
        <f ca="1">_xludf.BETA.INV(X529,'04_PSA_INPUTS'!H11,'04_PSA_INPUTS'!I11)</f>
        <v>#NAME?</v>
      </c>
      <c r="I529" s="27" t="e">
        <f ca="1">D529+B529*F529+'01_INPUTS'!B20</f>
        <v>#NAME?</v>
      </c>
      <c r="J529" s="27" t="e">
        <f ca="1">E529+C529*F529+'01_INPUTS'!B21</f>
        <v>#NAME?</v>
      </c>
      <c r="K529" s="27" t="e">
        <f t="shared" ca="1" si="48"/>
        <v>#NAME?</v>
      </c>
      <c r="L529" s="23" t="e">
        <f t="shared" ca="1" si="49"/>
        <v>#NAME?</v>
      </c>
      <c r="M529" s="23" t="e">
        <f t="shared" ca="1" si="50"/>
        <v>#NAME?</v>
      </c>
      <c r="N529" s="23" t="e">
        <f t="shared" ca="1" si="51"/>
        <v>#NAME?</v>
      </c>
      <c r="O529" s="27" t="e">
        <f t="shared" ca="1" si="52"/>
        <v>#NAME?</v>
      </c>
      <c r="P529" s="27" t="e">
        <f ca="1">'01_INPUTS'!B9*N529-K529</f>
        <v>#NAME?</v>
      </c>
      <c r="Q529" s="1" t="e">
        <f t="shared" ca="1" si="53"/>
        <v>#NAME?</v>
      </c>
      <c r="R529" s="28">
        <v>0.52123789698816836</v>
      </c>
      <c r="S529" s="28">
        <v>0.75205889344215393</v>
      </c>
      <c r="T529" s="28">
        <v>0.7761437501758337</v>
      </c>
      <c r="U529" s="28">
        <v>0.66694909729994833</v>
      </c>
      <c r="V529" s="28">
        <v>0.57007528748363256</v>
      </c>
      <c r="W529" s="28">
        <v>0.34794618957675993</v>
      </c>
      <c r="X529" s="28">
        <v>0.42203884897753596</v>
      </c>
    </row>
    <row r="530" spans="1:24" ht="13.9">
      <c r="A530" s="1">
        <v>529</v>
      </c>
      <c r="B530" s="23" t="e">
        <f ca="1">_xludf.BETA.INV(R530,'04_PSA_INPUTS'!H5,'04_PSA_INPUTS'!I5)</f>
        <v>#NAME?</v>
      </c>
      <c r="C530" s="23" t="e">
        <f ca="1">_xludf.BETA.INV(S530,'04_PSA_INPUTS'!H6,'04_PSA_INPUTS'!I6)</f>
        <v>#NAME?</v>
      </c>
      <c r="D530" s="27" t="e">
        <f ca="1">_xludf.GAMMA.INV(T530,'04_PSA_INPUTS'!H7,'04_PSA_INPUTS'!I7)</f>
        <v>#NAME?</v>
      </c>
      <c r="E530" s="27" t="e">
        <f ca="1">_xludf.GAMMA.INV(U530,'04_PSA_INPUTS'!H8,'04_PSA_INPUTS'!I8)</f>
        <v>#NAME?</v>
      </c>
      <c r="F530" s="27" t="e">
        <f ca="1">_xludf.GAMMA.INV(V530,'04_PSA_INPUTS'!H9,'04_PSA_INPUTS'!I9)</f>
        <v>#NAME?</v>
      </c>
      <c r="G530" s="23" t="e">
        <f ca="1">_xludf.BETA.INV(W530,'04_PSA_INPUTS'!H10,'04_PSA_INPUTS'!I10)</f>
        <v>#NAME?</v>
      </c>
      <c r="H530" s="23" t="e">
        <f ca="1">_xludf.BETA.INV(X530,'04_PSA_INPUTS'!H11,'04_PSA_INPUTS'!I11)</f>
        <v>#NAME?</v>
      </c>
      <c r="I530" s="27" t="e">
        <f ca="1">D530+B530*F530+'01_INPUTS'!B20</f>
        <v>#NAME?</v>
      </c>
      <c r="J530" s="27" t="e">
        <f ca="1">E530+C530*F530+'01_INPUTS'!B21</f>
        <v>#NAME?</v>
      </c>
      <c r="K530" s="27" t="e">
        <f t="shared" ca="1" si="48"/>
        <v>#NAME?</v>
      </c>
      <c r="L530" s="23" t="e">
        <f t="shared" ca="1" si="49"/>
        <v>#NAME?</v>
      </c>
      <c r="M530" s="23" t="e">
        <f t="shared" ca="1" si="50"/>
        <v>#NAME?</v>
      </c>
      <c r="N530" s="23" t="e">
        <f t="shared" ca="1" si="51"/>
        <v>#NAME?</v>
      </c>
      <c r="O530" s="27" t="e">
        <f t="shared" ca="1" si="52"/>
        <v>#NAME?</v>
      </c>
      <c r="P530" s="27" t="e">
        <f ca="1">'01_INPUTS'!B9*N530-K530</f>
        <v>#NAME?</v>
      </c>
      <c r="Q530" s="1" t="e">
        <f t="shared" ca="1" si="53"/>
        <v>#NAME?</v>
      </c>
      <c r="R530" s="28">
        <v>0.81137110851705074</v>
      </c>
      <c r="S530" s="28">
        <v>0.69973420212045312</v>
      </c>
      <c r="T530" s="28">
        <v>0.58697264012880623</v>
      </c>
      <c r="U530" s="28">
        <v>0.31753474334254861</v>
      </c>
      <c r="V530" s="28">
        <v>0.51642847410403192</v>
      </c>
      <c r="W530" s="28">
        <v>0.31490464345552027</v>
      </c>
      <c r="X530" s="28">
        <v>0.73415757110342383</v>
      </c>
    </row>
    <row r="531" spans="1:24" ht="13.9">
      <c r="A531" s="1">
        <v>530</v>
      </c>
      <c r="B531" s="23" t="e">
        <f ca="1">_xludf.BETA.INV(R531,'04_PSA_INPUTS'!H5,'04_PSA_INPUTS'!I5)</f>
        <v>#NAME?</v>
      </c>
      <c r="C531" s="23" t="e">
        <f ca="1">_xludf.BETA.INV(S531,'04_PSA_INPUTS'!H6,'04_PSA_INPUTS'!I6)</f>
        <v>#NAME?</v>
      </c>
      <c r="D531" s="27" t="e">
        <f ca="1">_xludf.GAMMA.INV(T531,'04_PSA_INPUTS'!H7,'04_PSA_INPUTS'!I7)</f>
        <v>#NAME?</v>
      </c>
      <c r="E531" s="27" t="e">
        <f ca="1">_xludf.GAMMA.INV(U531,'04_PSA_INPUTS'!H8,'04_PSA_INPUTS'!I8)</f>
        <v>#NAME?</v>
      </c>
      <c r="F531" s="27" t="e">
        <f ca="1">_xludf.GAMMA.INV(V531,'04_PSA_INPUTS'!H9,'04_PSA_INPUTS'!I9)</f>
        <v>#NAME?</v>
      </c>
      <c r="G531" s="23" t="e">
        <f ca="1">_xludf.BETA.INV(W531,'04_PSA_INPUTS'!H10,'04_PSA_INPUTS'!I10)</f>
        <v>#NAME?</v>
      </c>
      <c r="H531" s="23" t="e">
        <f ca="1">_xludf.BETA.INV(X531,'04_PSA_INPUTS'!H11,'04_PSA_INPUTS'!I11)</f>
        <v>#NAME?</v>
      </c>
      <c r="I531" s="27" t="e">
        <f ca="1">D531+B531*F531+'01_INPUTS'!B20</f>
        <v>#NAME?</v>
      </c>
      <c r="J531" s="27" t="e">
        <f ca="1">E531+C531*F531+'01_INPUTS'!B21</f>
        <v>#NAME?</v>
      </c>
      <c r="K531" s="27" t="e">
        <f t="shared" ca="1" si="48"/>
        <v>#NAME?</v>
      </c>
      <c r="L531" s="23" t="e">
        <f t="shared" ca="1" si="49"/>
        <v>#NAME?</v>
      </c>
      <c r="M531" s="23" t="e">
        <f t="shared" ca="1" si="50"/>
        <v>#NAME?</v>
      </c>
      <c r="N531" s="23" t="e">
        <f t="shared" ca="1" si="51"/>
        <v>#NAME?</v>
      </c>
      <c r="O531" s="27" t="e">
        <f t="shared" ca="1" si="52"/>
        <v>#NAME?</v>
      </c>
      <c r="P531" s="27" t="e">
        <f ca="1">'01_INPUTS'!B9*N531-K531</f>
        <v>#NAME?</v>
      </c>
      <c r="Q531" s="1" t="e">
        <f t="shared" ca="1" si="53"/>
        <v>#NAME?</v>
      </c>
      <c r="R531" s="28">
        <v>0.64334406261332333</v>
      </c>
      <c r="S531" s="28">
        <v>0.46610377449542284</v>
      </c>
      <c r="T531" s="28">
        <v>0.21446578181348741</v>
      </c>
      <c r="U531" s="28">
        <v>0.88815480493940413</v>
      </c>
      <c r="V531" s="28">
        <v>0.82997350324876606</v>
      </c>
      <c r="W531" s="28">
        <v>0.11752214562147856</v>
      </c>
      <c r="X531" s="28">
        <v>0.42282307427376509</v>
      </c>
    </row>
    <row r="532" spans="1:24" ht="13.9">
      <c r="A532" s="1">
        <v>531</v>
      </c>
      <c r="B532" s="23" t="e">
        <f ca="1">_xludf.BETA.INV(R532,'04_PSA_INPUTS'!H5,'04_PSA_INPUTS'!I5)</f>
        <v>#NAME?</v>
      </c>
      <c r="C532" s="23" t="e">
        <f ca="1">_xludf.BETA.INV(S532,'04_PSA_INPUTS'!H6,'04_PSA_INPUTS'!I6)</f>
        <v>#NAME?</v>
      </c>
      <c r="D532" s="27" t="e">
        <f ca="1">_xludf.GAMMA.INV(T532,'04_PSA_INPUTS'!H7,'04_PSA_INPUTS'!I7)</f>
        <v>#NAME?</v>
      </c>
      <c r="E532" s="27" t="e">
        <f ca="1">_xludf.GAMMA.INV(U532,'04_PSA_INPUTS'!H8,'04_PSA_INPUTS'!I8)</f>
        <v>#NAME?</v>
      </c>
      <c r="F532" s="27" t="e">
        <f ca="1">_xludf.GAMMA.INV(V532,'04_PSA_INPUTS'!H9,'04_PSA_INPUTS'!I9)</f>
        <v>#NAME?</v>
      </c>
      <c r="G532" s="23" t="e">
        <f ca="1">_xludf.BETA.INV(W532,'04_PSA_INPUTS'!H10,'04_PSA_INPUTS'!I10)</f>
        <v>#NAME?</v>
      </c>
      <c r="H532" s="23" t="e">
        <f ca="1">_xludf.BETA.INV(X532,'04_PSA_INPUTS'!H11,'04_PSA_INPUTS'!I11)</f>
        <v>#NAME?</v>
      </c>
      <c r="I532" s="27" t="e">
        <f ca="1">D532+B532*F532+'01_INPUTS'!B20</f>
        <v>#NAME?</v>
      </c>
      <c r="J532" s="27" t="e">
        <f ca="1">E532+C532*F532+'01_INPUTS'!B21</f>
        <v>#NAME?</v>
      </c>
      <c r="K532" s="27" t="e">
        <f t="shared" ca="1" si="48"/>
        <v>#NAME?</v>
      </c>
      <c r="L532" s="23" t="e">
        <f t="shared" ca="1" si="49"/>
        <v>#NAME?</v>
      </c>
      <c r="M532" s="23" t="e">
        <f t="shared" ca="1" si="50"/>
        <v>#NAME?</v>
      </c>
      <c r="N532" s="23" t="e">
        <f t="shared" ca="1" si="51"/>
        <v>#NAME?</v>
      </c>
      <c r="O532" s="27" t="e">
        <f t="shared" ca="1" si="52"/>
        <v>#NAME?</v>
      </c>
      <c r="P532" s="27" t="e">
        <f ca="1">'01_INPUTS'!B9*N532-K532</f>
        <v>#NAME?</v>
      </c>
      <c r="Q532" s="1" t="e">
        <f t="shared" ca="1" si="53"/>
        <v>#NAME?</v>
      </c>
      <c r="R532" s="28">
        <v>0.76208620890974998</v>
      </c>
      <c r="S532" s="28">
        <v>0.13753251219168305</v>
      </c>
      <c r="T532" s="28">
        <v>0.18267179327085614</v>
      </c>
      <c r="U532" s="28">
        <v>0.6597262613940984</v>
      </c>
      <c r="V532" s="28">
        <v>0.41413501696661115</v>
      </c>
      <c r="W532" s="28">
        <v>0.51522149215452373</v>
      </c>
      <c r="X532" s="28">
        <v>0.84058691444806755</v>
      </c>
    </row>
    <row r="533" spans="1:24" ht="13.9">
      <c r="A533" s="1">
        <v>532</v>
      </c>
      <c r="B533" s="23" t="e">
        <f ca="1">_xludf.BETA.INV(R533,'04_PSA_INPUTS'!H5,'04_PSA_INPUTS'!I5)</f>
        <v>#NAME?</v>
      </c>
      <c r="C533" s="23" t="e">
        <f ca="1">_xludf.BETA.INV(S533,'04_PSA_INPUTS'!H6,'04_PSA_INPUTS'!I6)</f>
        <v>#NAME?</v>
      </c>
      <c r="D533" s="27" t="e">
        <f ca="1">_xludf.GAMMA.INV(T533,'04_PSA_INPUTS'!H7,'04_PSA_INPUTS'!I7)</f>
        <v>#NAME?</v>
      </c>
      <c r="E533" s="27" t="e">
        <f ca="1">_xludf.GAMMA.INV(U533,'04_PSA_INPUTS'!H8,'04_PSA_INPUTS'!I8)</f>
        <v>#NAME?</v>
      </c>
      <c r="F533" s="27" t="e">
        <f ca="1">_xludf.GAMMA.INV(V533,'04_PSA_INPUTS'!H9,'04_PSA_INPUTS'!I9)</f>
        <v>#NAME?</v>
      </c>
      <c r="G533" s="23" t="e">
        <f ca="1">_xludf.BETA.INV(W533,'04_PSA_INPUTS'!H10,'04_PSA_INPUTS'!I10)</f>
        <v>#NAME?</v>
      </c>
      <c r="H533" s="23" t="e">
        <f ca="1">_xludf.BETA.INV(X533,'04_PSA_INPUTS'!H11,'04_PSA_INPUTS'!I11)</f>
        <v>#NAME?</v>
      </c>
      <c r="I533" s="27" t="e">
        <f ca="1">D533+B533*F533+'01_INPUTS'!B20</f>
        <v>#NAME?</v>
      </c>
      <c r="J533" s="27" t="e">
        <f ca="1">E533+C533*F533+'01_INPUTS'!B21</f>
        <v>#NAME?</v>
      </c>
      <c r="K533" s="27" t="e">
        <f t="shared" ca="1" si="48"/>
        <v>#NAME?</v>
      </c>
      <c r="L533" s="23" t="e">
        <f t="shared" ca="1" si="49"/>
        <v>#NAME?</v>
      </c>
      <c r="M533" s="23" t="e">
        <f t="shared" ca="1" si="50"/>
        <v>#NAME?</v>
      </c>
      <c r="N533" s="23" t="e">
        <f t="shared" ca="1" si="51"/>
        <v>#NAME?</v>
      </c>
      <c r="O533" s="27" t="e">
        <f t="shared" ca="1" si="52"/>
        <v>#NAME?</v>
      </c>
      <c r="P533" s="27" t="e">
        <f ca="1">'01_INPUTS'!B9*N533-K533</f>
        <v>#NAME?</v>
      </c>
      <c r="Q533" s="1" t="e">
        <f t="shared" ca="1" si="53"/>
        <v>#NAME?</v>
      </c>
      <c r="R533" s="28">
        <v>0.39394178637303412</v>
      </c>
      <c r="S533" s="28">
        <v>0.64606644166633487</v>
      </c>
      <c r="T533" s="28">
        <v>2.5908751180395484E-2</v>
      </c>
      <c r="U533" s="28">
        <v>0.19844565726816654</v>
      </c>
      <c r="V533" s="28">
        <v>0.12387624755501747</v>
      </c>
      <c r="W533" s="28">
        <v>0.43794526043348014</v>
      </c>
      <c r="X533" s="28">
        <v>0.43794352165423334</v>
      </c>
    </row>
    <row r="534" spans="1:24" ht="13.9">
      <c r="A534" s="1">
        <v>533</v>
      </c>
      <c r="B534" s="23" t="e">
        <f ca="1">_xludf.BETA.INV(R534,'04_PSA_INPUTS'!H5,'04_PSA_INPUTS'!I5)</f>
        <v>#NAME?</v>
      </c>
      <c r="C534" s="23" t="e">
        <f ca="1">_xludf.BETA.INV(S534,'04_PSA_INPUTS'!H6,'04_PSA_INPUTS'!I6)</f>
        <v>#NAME?</v>
      </c>
      <c r="D534" s="27" t="e">
        <f ca="1">_xludf.GAMMA.INV(T534,'04_PSA_INPUTS'!H7,'04_PSA_INPUTS'!I7)</f>
        <v>#NAME?</v>
      </c>
      <c r="E534" s="27" t="e">
        <f ca="1">_xludf.GAMMA.INV(U534,'04_PSA_INPUTS'!H8,'04_PSA_INPUTS'!I8)</f>
        <v>#NAME?</v>
      </c>
      <c r="F534" s="27" t="e">
        <f ca="1">_xludf.GAMMA.INV(V534,'04_PSA_INPUTS'!H9,'04_PSA_INPUTS'!I9)</f>
        <v>#NAME?</v>
      </c>
      <c r="G534" s="23" t="e">
        <f ca="1">_xludf.BETA.INV(W534,'04_PSA_INPUTS'!H10,'04_PSA_INPUTS'!I10)</f>
        <v>#NAME?</v>
      </c>
      <c r="H534" s="23" t="e">
        <f ca="1">_xludf.BETA.INV(X534,'04_PSA_INPUTS'!H11,'04_PSA_INPUTS'!I11)</f>
        <v>#NAME?</v>
      </c>
      <c r="I534" s="27" t="e">
        <f ca="1">D534+B534*F534+'01_INPUTS'!B20</f>
        <v>#NAME?</v>
      </c>
      <c r="J534" s="27" t="e">
        <f ca="1">E534+C534*F534+'01_INPUTS'!B21</f>
        <v>#NAME?</v>
      </c>
      <c r="K534" s="27" t="e">
        <f t="shared" ca="1" si="48"/>
        <v>#NAME?</v>
      </c>
      <c r="L534" s="23" t="e">
        <f t="shared" ca="1" si="49"/>
        <v>#NAME?</v>
      </c>
      <c r="M534" s="23" t="e">
        <f t="shared" ca="1" si="50"/>
        <v>#NAME?</v>
      </c>
      <c r="N534" s="23" t="e">
        <f t="shared" ca="1" si="51"/>
        <v>#NAME?</v>
      </c>
      <c r="O534" s="27" t="e">
        <f t="shared" ca="1" si="52"/>
        <v>#NAME?</v>
      </c>
      <c r="P534" s="27" t="e">
        <f ca="1">'01_INPUTS'!B9*N534-K534</f>
        <v>#NAME?</v>
      </c>
      <c r="Q534" s="1" t="e">
        <f t="shared" ca="1" si="53"/>
        <v>#NAME?</v>
      </c>
      <c r="R534" s="28">
        <v>7.4821705929934978E-2</v>
      </c>
      <c r="S534" s="28">
        <v>0.47174845379777253</v>
      </c>
      <c r="T534" s="28">
        <v>3.225863236002624E-2</v>
      </c>
      <c r="U534" s="28">
        <v>0.28041228745132685</v>
      </c>
      <c r="V534" s="28">
        <v>0.33310059481300414</v>
      </c>
      <c r="W534" s="28">
        <v>0.81274670688435435</v>
      </c>
      <c r="X534" s="28">
        <v>0.78285395307466388</v>
      </c>
    </row>
    <row r="535" spans="1:24" ht="13.9">
      <c r="A535" s="1">
        <v>534</v>
      </c>
      <c r="B535" s="23" t="e">
        <f ca="1">_xludf.BETA.INV(R535,'04_PSA_INPUTS'!H5,'04_PSA_INPUTS'!I5)</f>
        <v>#NAME?</v>
      </c>
      <c r="C535" s="23" t="e">
        <f ca="1">_xludf.BETA.INV(S535,'04_PSA_INPUTS'!H6,'04_PSA_INPUTS'!I6)</f>
        <v>#NAME?</v>
      </c>
      <c r="D535" s="27" t="e">
        <f ca="1">_xludf.GAMMA.INV(T535,'04_PSA_INPUTS'!H7,'04_PSA_INPUTS'!I7)</f>
        <v>#NAME?</v>
      </c>
      <c r="E535" s="27" t="e">
        <f ca="1">_xludf.GAMMA.INV(U535,'04_PSA_INPUTS'!H8,'04_PSA_INPUTS'!I8)</f>
        <v>#NAME?</v>
      </c>
      <c r="F535" s="27" t="e">
        <f ca="1">_xludf.GAMMA.INV(V535,'04_PSA_INPUTS'!H9,'04_PSA_INPUTS'!I9)</f>
        <v>#NAME?</v>
      </c>
      <c r="G535" s="23" t="e">
        <f ca="1">_xludf.BETA.INV(W535,'04_PSA_INPUTS'!H10,'04_PSA_INPUTS'!I10)</f>
        <v>#NAME?</v>
      </c>
      <c r="H535" s="23" t="e">
        <f ca="1">_xludf.BETA.INV(X535,'04_PSA_INPUTS'!H11,'04_PSA_INPUTS'!I11)</f>
        <v>#NAME?</v>
      </c>
      <c r="I535" s="27" t="e">
        <f ca="1">D535+B535*F535+'01_INPUTS'!B20</f>
        <v>#NAME?</v>
      </c>
      <c r="J535" s="27" t="e">
        <f ca="1">E535+C535*F535+'01_INPUTS'!B21</f>
        <v>#NAME?</v>
      </c>
      <c r="K535" s="27" t="e">
        <f t="shared" ca="1" si="48"/>
        <v>#NAME?</v>
      </c>
      <c r="L535" s="23" t="e">
        <f t="shared" ca="1" si="49"/>
        <v>#NAME?</v>
      </c>
      <c r="M535" s="23" t="e">
        <f t="shared" ca="1" si="50"/>
        <v>#NAME?</v>
      </c>
      <c r="N535" s="23" t="e">
        <f t="shared" ca="1" si="51"/>
        <v>#NAME?</v>
      </c>
      <c r="O535" s="27" t="e">
        <f t="shared" ca="1" si="52"/>
        <v>#NAME?</v>
      </c>
      <c r="P535" s="27" t="e">
        <f ca="1">'01_INPUTS'!B9*N535-K535</f>
        <v>#NAME?</v>
      </c>
      <c r="Q535" s="1" t="e">
        <f t="shared" ca="1" si="53"/>
        <v>#NAME?</v>
      </c>
      <c r="R535" s="28">
        <v>0.23848376446403563</v>
      </c>
      <c r="S535" s="28">
        <v>0.47420908370986581</v>
      </c>
      <c r="T535" s="28">
        <v>9.2849783832207322E-2</v>
      </c>
      <c r="U535" s="28">
        <v>0.69613346480764449</v>
      </c>
      <c r="V535" s="28">
        <v>3.6638453137129545E-2</v>
      </c>
      <c r="W535" s="28">
        <v>0.53478203155100346</v>
      </c>
      <c r="X535" s="28">
        <v>0.79822461446747184</v>
      </c>
    </row>
    <row r="536" spans="1:24" ht="13.9">
      <c r="A536" s="1">
        <v>535</v>
      </c>
      <c r="B536" s="23" t="e">
        <f ca="1">_xludf.BETA.INV(R536,'04_PSA_INPUTS'!H5,'04_PSA_INPUTS'!I5)</f>
        <v>#NAME?</v>
      </c>
      <c r="C536" s="23" t="e">
        <f ca="1">_xludf.BETA.INV(S536,'04_PSA_INPUTS'!H6,'04_PSA_INPUTS'!I6)</f>
        <v>#NAME?</v>
      </c>
      <c r="D536" s="27" t="e">
        <f ca="1">_xludf.GAMMA.INV(T536,'04_PSA_INPUTS'!H7,'04_PSA_INPUTS'!I7)</f>
        <v>#NAME?</v>
      </c>
      <c r="E536" s="27" t="e">
        <f ca="1">_xludf.GAMMA.INV(U536,'04_PSA_INPUTS'!H8,'04_PSA_INPUTS'!I8)</f>
        <v>#NAME?</v>
      </c>
      <c r="F536" s="27" t="e">
        <f ca="1">_xludf.GAMMA.INV(V536,'04_PSA_INPUTS'!H9,'04_PSA_INPUTS'!I9)</f>
        <v>#NAME?</v>
      </c>
      <c r="G536" s="23" t="e">
        <f ca="1">_xludf.BETA.INV(W536,'04_PSA_INPUTS'!H10,'04_PSA_INPUTS'!I10)</f>
        <v>#NAME?</v>
      </c>
      <c r="H536" s="23" t="e">
        <f ca="1">_xludf.BETA.INV(X536,'04_PSA_INPUTS'!H11,'04_PSA_INPUTS'!I11)</f>
        <v>#NAME?</v>
      </c>
      <c r="I536" s="27" t="e">
        <f ca="1">D536+B536*F536+'01_INPUTS'!B20</f>
        <v>#NAME?</v>
      </c>
      <c r="J536" s="27" t="e">
        <f ca="1">E536+C536*F536+'01_INPUTS'!B21</f>
        <v>#NAME?</v>
      </c>
      <c r="K536" s="27" t="e">
        <f t="shared" ca="1" si="48"/>
        <v>#NAME?</v>
      </c>
      <c r="L536" s="23" t="e">
        <f t="shared" ca="1" si="49"/>
        <v>#NAME?</v>
      </c>
      <c r="M536" s="23" t="e">
        <f t="shared" ca="1" si="50"/>
        <v>#NAME?</v>
      </c>
      <c r="N536" s="23" t="e">
        <f t="shared" ca="1" si="51"/>
        <v>#NAME?</v>
      </c>
      <c r="O536" s="27" t="e">
        <f t="shared" ca="1" si="52"/>
        <v>#NAME?</v>
      </c>
      <c r="P536" s="27" t="e">
        <f ca="1">'01_INPUTS'!B9*N536-K536</f>
        <v>#NAME?</v>
      </c>
      <c r="Q536" s="1" t="e">
        <f t="shared" ca="1" si="53"/>
        <v>#NAME?</v>
      </c>
      <c r="R536" s="28">
        <v>0.50414923531934619</v>
      </c>
      <c r="S536" s="28">
        <v>0.17347914935089648</v>
      </c>
      <c r="T536" s="28">
        <v>0.60958085954189301</v>
      </c>
      <c r="U536" s="28">
        <v>0.1345811823848635</v>
      </c>
      <c r="V536" s="28">
        <v>2.7915562270209193E-2</v>
      </c>
      <c r="W536" s="28">
        <v>0.14827084192074835</v>
      </c>
      <c r="X536" s="28">
        <v>0.82224199851043522</v>
      </c>
    </row>
    <row r="537" spans="1:24" ht="13.9">
      <c r="A537" s="1">
        <v>536</v>
      </c>
      <c r="B537" s="23" t="e">
        <f ca="1">_xludf.BETA.INV(R537,'04_PSA_INPUTS'!H5,'04_PSA_INPUTS'!I5)</f>
        <v>#NAME?</v>
      </c>
      <c r="C537" s="23" t="e">
        <f ca="1">_xludf.BETA.INV(S537,'04_PSA_INPUTS'!H6,'04_PSA_INPUTS'!I6)</f>
        <v>#NAME?</v>
      </c>
      <c r="D537" s="27" t="e">
        <f ca="1">_xludf.GAMMA.INV(T537,'04_PSA_INPUTS'!H7,'04_PSA_INPUTS'!I7)</f>
        <v>#NAME?</v>
      </c>
      <c r="E537" s="27" t="e">
        <f ca="1">_xludf.GAMMA.INV(U537,'04_PSA_INPUTS'!H8,'04_PSA_INPUTS'!I8)</f>
        <v>#NAME?</v>
      </c>
      <c r="F537" s="27" t="e">
        <f ca="1">_xludf.GAMMA.INV(V537,'04_PSA_INPUTS'!H9,'04_PSA_INPUTS'!I9)</f>
        <v>#NAME?</v>
      </c>
      <c r="G537" s="23" t="e">
        <f ca="1">_xludf.BETA.INV(W537,'04_PSA_INPUTS'!H10,'04_PSA_INPUTS'!I10)</f>
        <v>#NAME?</v>
      </c>
      <c r="H537" s="23" t="e">
        <f ca="1">_xludf.BETA.INV(X537,'04_PSA_INPUTS'!H11,'04_PSA_INPUTS'!I11)</f>
        <v>#NAME?</v>
      </c>
      <c r="I537" s="27" t="e">
        <f ca="1">D537+B537*F537+'01_INPUTS'!B20</f>
        <v>#NAME?</v>
      </c>
      <c r="J537" s="27" t="e">
        <f ca="1">E537+C537*F537+'01_INPUTS'!B21</f>
        <v>#NAME?</v>
      </c>
      <c r="K537" s="27" t="e">
        <f t="shared" ca="1" si="48"/>
        <v>#NAME?</v>
      </c>
      <c r="L537" s="23" t="e">
        <f t="shared" ca="1" si="49"/>
        <v>#NAME?</v>
      </c>
      <c r="M537" s="23" t="e">
        <f t="shared" ca="1" si="50"/>
        <v>#NAME?</v>
      </c>
      <c r="N537" s="23" t="e">
        <f t="shared" ca="1" si="51"/>
        <v>#NAME?</v>
      </c>
      <c r="O537" s="27" t="e">
        <f t="shared" ca="1" si="52"/>
        <v>#NAME?</v>
      </c>
      <c r="P537" s="27" t="e">
        <f ca="1">'01_INPUTS'!B9*N537-K537</f>
        <v>#NAME?</v>
      </c>
      <c r="Q537" s="1" t="e">
        <f t="shared" ca="1" si="53"/>
        <v>#NAME?</v>
      </c>
      <c r="R537" s="28">
        <v>0.58184687094762921</v>
      </c>
      <c r="S537" s="28">
        <v>0.6283460499253124</v>
      </c>
      <c r="T537" s="28">
        <v>0.77500176383182406</v>
      </c>
      <c r="U537" s="28">
        <v>8.4388633258640766E-3</v>
      </c>
      <c r="V537" s="28">
        <v>0.19536608248017728</v>
      </c>
      <c r="W537" s="28">
        <v>0.76970005733892322</v>
      </c>
      <c r="X537" s="28">
        <v>0.72523760236799717</v>
      </c>
    </row>
    <row r="538" spans="1:24" ht="13.9">
      <c r="A538" s="1">
        <v>537</v>
      </c>
      <c r="B538" s="23" t="e">
        <f ca="1">_xludf.BETA.INV(R538,'04_PSA_INPUTS'!H5,'04_PSA_INPUTS'!I5)</f>
        <v>#NAME?</v>
      </c>
      <c r="C538" s="23" t="e">
        <f ca="1">_xludf.BETA.INV(S538,'04_PSA_INPUTS'!H6,'04_PSA_INPUTS'!I6)</f>
        <v>#NAME?</v>
      </c>
      <c r="D538" s="27" t="e">
        <f ca="1">_xludf.GAMMA.INV(T538,'04_PSA_INPUTS'!H7,'04_PSA_INPUTS'!I7)</f>
        <v>#NAME?</v>
      </c>
      <c r="E538" s="27" t="e">
        <f ca="1">_xludf.GAMMA.INV(U538,'04_PSA_INPUTS'!H8,'04_PSA_INPUTS'!I8)</f>
        <v>#NAME?</v>
      </c>
      <c r="F538" s="27" t="e">
        <f ca="1">_xludf.GAMMA.INV(V538,'04_PSA_INPUTS'!H9,'04_PSA_INPUTS'!I9)</f>
        <v>#NAME?</v>
      </c>
      <c r="G538" s="23" t="e">
        <f ca="1">_xludf.BETA.INV(W538,'04_PSA_INPUTS'!H10,'04_PSA_INPUTS'!I10)</f>
        <v>#NAME?</v>
      </c>
      <c r="H538" s="23" t="e">
        <f ca="1">_xludf.BETA.INV(X538,'04_PSA_INPUTS'!H11,'04_PSA_INPUTS'!I11)</f>
        <v>#NAME?</v>
      </c>
      <c r="I538" s="27" t="e">
        <f ca="1">D538+B538*F538+'01_INPUTS'!B20</f>
        <v>#NAME?</v>
      </c>
      <c r="J538" s="27" t="e">
        <f ca="1">E538+C538*F538+'01_INPUTS'!B21</f>
        <v>#NAME?</v>
      </c>
      <c r="K538" s="27" t="e">
        <f t="shared" ca="1" si="48"/>
        <v>#NAME?</v>
      </c>
      <c r="L538" s="23" t="e">
        <f t="shared" ca="1" si="49"/>
        <v>#NAME?</v>
      </c>
      <c r="M538" s="23" t="e">
        <f t="shared" ca="1" si="50"/>
        <v>#NAME?</v>
      </c>
      <c r="N538" s="23" t="e">
        <f t="shared" ca="1" si="51"/>
        <v>#NAME?</v>
      </c>
      <c r="O538" s="27" t="e">
        <f t="shared" ca="1" si="52"/>
        <v>#NAME?</v>
      </c>
      <c r="P538" s="27" t="e">
        <f ca="1">'01_INPUTS'!B9*N538-K538</f>
        <v>#NAME?</v>
      </c>
      <c r="Q538" s="1" t="e">
        <f t="shared" ca="1" si="53"/>
        <v>#NAME?</v>
      </c>
      <c r="R538" s="28">
        <v>0.23469828465022147</v>
      </c>
      <c r="S538" s="28">
        <v>0.18460471485741436</v>
      </c>
      <c r="T538" s="28">
        <v>0.48671063059009612</v>
      </c>
      <c r="U538" s="28">
        <v>0.25607154611498117</v>
      </c>
      <c r="V538" s="28">
        <v>0.73985011805780232</v>
      </c>
      <c r="W538" s="28">
        <v>0.99451832380145788</v>
      </c>
      <c r="X538" s="28">
        <v>0.71751091536134481</v>
      </c>
    </row>
    <row r="539" spans="1:24" ht="13.9">
      <c r="A539" s="1">
        <v>538</v>
      </c>
      <c r="B539" s="23" t="e">
        <f ca="1">_xludf.BETA.INV(R539,'04_PSA_INPUTS'!H5,'04_PSA_INPUTS'!I5)</f>
        <v>#NAME?</v>
      </c>
      <c r="C539" s="23" t="e">
        <f ca="1">_xludf.BETA.INV(S539,'04_PSA_INPUTS'!H6,'04_PSA_INPUTS'!I6)</f>
        <v>#NAME?</v>
      </c>
      <c r="D539" s="27" t="e">
        <f ca="1">_xludf.GAMMA.INV(T539,'04_PSA_INPUTS'!H7,'04_PSA_INPUTS'!I7)</f>
        <v>#NAME?</v>
      </c>
      <c r="E539" s="27" t="e">
        <f ca="1">_xludf.GAMMA.INV(U539,'04_PSA_INPUTS'!H8,'04_PSA_INPUTS'!I8)</f>
        <v>#NAME?</v>
      </c>
      <c r="F539" s="27" t="e">
        <f ca="1">_xludf.GAMMA.INV(V539,'04_PSA_INPUTS'!H9,'04_PSA_INPUTS'!I9)</f>
        <v>#NAME?</v>
      </c>
      <c r="G539" s="23" t="e">
        <f ca="1">_xludf.BETA.INV(W539,'04_PSA_INPUTS'!H10,'04_PSA_INPUTS'!I10)</f>
        <v>#NAME?</v>
      </c>
      <c r="H539" s="23" t="e">
        <f ca="1">_xludf.BETA.INV(X539,'04_PSA_INPUTS'!H11,'04_PSA_INPUTS'!I11)</f>
        <v>#NAME?</v>
      </c>
      <c r="I539" s="27" t="e">
        <f ca="1">D539+B539*F539+'01_INPUTS'!B20</f>
        <v>#NAME?</v>
      </c>
      <c r="J539" s="27" t="e">
        <f ca="1">E539+C539*F539+'01_INPUTS'!B21</f>
        <v>#NAME?</v>
      </c>
      <c r="K539" s="27" t="e">
        <f t="shared" ca="1" si="48"/>
        <v>#NAME?</v>
      </c>
      <c r="L539" s="23" t="e">
        <f t="shared" ca="1" si="49"/>
        <v>#NAME?</v>
      </c>
      <c r="M539" s="23" t="e">
        <f t="shared" ca="1" si="50"/>
        <v>#NAME?</v>
      </c>
      <c r="N539" s="23" t="e">
        <f t="shared" ca="1" si="51"/>
        <v>#NAME?</v>
      </c>
      <c r="O539" s="27" t="e">
        <f t="shared" ca="1" si="52"/>
        <v>#NAME?</v>
      </c>
      <c r="P539" s="27" t="e">
        <f ca="1">'01_INPUTS'!B9*N539-K539</f>
        <v>#NAME?</v>
      </c>
      <c r="Q539" s="1" t="e">
        <f t="shared" ca="1" si="53"/>
        <v>#NAME?</v>
      </c>
      <c r="R539" s="28">
        <v>5.5731025524437428E-2</v>
      </c>
      <c r="S539" s="28">
        <v>0.9127236686181277</v>
      </c>
      <c r="T539" s="28">
        <v>3.0251168645918369E-3</v>
      </c>
      <c r="U539" s="28">
        <v>0.31274777441285551</v>
      </c>
      <c r="V539" s="28">
        <v>0.26704843039624393</v>
      </c>
      <c r="W539" s="28">
        <v>0.25258136354386806</v>
      </c>
      <c r="X539" s="28">
        <v>0.78021961357444525</v>
      </c>
    </row>
    <row r="540" spans="1:24" ht="13.9">
      <c r="A540" s="1">
        <v>539</v>
      </c>
      <c r="B540" s="23" t="e">
        <f ca="1">_xludf.BETA.INV(R540,'04_PSA_INPUTS'!H5,'04_PSA_INPUTS'!I5)</f>
        <v>#NAME?</v>
      </c>
      <c r="C540" s="23" t="e">
        <f ca="1">_xludf.BETA.INV(S540,'04_PSA_INPUTS'!H6,'04_PSA_INPUTS'!I6)</f>
        <v>#NAME?</v>
      </c>
      <c r="D540" s="27" t="e">
        <f ca="1">_xludf.GAMMA.INV(T540,'04_PSA_INPUTS'!H7,'04_PSA_INPUTS'!I7)</f>
        <v>#NAME?</v>
      </c>
      <c r="E540" s="27" t="e">
        <f ca="1">_xludf.GAMMA.INV(U540,'04_PSA_INPUTS'!H8,'04_PSA_INPUTS'!I8)</f>
        <v>#NAME?</v>
      </c>
      <c r="F540" s="27" t="e">
        <f ca="1">_xludf.GAMMA.INV(V540,'04_PSA_INPUTS'!H9,'04_PSA_INPUTS'!I9)</f>
        <v>#NAME?</v>
      </c>
      <c r="G540" s="23" t="e">
        <f ca="1">_xludf.BETA.INV(W540,'04_PSA_INPUTS'!H10,'04_PSA_INPUTS'!I10)</f>
        <v>#NAME?</v>
      </c>
      <c r="H540" s="23" t="e">
        <f ca="1">_xludf.BETA.INV(X540,'04_PSA_INPUTS'!H11,'04_PSA_INPUTS'!I11)</f>
        <v>#NAME?</v>
      </c>
      <c r="I540" s="27" t="e">
        <f ca="1">D540+B540*F540+'01_INPUTS'!B20</f>
        <v>#NAME?</v>
      </c>
      <c r="J540" s="27" t="e">
        <f ca="1">E540+C540*F540+'01_INPUTS'!B21</f>
        <v>#NAME?</v>
      </c>
      <c r="K540" s="27" t="e">
        <f t="shared" ca="1" si="48"/>
        <v>#NAME?</v>
      </c>
      <c r="L540" s="23" t="e">
        <f t="shared" ca="1" si="49"/>
        <v>#NAME?</v>
      </c>
      <c r="M540" s="23" t="e">
        <f t="shared" ca="1" si="50"/>
        <v>#NAME?</v>
      </c>
      <c r="N540" s="23" t="e">
        <f t="shared" ca="1" si="51"/>
        <v>#NAME?</v>
      </c>
      <c r="O540" s="27" t="e">
        <f t="shared" ca="1" si="52"/>
        <v>#NAME?</v>
      </c>
      <c r="P540" s="27" t="e">
        <f ca="1">'01_INPUTS'!B9*N540-K540</f>
        <v>#NAME?</v>
      </c>
      <c r="Q540" s="1" t="e">
        <f t="shared" ca="1" si="53"/>
        <v>#NAME?</v>
      </c>
      <c r="R540" s="28">
        <v>0.54875186970457435</v>
      </c>
      <c r="S540" s="28">
        <v>0.57934859092347324</v>
      </c>
      <c r="T540" s="28">
        <v>0.83143420703709126</v>
      </c>
      <c r="U540" s="28">
        <v>0.48516152473166585</v>
      </c>
      <c r="V540" s="28">
        <v>6.0428098775446415E-2</v>
      </c>
      <c r="W540" s="28">
        <v>7.0108746411278844E-2</v>
      </c>
      <c r="X540" s="28">
        <v>6.1968489550054073E-2</v>
      </c>
    </row>
    <row r="541" spans="1:24" ht="13.9">
      <c r="A541" s="1">
        <v>540</v>
      </c>
      <c r="B541" s="23" t="e">
        <f ca="1">_xludf.BETA.INV(R541,'04_PSA_INPUTS'!H5,'04_PSA_INPUTS'!I5)</f>
        <v>#NAME?</v>
      </c>
      <c r="C541" s="23" t="e">
        <f ca="1">_xludf.BETA.INV(S541,'04_PSA_INPUTS'!H6,'04_PSA_INPUTS'!I6)</f>
        <v>#NAME?</v>
      </c>
      <c r="D541" s="27" t="e">
        <f ca="1">_xludf.GAMMA.INV(T541,'04_PSA_INPUTS'!H7,'04_PSA_INPUTS'!I7)</f>
        <v>#NAME?</v>
      </c>
      <c r="E541" s="27" t="e">
        <f ca="1">_xludf.GAMMA.INV(U541,'04_PSA_INPUTS'!H8,'04_PSA_INPUTS'!I8)</f>
        <v>#NAME?</v>
      </c>
      <c r="F541" s="27" t="e">
        <f ca="1">_xludf.GAMMA.INV(V541,'04_PSA_INPUTS'!H9,'04_PSA_INPUTS'!I9)</f>
        <v>#NAME?</v>
      </c>
      <c r="G541" s="23" t="e">
        <f ca="1">_xludf.BETA.INV(W541,'04_PSA_INPUTS'!H10,'04_PSA_INPUTS'!I10)</f>
        <v>#NAME?</v>
      </c>
      <c r="H541" s="23" t="e">
        <f ca="1">_xludf.BETA.INV(X541,'04_PSA_INPUTS'!H11,'04_PSA_INPUTS'!I11)</f>
        <v>#NAME?</v>
      </c>
      <c r="I541" s="27" t="e">
        <f ca="1">D541+B541*F541+'01_INPUTS'!B20</f>
        <v>#NAME?</v>
      </c>
      <c r="J541" s="27" t="e">
        <f ca="1">E541+C541*F541+'01_INPUTS'!B21</f>
        <v>#NAME?</v>
      </c>
      <c r="K541" s="27" t="e">
        <f t="shared" ca="1" si="48"/>
        <v>#NAME?</v>
      </c>
      <c r="L541" s="23" t="e">
        <f t="shared" ca="1" si="49"/>
        <v>#NAME?</v>
      </c>
      <c r="M541" s="23" t="e">
        <f t="shared" ca="1" si="50"/>
        <v>#NAME?</v>
      </c>
      <c r="N541" s="23" t="e">
        <f t="shared" ca="1" si="51"/>
        <v>#NAME?</v>
      </c>
      <c r="O541" s="27" t="e">
        <f t="shared" ca="1" si="52"/>
        <v>#NAME?</v>
      </c>
      <c r="P541" s="27" t="e">
        <f ca="1">'01_INPUTS'!B9*N541-K541</f>
        <v>#NAME?</v>
      </c>
      <c r="Q541" s="1" t="e">
        <f t="shared" ca="1" si="53"/>
        <v>#NAME?</v>
      </c>
      <c r="R541" s="28">
        <v>9.9423106759786606E-2</v>
      </c>
      <c r="S541" s="28">
        <v>0.91276875999756157</v>
      </c>
      <c r="T541" s="28">
        <v>0.52335469424724579</v>
      </c>
      <c r="U541" s="28">
        <v>0.89970476529560983</v>
      </c>
      <c r="V541" s="28">
        <v>0.78837312781251967</v>
      </c>
      <c r="W541" s="28">
        <v>0.77903073048219085</v>
      </c>
      <c r="X541" s="28">
        <v>0.31863460410386324</v>
      </c>
    </row>
    <row r="542" spans="1:24" ht="13.9">
      <c r="A542" s="1">
        <v>541</v>
      </c>
      <c r="B542" s="23" t="e">
        <f ca="1">_xludf.BETA.INV(R542,'04_PSA_INPUTS'!H5,'04_PSA_INPUTS'!I5)</f>
        <v>#NAME?</v>
      </c>
      <c r="C542" s="23" t="e">
        <f ca="1">_xludf.BETA.INV(S542,'04_PSA_INPUTS'!H6,'04_PSA_INPUTS'!I6)</f>
        <v>#NAME?</v>
      </c>
      <c r="D542" s="27" t="e">
        <f ca="1">_xludf.GAMMA.INV(T542,'04_PSA_INPUTS'!H7,'04_PSA_INPUTS'!I7)</f>
        <v>#NAME?</v>
      </c>
      <c r="E542" s="27" t="e">
        <f ca="1">_xludf.GAMMA.INV(U542,'04_PSA_INPUTS'!H8,'04_PSA_INPUTS'!I8)</f>
        <v>#NAME?</v>
      </c>
      <c r="F542" s="27" t="e">
        <f ca="1">_xludf.GAMMA.INV(V542,'04_PSA_INPUTS'!H9,'04_PSA_INPUTS'!I9)</f>
        <v>#NAME?</v>
      </c>
      <c r="G542" s="23" t="e">
        <f ca="1">_xludf.BETA.INV(W542,'04_PSA_INPUTS'!H10,'04_PSA_INPUTS'!I10)</f>
        <v>#NAME?</v>
      </c>
      <c r="H542" s="23" t="e">
        <f ca="1">_xludf.BETA.INV(X542,'04_PSA_INPUTS'!H11,'04_PSA_INPUTS'!I11)</f>
        <v>#NAME?</v>
      </c>
      <c r="I542" s="27" t="e">
        <f ca="1">D542+B542*F542+'01_INPUTS'!B20</f>
        <v>#NAME?</v>
      </c>
      <c r="J542" s="27" t="e">
        <f ca="1">E542+C542*F542+'01_INPUTS'!B21</f>
        <v>#NAME?</v>
      </c>
      <c r="K542" s="27" t="e">
        <f t="shared" ca="1" si="48"/>
        <v>#NAME?</v>
      </c>
      <c r="L542" s="23" t="e">
        <f t="shared" ca="1" si="49"/>
        <v>#NAME?</v>
      </c>
      <c r="M542" s="23" t="e">
        <f t="shared" ca="1" si="50"/>
        <v>#NAME?</v>
      </c>
      <c r="N542" s="23" t="e">
        <f t="shared" ca="1" si="51"/>
        <v>#NAME?</v>
      </c>
      <c r="O542" s="27" t="e">
        <f t="shared" ca="1" si="52"/>
        <v>#NAME?</v>
      </c>
      <c r="P542" s="27" t="e">
        <f ca="1">'01_INPUTS'!B9*N542-K542</f>
        <v>#NAME?</v>
      </c>
      <c r="Q542" s="1" t="e">
        <f t="shared" ca="1" si="53"/>
        <v>#NAME?</v>
      </c>
      <c r="R542" s="28">
        <v>0.39627443952485919</v>
      </c>
      <c r="S542" s="28">
        <v>0.8653318197466433</v>
      </c>
      <c r="T542" s="28">
        <v>0.50822404166683555</v>
      </c>
      <c r="U542" s="28">
        <v>0.26458622142672539</v>
      </c>
      <c r="V542" s="28">
        <v>0.31555685587227345</v>
      </c>
      <c r="W542" s="28">
        <v>0.95492122555151582</v>
      </c>
      <c r="X542" s="28">
        <v>0.79466947284527123</v>
      </c>
    </row>
    <row r="543" spans="1:24" ht="13.9">
      <c r="A543" s="1">
        <v>542</v>
      </c>
      <c r="B543" s="23" t="e">
        <f ca="1">_xludf.BETA.INV(R543,'04_PSA_INPUTS'!H5,'04_PSA_INPUTS'!I5)</f>
        <v>#NAME?</v>
      </c>
      <c r="C543" s="23" t="e">
        <f ca="1">_xludf.BETA.INV(S543,'04_PSA_INPUTS'!H6,'04_PSA_INPUTS'!I6)</f>
        <v>#NAME?</v>
      </c>
      <c r="D543" s="27" t="e">
        <f ca="1">_xludf.GAMMA.INV(T543,'04_PSA_INPUTS'!H7,'04_PSA_INPUTS'!I7)</f>
        <v>#NAME?</v>
      </c>
      <c r="E543" s="27" t="e">
        <f ca="1">_xludf.GAMMA.INV(U543,'04_PSA_INPUTS'!H8,'04_PSA_INPUTS'!I8)</f>
        <v>#NAME?</v>
      </c>
      <c r="F543" s="27" t="e">
        <f ca="1">_xludf.GAMMA.INV(V543,'04_PSA_INPUTS'!H9,'04_PSA_INPUTS'!I9)</f>
        <v>#NAME?</v>
      </c>
      <c r="G543" s="23" t="e">
        <f ca="1">_xludf.BETA.INV(W543,'04_PSA_INPUTS'!H10,'04_PSA_INPUTS'!I10)</f>
        <v>#NAME?</v>
      </c>
      <c r="H543" s="23" t="e">
        <f ca="1">_xludf.BETA.INV(X543,'04_PSA_INPUTS'!H11,'04_PSA_INPUTS'!I11)</f>
        <v>#NAME?</v>
      </c>
      <c r="I543" s="27" t="e">
        <f ca="1">D543+B543*F543+'01_INPUTS'!B20</f>
        <v>#NAME?</v>
      </c>
      <c r="J543" s="27" t="e">
        <f ca="1">E543+C543*F543+'01_INPUTS'!B21</f>
        <v>#NAME?</v>
      </c>
      <c r="K543" s="27" t="e">
        <f t="shared" ca="1" si="48"/>
        <v>#NAME?</v>
      </c>
      <c r="L543" s="23" t="e">
        <f t="shared" ca="1" si="49"/>
        <v>#NAME?</v>
      </c>
      <c r="M543" s="23" t="e">
        <f t="shared" ca="1" si="50"/>
        <v>#NAME?</v>
      </c>
      <c r="N543" s="23" t="e">
        <f t="shared" ca="1" si="51"/>
        <v>#NAME?</v>
      </c>
      <c r="O543" s="27" t="e">
        <f t="shared" ca="1" si="52"/>
        <v>#NAME?</v>
      </c>
      <c r="P543" s="27" t="e">
        <f ca="1">'01_INPUTS'!B9*N543-K543</f>
        <v>#NAME?</v>
      </c>
      <c r="Q543" s="1" t="e">
        <f t="shared" ca="1" si="53"/>
        <v>#NAME?</v>
      </c>
      <c r="R543" s="28">
        <v>0.35089217917993665</v>
      </c>
      <c r="S543" s="28">
        <v>0.17091860109940171</v>
      </c>
      <c r="T543" s="28">
        <v>0.63901018095202744</v>
      </c>
      <c r="U543" s="28">
        <v>0.13272046227939427</v>
      </c>
      <c r="V543" s="28">
        <v>0.10547236376442015</v>
      </c>
      <c r="W543" s="28">
        <v>0.75042752339504659</v>
      </c>
      <c r="X543" s="28">
        <v>0.27597969793714583</v>
      </c>
    </row>
    <row r="544" spans="1:24" ht="13.9">
      <c r="A544" s="1">
        <v>543</v>
      </c>
      <c r="B544" s="23" t="e">
        <f ca="1">_xludf.BETA.INV(R544,'04_PSA_INPUTS'!H5,'04_PSA_INPUTS'!I5)</f>
        <v>#NAME?</v>
      </c>
      <c r="C544" s="23" t="e">
        <f ca="1">_xludf.BETA.INV(S544,'04_PSA_INPUTS'!H6,'04_PSA_INPUTS'!I6)</f>
        <v>#NAME?</v>
      </c>
      <c r="D544" s="27" t="e">
        <f ca="1">_xludf.GAMMA.INV(T544,'04_PSA_INPUTS'!H7,'04_PSA_INPUTS'!I7)</f>
        <v>#NAME?</v>
      </c>
      <c r="E544" s="27" t="e">
        <f ca="1">_xludf.GAMMA.INV(U544,'04_PSA_INPUTS'!H8,'04_PSA_INPUTS'!I8)</f>
        <v>#NAME?</v>
      </c>
      <c r="F544" s="27" t="e">
        <f ca="1">_xludf.GAMMA.INV(V544,'04_PSA_INPUTS'!H9,'04_PSA_INPUTS'!I9)</f>
        <v>#NAME?</v>
      </c>
      <c r="G544" s="23" t="e">
        <f ca="1">_xludf.BETA.INV(W544,'04_PSA_INPUTS'!H10,'04_PSA_INPUTS'!I10)</f>
        <v>#NAME?</v>
      </c>
      <c r="H544" s="23" t="e">
        <f ca="1">_xludf.BETA.INV(X544,'04_PSA_INPUTS'!H11,'04_PSA_INPUTS'!I11)</f>
        <v>#NAME?</v>
      </c>
      <c r="I544" s="27" t="e">
        <f ca="1">D544+B544*F544+'01_INPUTS'!B20</f>
        <v>#NAME?</v>
      </c>
      <c r="J544" s="27" t="e">
        <f ca="1">E544+C544*F544+'01_INPUTS'!B21</f>
        <v>#NAME?</v>
      </c>
      <c r="K544" s="27" t="e">
        <f t="shared" ca="1" si="48"/>
        <v>#NAME?</v>
      </c>
      <c r="L544" s="23" t="e">
        <f t="shared" ca="1" si="49"/>
        <v>#NAME?</v>
      </c>
      <c r="M544" s="23" t="e">
        <f t="shared" ca="1" si="50"/>
        <v>#NAME?</v>
      </c>
      <c r="N544" s="23" t="e">
        <f t="shared" ca="1" si="51"/>
        <v>#NAME?</v>
      </c>
      <c r="O544" s="27" t="e">
        <f t="shared" ca="1" si="52"/>
        <v>#NAME?</v>
      </c>
      <c r="P544" s="27" t="e">
        <f ca="1">'01_INPUTS'!B9*N544-K544</f>
        <v>#NAME?</v>
      </c>
      <c r="Q544" s="1" t="e">
        <f t="shared" ca="1" si="53"/>
        <v>#NAME?</v>
      </c>
      <c r="R544" s="28">
        <v>8.7205969030037522E-2</v>
      </c>
      <c r="S544" s="28">
        <v>0.74602881236933172</v>
      </c>
      <c r="T544" s="28">
        <v>0.2671580477617681</v>
      </c>
      <c r="U544" s="28">
        <v>0.23251792113296688</v>
      </c>
      <c r="V544" s="28">
        <v>0.37340553477406502</v>
      </c>
      <c r="W544" s="28">
        <v>3.2994123641401529E-2</v>
      </c>
      <c r="X544" s="28">
        <v>0.42578731290996075</v>
      </c>
    </row>
    <row r="545" spans="1:24" ht="13.9">
      <c r="A545" s="1">
        <v>544</v>
      </c>
      <c r="B545" s="23" t="e">
        <f ca="1">_xludf.BETA.INV(R545,'04_PSA_INPUTS'!H5,'04_PSA_INPUTS'!I5)</f>
        <v>#NAME?</v>
      </c>
      <c r="C545" s="23" t="e">
        <f ca="1">_xludf.BETA.INV(S545,'04_PSA_INPUTS'!H6,'04_PSA_INPUTS'!I6)</f>
        <v>#NAME?</v>
      </c>
      <c r="D545" s="27" t="e">
        <f ca="1">_xludf.GAMMA.INV(T545,'04_PSA_INPUTS'!H7,'04_PSA_INPUTS'!I7)</f>
        <v>#NAME?</v>
      </c>
      <c r="E545" s="27" t="e">
        <f ca="1">_xludf.GAMMA.INV(U545,'04_PSA_INPUTS'!H8,'04_PSA_INPUTS'!I8)</f>
        <v>#NAME?</v>
      </c>
      <c r="F545" s="27" t="e">
        <f ca="1">_xludf.GAMMA.INV(V545,'04_PSA_INPUTS'!H9,'04_PSA_INPUTS'!I9)</f>
        <v>#NAME?</v>
      </c>
      <c r="G545" s="23" t="e">
        <f ca="1">_xludf.BETA.INV(W545,'04_PSA_INPUTS'!H10,'04_PSA_INPUTS'!I10)</f>
        <v>#NAME?</v>
      </c>
      <c r="H545" s="23" t="e">
        <f ca="1">_xludf.BETA.INV(X545,'04_PSA_INPUTS'!H11,'04_PSA_INPUTS'!I11)</f>
        <v>#NAME?</v>
      </c>
      <c r="I545" s="27" t="e">
        <f ca="1">D545+B545*F545+'01_INPUTS'!B20</f>
        <v>#NAME?</v>
      </c>
      <c r="J545" s="27" t="e">
        <f ca="1">E545+C545*F545+'01_INPUTS'!B21</f>
        <v>#NAME?</v>
      </c>
      <c r="K545" s="27" t="e">
        <f t="shared" ca="1" si="48"/>
        <v>#NAME?</v>
      </c>
      <c r="L545" s="23" t="e">
        <f t="shared" ca="1" si="49"/>
        <v>#NAME?</v>
      </c>
      <c r="M545" s="23" t="e">
        <f t="shared" ca="1" si="50"/>
        <v>#NAME?</v>
      </c>
      <c r="N545" s="23" t="e">
        <f t="shared" ca="1" si="51"/>
        <v>#NAME?</v>
      </c>
      <c r="O545" s="27" t="e">
        <f t="shared" ca="1" si="52"/>
        <v>#NAME?</v>
      </c>
      <c r="P545" s="27" t="e">
        <f ca="1">'01_INPUTS'!B9*N545-K545</f>
        <v>#NAME?</v>
      </c>
      <c r="Q545" s="1" t="e">
        <f t="shared" ca="1" si="53"/>
        <v>#NAME?</v>
      </c>
      <c r="R545" s="28">
        <v>0.76861581415869296</v>
      </c>
      <c r="S545" s="28">
        <v>0.15824993629939854</v>
      </c>
      <c r="T545" s="28">
        <v>0.24596790829673409</v>
      </c>
      <c r="U545" s="28">
        <v>0.87398019316606224</v>
      </c>
      <c r="V545" s="28">
        <v>0.5023673907853663</v>
      </c>
      <c r="W545" s="28">
        <v>0.60561134899035096</v>
      </c>
      <c r="X545" s="28">
        <v>0.28045786242000759</v>
      </c>
    </row>
    <row r="546" spans="1:24" ht="13.9">
      <c r="A546" s="1">
        <v>545</v>
      </c>
      <c r="B546" s="23" t="e">
        <f ca="1">_xludf.BETA.INV(R546,'04_PSA_INPUTS'!H5,'04_PSA_INPUTS'!I5)</f>
        <v>#NAME?</v>
      </c>
      <c r="C546" s="23" t="e">
        <f ca="1">_xludf.BETA.INV(S546,'04_PSA_INPUTS'!H6,'04_PSA_INPUTS'!I6)</f>
        <v>#NAME?</v>
      </c>
      <c r="D546" s="27" t="e">
        <f ca="1">_xludf.GAMMA.INV(T546,'04_PSA_INPUTS'!H7,'04_PSA_INPUTS'!I7)</f>
        <v>#NAME?</v>
      </c>
      <c r="E546" s="27" t="e">
        <f ca="1">_xludf.GAMMA.INV(U546,'04_PSA_INPUTS'!H8,'04_PSA_INPUTS'!I8)</f>
        <v>#NAME?</v>
      </c>
      <c r="F546" s="27" t="e">
        <f ca="1">_xludf.GAMMA.INV(V546,'04_PSA_INPUTS'!H9,'04_PSA_INPUTS'!I9)</f>
        <v>#NAME?</v>
      </c>
      <c r="G546" s="23" t="e">
        <f ca="1">_xludf.BETA.INV(W546,'04_PSA_INPUTS'!H10,'04_PSA_INPUTS'!I10)</f>
        <v>#NAME?</v>
      </c>
      <c r="H546" s="23" t="e">
        <f ca="1">_xludf.BETA.INV(X546,'04_PSA_INPUTS'!H11,'04_PSA_INPUTS'!I11)</f>
        <v>#NAME?</v>
      </c>
      <c r="I546" s="27" t="e">
        <f ca="1">D546+B546*F546+'01_INPUTS'!B20</f>
        <v>#NAME?</v>
      </c>
      <c r="J546" s="27" t="e">
        <f ca="1">E546+C546*F546+'01_INPUTS'!B21</f>
        <v>#NAME?</v>
      </c>
      <c r="K546" s="27" t="e">
        <f t="shared" ca="1" si="48"/>
        <v>#NAME?</v>
      </c>
      <c r="L546" s="23" t="e">
        <f t="shared" ca="1" si="49"/>
        <v>#NAME?</v>
      </c>
      <c r="M546" s="23" t="e">
        <f t="shared" ca="1" si="50"/>
        <v>#NAME?</v>
      </c>
      <c r="N546" s="23" t="e">
        <f t="shared" ca="1" si="51"/>
        <v>#NAME?</v>
      </c>
      <c r="O546" s="27" t="e">
        <f t="shared" ca="1" si="52"/>
        <v>#NAME?</v>
      </c>
      <c r="P546" s="27" t="e">
        <f ca="1">'01_INPUTS'!B9*N546-K546</f>
        <v>#NAME?</v>
      </c>
      <c r="Q546" s="1" t="e">
        <f t="shared" ca="1" si="53"/>
        <v>#NAME?</v>
      </c>
      <c r="R546" s="28">
        <v>0.56956510175950825</v>
      </c>
      <c r="S546" s="28">
        <v>0.23325787158682942</v>
      </c>
      <c r="T546" s="28">
        <v>0.90555163868702948</v>
      </c>
      <c r="U546" s="28">
        <v>0.63225527200847864</v>
      </c>
      <c r="V546" s="28">
        <v>0.78920688130892813</v>
      </c>
      <c r="W546" s="28">
        <v>0.75341826677322388</v>
      </c>
      <c r="X546" s="28">
        <v>0.36178960790857673</v>
      </c>
    </row>
    <row r="547" spans="1:24" ht="13.9">
      <c r="A547" s="1">
        <v>546</v>
      </c>
      <c r="B547" s="23" t="e">
        <f ca="1">_xludf.BETA.INV(R547,'04_PSA_INPUTS'!H5,'04_PSA_INPUTS'!I5)</f>
        <v>#NAME?</v>
      </c>
      <c r="C547" s="23" t="e">
        <f ca="1">_xludf.BETA.INV(S547,'04_PSA_INPUTS'!H6,'04_PSA_INPUTS'!I6)</f>
        <v>#NAME?</v>
      </c>
      <c r="D547" s="27" t="e">
        <f ca="1">_xludf.GAMMA.INV(T547,'04_PSA_INPUTS'!H7,'04_PSA_INPUTS'!I7)</f>
        <v>#NAME?</v>
      </c>
      <c r="E547" s="27" t="e">
        <f ca="1">_xludf.GAMMA.INV(U547,'04_PSA_INPUTS'!H8,'04_PSA_INPUTS'!I8)</f>
        <v>#NAME?</v>
      </c>
      <c r="F547" s="27" t="e">
        <f ca="1">_xludf.GAMMA.INV(V547,'04_PSA_INPUTS'!H9,'04_PSA_INPUTS'!I9)</f>
        <v>#NAME?</v>
      </c>
      <c r="G547" s="23" t="e">
        <f ca="1">_xludf.BETA.INV(W547,'04_PSA_INPUTS'!H10,'04_PSA_INPUTS'!I10)</f>
        <v>#NAME?</v>
      </c>
      <c r="H547" s="23" t="e">
        <f ca="1">_xludf.BETA.INV(X547,'04_PSA_INPUTS'!H11,'04_PSA_INPUTS'!I11)</f>
        <v>#NAME?</v>
      </c>
      <c r="I547" s="27" t="e">
        <f ca="1">D547+B547*F547+'01_INPUTS'!B20</f>
        <v>#NAME?</v>
      </c>
      <c r="J547" s="27" t="e">
        <f ca="1">E547+C547*F547+'01_INPUTS'!B21</f>
        <v>#NAME?</v>
      </c>
      <c r="K547" s="27" t="e">
        <f t="shared" ca="1" si="48"/>
        <v>#NAME?</v>
      </c>
      <c r="L547" s="23" t="e">
        <f t="shared" ca="1" si="49"/>
        <v>#NAME?</v>
      </c>
      <c r="M547" s="23" t="e">
        <f t="shared" ca="1" si="50"/>
        <v>#NAME?</v>
      </c>
      <c r="N547" s="23" t="e">
        <f t="shared" ca="1" si="51"/>
        <v>#NAME?</v>
      </c>
      <c r="O547" s="27" t="e">
        <f t="shared" ca="1" si="52"/>
        <v>#NAME?</v>
      </c>
      <c r="P547" s="27" t="e">
        <f ca="1">'01_INPUTS'!B9*N547-K547</f>
        <v>#NAME?</v>
      </c>
      <c r="Q547" s="1" t="e">
        <f t="shared" ca="1" si="53"/>
        <v>#NAME?</v>
      </c>
      <c r="R547" s="28">
        <v>0.14229095308110118</v>
      </c>
      <c r="S547" s="28">
        <v>0.400066850008443</v>
      </c>
      <c r="T547" s="28">
        <v>1.9981701858341694E-2</v>
      </c>
      <c r="U547" s="28">
        <v>0.93589755403809249</v>
      </c>
      <c r="V547" s="28">
        <v>0.52743105683475733</v>
      </c>
      <c r="W547" s="28">
        <v>0.76516431057825685</v>
      </c>
      <c r="X547" s="28">
        <v>0.52914373553358018</v>
      </c>
    </row>
    <row r="548" spans="1:24" ht="13.9">
      <c r="A548" s="1">
        <v>547</v>
      </c>
      <c r="B548" s="23" t="e">
        <f ca="1">_xludf.BETA.INV(R548,'04_PSA_INPUTS'!H5,'04_PSA_INPUTS'!I5)</f>
        <v>#NAME?</v>
      </c>
      <c r="C548" s="23" t="e">
        <f ca="1">_xludf.BETA.INV(S548,'04_PSA_INPUTS'!H6,'04_PSA_INPUTS'!I6)</f>
        <v>#NAME?</v>
      </c>
      <c r="D548" s="27" t="e">
        <f ca="1">_xludf.GAMMA.INV(T548,'04_PSA_INPUTS'!H7,'04_PSA_INPUTS'!I7)</f>
        <v>#NAME?</v>
      </c>
      <c r="E548" s="27" t="e">
        <f ca="1">_xludf.GAMMA.INV(U548,'04_PSA_INPUTS'!H8,'04_PSA_INPUTS'!I8)</f>
        <v>#NAME?</v>
      </c>
      <c r="F548" s="27" t="e">
        <f ca="1">_xludf.GAMMA.INV(V548,'04_PSA_INPUTS'!H9,'04_PSA_INPUTS'!I9)</f>
        <v>#NAME?</v>
      </c>
      <c r="G548" s="23" t="e">
        <f ca="1">_xludf.BETA.INV(W548,'04_PSA_INPUTS'!H10,'04_PSA_INPUTS'!I10)</f>
        <v>#NAME?</v>
      </c>
      <c r="H548" s="23" t="e">
        <f ca="1">_xludf.BETA.INV(X548,'04_PSA_INPUTS'!H11,'04_PSA_INPUTS'!I11)</f>
        <v>#NAME?</v>
      </c>
      <c r="I548" s="27" t="e">
        <f ca="1">D548+B548*F548+'01_INPUTS'!B20</f>
        <v>#NAME?</v>
      </c>
      <c r="J548" s="27" t="e">
        <f ca="1">E548+C548*F548+'01_INPUTS'!B21</f>
        <v>#NAME?</v>
      </c>
      <c r="K548" s="27" t="e">
        <f t="shared" ca="1" si="48"/>
        <v>#NAME?</v>
      </c>
      <c r="L548" s="23" t="e">
        <f t="shared" ca="1" si="49"/>
        <v>#NAME?</v>
      </c>
      <c r="M548" s="23" t="e">
        <f t="shared" ca="1" si="50"/>
        <v>#NAME?</v>
      </c>
      <c r="N548" s="23" t="e">
        <f t="shared" ca="1" si="51"/>
        <v>#NAME?</v>
      </c>
      <c r="O548" s="27" t="e">
        <f t="shared" ca="1" si="52"/>
        <v>#NAME?</v>
      </c>
      <c r="P548" s="27" t="e">
        <f ca="1">'01_INPUTS'!B9*N548-K548</f>
        <v>#NAME?</v>
      </c>
      <c r="Q548" s="1" t="e">
        <f t="shared" ca="1" si="53"/>
        <v>#NAME?</v>
      </c>
      <c r="R548" s="28">
        <v>2.6782643282786012E-2</v>
      </c>
      <c r="S548" s="28">
        <v>0.56286454363726079</v>
      </c>
      <c r="T548" s="28">
        <v>0.87938470975495875</v>
      </c>
      <c r="U548" s="28">
        <v>0.54705948475748301</v>
      </c>
      <c r="V548" s="28">
        <v>0.85179848084226251</v>
      </c>
      <c r="W548" s="28">
        <v>0.16477923863567412</v>
      </c>
      <c r="X548" s="28">
        <v>0.97371103009209037</v>
      </c>
    </row>
    <row r="549" spans="1:24" ht="13.9">
      <c r="A549" s="1">
        <v>548</v>
      </c>
      <c r="B549" s="23" t="e">
        <f ca="1">_xludf.BETA.INV(R549,'04_PSA_INPUTS'!H5,'04_PSA_INPUTS'!I5)</f>
        <v>#NAME?</v>
      </c>
      <c r="C549" s="23" t="e">
        <f ca="1">_xludf.BETA.INV(S549,'04_PSA_INPUTS'!H6,'04_PSA_INPUTS'!I6)</f>
        <v>#NAME?</v>
      </c>
      <c r="D549" s="27" t="e">
        <f ca="1">_xludf.GAMMA.INV(T549,'04_PSA_INPUTS'!H7,'04_PSA_INPUTS'!I7)</f>
        <v>#NAME?</v>
      </c>
      <c r="E549" s="27" t="e">
        <f ca="1">_xludf.GAMMA.INV(U549,'04_PSA_INPUTS'!H8,'04_PSA_INPUTS'!I8)</f>
        <v>#NAME?</v>
      </c>
      <c r="F549" s="27" t="e">
        <f ca="1">_xludf.GAMMA.INV(V549,'04_PSA_INPUTS'!H9,'04_PSA_INPUTS'!I9)</f>
        <v>#NAME?</v>
      </c>
      <c r="G549" s="23" t="e">
        <f ca="1">_xludf.BETA.INV(W549,'04_PSA_INPUTS'!H10,'04_PSA_INPUTS'!I10)</f>
        <v>#NAME?</v>
      </c>
      <c r="H549" s="23" t="e">
        <f ca="1">_xludf.BETA.INV(X549,'04_PSA_INPUTS'!H11,'04_PSA_INPUTS'!I11)</f>
        <v>#NAME?</v>
      </c>
      <c r="I549" s="27" t="e">
        <f ca="1">D549+B549*F549+'01_INPUTS'!B20</f>
        <v>#NAME?</v>
      </c>
      <c r="J549" s="27" t="e">
        <f ca="1">E549+C549*F549+'01_INPUTS'!B21</f>
        <v>#NAME?</v>
      </c>
      <c r="K549" s="27" t="e">
        <f t="shared" ca="1" si="48"/>
        <v>#NAME?</v>
      </c>
      <c r="L549" s="23" t="e">
        <f t="shared" ca="1" si="49"/>
        <v>#NAME?</v>
      </c>
      <c r="M549" s="23" t="e">
        <f t="shared" ca="1" si="50"/>
        <v>#NAME?</v>
      </c>
      <c r="N549" s="23" t="e">
        <f t="shared" ca="1" si="51"/>
        <v>#NAME?</v>
      </c>
      <c r="O549" s="27" t="e">
        <f t="shared" ca="1" si="52"/>
        <v>#NAME?</v>
      </c>
      <c r="P549" s="27" t="e">
        <f ca="1">'01_INPUTS'!B9*N549-K549</f>
        <v>#NAME?</v>
      </c>
      <c r="Q549" s="1" t="e">
        <f t="shared" ca="1" si="53"/>
        <v>#NAME?</v>
      </c>
      <c r="R549" s="28">
        <v>0.76130198058672249</v>
      </c>
      <c r="S549" s="28">
        <v>5.9390299953520298E-2</v>
      </c>
      <c r="T549" s="28">
        <v>0.15588381071574986</v>
      </c>
      <c r="U549" s="28">
        <v>0.35573188355192542</v>
      </c>
      <c r="V549" s="28">
        <v>0.94176504644565284</v>
      </c>
      <c r="W549" s="28">
        <v>0.31148528889752924</v>
      </c>
      <c r="X549" s="28">
        <v>0.63867180212400854</v>
      </c>
    </row>
    <row r="550" spans="1:24" ht="13.9">
      <c r="A550" s="1">
        <v>549</v>
      </c>
      <c r="B550" s="23" t="e">
        <f ca="1">_xludf.BETA.INV(R550,'04_PSA_INPUTS'!H5,'04_PSA_INPUTS'!I5)</f>
        <v>#NAME?</v>
      </c>
      <c r="C550" s="23" t="e">
        <f ca="1">_xludf.BETA.INV(S550,'04_PSA_INPUTS'!H6,'04_PSA_INPUTS'!I6)</f>
        <v>#NAME?</v>
      </c>
      <c r="D550" s="27" t="e">
        <f ca="1">_xludf.GAMMA.INV(T550,'04_PSA_INPUTS'!H7,'04_PSA_INPUTS'!I7)</f>
        <v>#NAME?</v>
      </c>
      <c r="E550" s="27" t="e">
        <f ca="1">_xludf.GAMMA.INV(U550,'04_PSA_INPUTS'!H8,'04_PSA_INPUTS'!I8)</f>
        <v>#NAME?</v>
      </c>
      <c r="F550" s="27" t="e">
        <f ca="1">_xludf.GAMMA.INV(V550,'04_PSA_INPUTS'!H9,'04_PSA_INPUTS'!I9)</f>
        <v>#NAME?</v>
      </c>
      <c r="G550" s="23" t="e">
        <f ca="1">_xludf.BETA.INV(W550,'04_PSA_INPUTS'!H10,'04_PSA_INPUTS'!I10)</f>
        <v>#NAME?</v>
      </c>
      <c r="H550" s="23" t="e">
        <f ca="1">_xludf.BETA.INV(X550,'04_PSA_INPUTS'!H11,'04_PSA_INPUTS'!I11)</f>
        <v>#NAME?</v>
      </c>
      <c r="I550" s="27" t="e">
        <f ca="1">D550+B550*F550+'01_INPUTS'!B20</f>
        <v>#NAME?</v>
      </c>
      <c r="J550" s="27" t="e">
        <f ca="1">E550+C550*F550+'01_INPUTS'!B21</f>
        <v>#NAME?</v>
      </c>
      <c r="K550" s="27" t="e">
        <f t="shared" ca="1" si="48"/>
        <v>#NAME?</v>
      </c>
      <c r="L550" s="23" t="e">
        <f t="shared" ca="1" si="49"/>
        <v>#NAME?</v>
      </c>
      <c r="M550" s="23" t="e">
        <f t="shared" ca="1" si="50"/>
        <v>#NAME?</v>
      </c>
      <c r="N550" s="23" t="e">
        <f t="shared" ca="1" si="51"/>
        <v>#NAME?</v>
      </c>
      <c r="O550" s="27" t="e">
        <f t="shared" ca="1" si="52"/>
        <v>#NAME?</v>
      </c>
      <c r="P550" s="27" t="e">
        <f ca="1">'01_INPUTS'!B9*N550-K550</f>
        <v>#NAME?</v>
      </c>
      <c r="Q550" s="1" t="e">
        <f t="shared" ca="1" si="53"/>
        <v>#NAME?</v>
      </c>
      <c r="R550" s="28">
        <v>0.92409496265463531</v>
      </c>
      <c r="S550" s="28">
        <v>4.4977490790188313E-2</v>
      </c>
      <c r="T550" s="28">
        <v>0.31134482705965638</v>
      </c>
      <c r="U550" s="28">
        <v>0.18316200259141624</v>
      </c>
      <c r="V550" s="28">
        <v>0.96427905280143023</v>
      </c>
      <c r="W550" s="28">
        <v>0.61695534456521273</v>
      </c>
      <c r="X550" s="28">
        <v>0.25603502965532243</v>
      </c>
    </row>
    <row r="551" spans="1:24" ht="13.9">
      <c r="A551" s="1">
        <v>550</v>
      </c>
      <c r="B551" s="23" t="e">
        <f ca="1">_xludf.BETA.INV(R551,'04_PSA_INPUTS'!H5,'04_PSA_INPUTS'!I5)</f>
        <v>#NAME?</v>
      </c>
      <c r="C551" s="23" t="e">
        <f ca="1">_xludf.BETA.INV(S551,'04_PSA_INPUTS'!H6,'04_PSA_INPUTS'!I6)</f>
        <v>#NAME?</v>
      </c>
      <c r="D551" s="27" t="e">
        <f ca="1">_xludf.GAMMA.INV(T551,'04_PSA_INPUTS'!H7,'04_PSA_INPUTS'!I7)</f>
        <v>#NAME?</v>
      </c>
      <c r="E551" s="27" t="e">
        <f ca="1">_xludf.GAMMA.INV(U551,'04_PSA_INPUTS'!H8,'04_PSA_INPUTS'!I8)</f>
        <v>#NAME?</v>
      </c>
      <c r="F551" s="27" t="e">
        <f ca="1">_xludf.GAMMA.INV(V551,'04_PSA_INPUTS'!H9,'04_PSA_INPUTS'!I9)</f>
        <v>#NAME?</v>
      </c>
      <c r="G551" s="23" t="e">
        <f ca="1">_xludf.BETA.INV(W551,'04_PSA_INPUTS'!H10,'04_PSA_INPUTS'!I10)</f>
        <v>#NAME?</v>
      </c>
      <c r="H551" s="23" t="e">
        <f ca="1">_xludf.BETA.INV(X551,'04_PSA_INPUTS'!H11,'04_PSA_INPUTS'!I11)</f>
        <v>#NAME?</v>
      </c>
      <c r="I551" s="27" t="e">
        <f ca="1">D551+B551*F551+'01_INPUTS'!B20</f>
        <v>#NAME?</v>
      </c>
      <c r="J551" s="27" t="e">
        <f ca="1">E551+C551*F551+'01_INPUTS'!B21</f>
        <v>#NAME?</v>
      </c>
      <c r="K551" s="27" t="e">
        <f t="shared" ca="1" si="48"/>
        <v>#NAME?</v>
      </c>
      <c r="L551" s="23" t="e">
        <f t="shared" ca="1" si="49"/>
        <v>#NAME?</v>
      </c>
      <c r="M551" s="23" t="e">
        <f t="shared" ca="1" si="50"/>
        <v>#NAME?</v>
      </c>
      <c r="N551" s="23" t="e">
        <f t="shared" ca="1" si="51"/>
        <v>#NAME?</v>
      </c>
      <c r="O551" s="27" t="e">
        <f t="shared" ca="1" si="52"/>
        <v>#NAME?</v>
      </c>
      <c r="P551" s="27" t="e">
        <f ca="1">'01_INPUTS'!B9*N551-K551</f>
        <v>#NAME?</v>
      </c>
      <c r="Q551" s="1" t="e">
        <f t="shared" ca="1" si="53"/>
        <v>#NAME?</v>
      </c>
      <c r="R551" s="28">
        <v>0.53202538494952023</v>
      </c>
      <c r="S551" s="28">
        <v>0.11585014034062624</v>
      </c>
      <c r="T551" s="28">
        <v>0.50841948483139277</v>
      </c>
      <c r="U551" s="28">
        <v>0.29426245717331767</v>
      </c>
      <c r="V551" s="28">
        <v>0.43936906685121357</v>
      </c>
      <c r="W551" s="28">
        <v>0.71874679462052882</v>
      </c>
      <c r="X551" s="28">
        <v>0.84394814982078969</v>
      </c>
    </row>
    <row r="552" spans="1:24" ht="13.9">
      <c r="A552" s="1">
        <v>551</v>
      </c>
      <c r="B552" s="23" t="e">
        <f ca="1">_xludf.BETA.INV(R552,'04_PSA_INPUTS'!H5,'04_PSA_INPUTS'!I5)</f>
        <v>#NAME?</v>
      </c>
      <c r="C552" s="23" t="e">
        <f ca="1">_xludf.BETA.INV(S552,'04_PSA_INPUTS'!H6,'04_PSA_INPUTS'!I6)</f>
        <v>#NAME?</v>
      </c>
      <c r="D552" s="27" t="e">
        <f ca="1">_xludf.GAMMA.INV(T552,'04_PSA_INPUTS'!H7,'04_PSA_INPUTS'!I7)</f>
        <v>#NAME?</v>
      </c>
      <c r="E552" s="27" t="e">
        <f ca="1">_xludf.GAMMA.INV(U552,'04_PSA_INPUTS'!H8,'04_PSA_INPUTS'!I8)</f>
        <v>#NAME?</v>
      </c>
      <c r="F552" s="27" t="e">
        <f ca="1">_xludf.GAMMA.INV(V552,'04_PSA_INPUTS'!H9,'04_PSA_INPUTS'!I9)</f>
        <v>#NAME?</v>
      </c>
      <c r="G552" s="23" t="e">
        <f ca="1">_xludf.BETA.INV(W552,'04_PSA_INPUTS'!H10,'04_PSA_INPUTS'!I10)</f>
        <v>#NAME?</v>
      </c>
      <c r="H552" s="23" t="e">
        <f ca="1">_xludf.BETA.INV(X552,'04_PSA_INPUTS'!H11,'04_PSA_INPUTS'!I11)</f>
        <v>#NAME?</v>
      </c>
      <c r="I552" s="27" t="e">
        <f ca="1">D552+B552*F552+'01_INPUTS'!B20</f>
        <v>#NAME?</v>
      </c>
      <c r="J552" s="27" t="e">
        <f ca="1">E552+C552*F552+'01_INPUTS'!B21</f>
        <v>#NAME?</v>
      </c>
      <c r="K552" s="27" t="e">
        <f t="shared" ca="1" si="48"/>
        <v>#NAME?</v>
      </c>
      <c r="L552" s="23" t="e">
        <f t="shared" ca="1" si="49"/>
        <v>#NAME?</v>
      </c>
      <c r="M552" s="23" t="e">
        <f t="shared" ca="1" si="50"/>
        <v>#NAME?</v>
      </c>
      <c r="N552" s="23" t="e">
        <f t="shared" ca="1" si="51"/>
        <v>#NAME?</v>
      </c>
      <c r="O552" s="27" t="e">
        <f t="shared" ca="1" si="52"/>
        <v>#NAME?</v>
      </c>
      <c r="P552" s="27" t="e">
        <f ca="1">'01_INPUTS'!B9*N552-K552</f>
        <v>#NAME?</v>
      </c>
      <c r="Q552" s="1" t="e">
        <f t="shared" ca="1" si="53"/>
        <v>#NAME?</v>
      </c>
      <c r="R552" s="28">
        <v>0.57248677359893918</v>
      </c>
      <c r="S552" s="28">
        <v>0.18571589817292988</v>
      </c>
      <c r="T552" s="28">
        <v>0.34955836832523346</v>
      </c>
      <c r="U552" s="28">
        <v>0.81060821795836091</v>
      </c>
      <c r="V552" s="28">
        <v>0.70849200757220387</v>
      </c>
      <c r="W552" s="28">
        <v>0.56473287800326943</v>
      </c>
      <c r="X552" s="28">
        <v>0.49654797744005919</v>
      </c>
    </row>
    <row r="553" spans="1:24" ht="13.9">
      <c r="A553" s="1">
        <v>552</v>
      </c>
      <c r="B553" s="23" t="e">
        <f ca="1">_xludf.BETA.INV(R553,'04_PSA_INPUTS'!H5,'04_PSA_INPUTS'!I5)</f>
        <v>#NAME?</v>
      </c>
      <c r="C553" s="23" t="e">
        <f ca="1">_xludf.BETA.INV(S553,'04_PSA_INPUTS'!H6,'04_PSA_INPUTS'!I6)</f>
        <v>#NAME?</v>
      </c>
      <c r="D553" s="27" t="e">
        <f ca="1">_xludf.GAMMA.INV(T553,'04_PSA_INPUTS'!H7,'04_PSA_INPUTS'!I7)</f>
        <v>#NAME?</v>
      </c>
      <c r="E553" s="27" t="e">
        <f ca="1">_xludf.GAMMA.INV(U553,'04_PSA_INPUTS'!H8,'04_PSA_INPUTS'!I8)</f>
        <v>#NAME?</v>
      </c>
      <c r="F553" s="27" t="e">
        <f ca="1">_xludf.GAMMA.INV(V553,'04_PSA_INPUTS'!H9,'04_PSA_INPUTS'!I9)</f>
        <v>#NAME?</v>
      </c>
      <c r="G553" s="23" t="e">
        <f ca="1">_xludf.BETA.INV(W553,'04_PSA_INPUTS'!H10,'04_PSA_INPUTS'!I10)</f>
        <v>#NAME?</v>
      </c>
      <c r="H553" s="23" t="e">
        <f ca="1">_xludf.BETA.INV(X553,'04_PSA_INPUTS'!H11,'04_PSA_INPUTS'!I11)</f>
        <v>#NAME?</v>
      </c>
      <c r="I553" s="27" t="e">
        <f ca="1">D553+B553*F553+'01_INPUTS'!B20</f>
        <v>#NAME?</v>
      </c>
      <c r="J553" s="27" t="e">
        <f ca="1">E553+C553*F553+'01_INPUTS'!B21</f>
        <v>#NAME?</v>
      </c>
      <c r="K553" s="27" t="e">
        <f t="shared" ca="1" si="48"/>
        <v>#NAME?</v>
      </c>
      <c r="L553" s="23" t="e">
        <f t="shared" ca="1" si="49"/>
        <v>#NAME?</v>
      </c>
      <c r="M553" s="23" t="e">
        <f t="shared" ca="1" si="50"/>
        <v>#NAME?</v>
      </c>
      <c r="N553" s="23" t="e">
        <f t="shared" ca="1" si="51"/>
        <v>#NAME?</v>
      </c>
      <c r="O553" s="27" t="e">
        <f t="shared" ca="1" si="52"/>
        <v>#NAME?</v>
      </c>
      <c r="P553" s="27" t="e">
        <f ca="1">'01_INPUTS'!B9*N553-K553</f>
        <v>#NAME?</v>
      </c>
      <c r="Q553" s="1" t="e">
        <f t="shared" ca="1" si="53"/>
        <v>#NAME?</v>
      </c>
      <c r="R553" s="28">
        <v>8.9770829770714045E-2</v>
      </c>
      <c r="S553" s="28">
        <v>0.55498830997385085</v>
      </c>
      <c r="T553" s="28">
        <v>0.64770199009217322</v>
      </c>
      <c r="U553" s="28">
        <v>0.68558388669043779</v>
      </c>
      <c r="V553" s="28">
        <v>0.6882432175334543</v>
      </c>
      <c r="W553" s="28">
        <v>0.27110105543397367</v>
      </c>
      <c r="X553" s="28">
        <v>1.3625475112348795E-3</v>
      </c>
    </row>
    <row r="554" spans="1:24" ht="13.9">
      <c r="A554" s="1">
        <v>553</v>
      </c>
      <c r="B554" s="23" t="e">
        <f ca="1">_xludf.BETA.INV(R554,'04_PSA_INPUTS'!H5,'04_PSA_INPUTS'!I5)</f>
        <v>#NAME?</v>
      </c>
      <c r="C554" s="23" t="e">
        <f ca="1">_xludf.BETA.INV(S554,'04_PSA_INPUTS'!H6,'04_PSA_INPUTS'!I6)</f>
        <v>#NAME?</v>
      </c>
      <c r="D554" s="27" t="e">
        <f ca="1">_xludf.GAMMA.INV(T554,'04_PSA_INPUTS'!H7,'04_PSA_INPUTS'!I7)</f>
        <v>#NAME?</v>
      </c>
      <c r="E554" s="27" t="e">
        <f ca="1">_xludf.GAMMA.INV(U554,'04_PSA_INPUTS'!H8,'04_PSA_INPUTS'!I8)</f>
        <v>#NAME?</v>
      </c>
      <c r="F554" s="27" t="e">
        <f ca="1">_xludf.GAMMA.INV(V554,'04_PSA_INPUTS'!H9,'04_PSA_INPUTS'!I9)</f>
        <v>#NAME?</v>
      </c>
      <c r="G554" s="23" t="e">
        <f ca="1">_xludf.BETA.INV(W554,'04_PSA_INPUTS'!H10,'04_PSA_INPUTS'!I10)</f>
        <v>#NAME?</v>
      </c>
      <c r="H554" s="23" t="e">
        <f ca="1">_xludf.BETA.INV(X554,'04_PSA_INPUTS'!H11,'04_PSA_INPUTS'!I11)</f>
        <v>#NAME?</v>
      </c>
      <c r="I554" s="27" t="e">
        <f ca="1">D554+B554*F554+'01_INPUTS'!B20</f>
        <v>#NAME?</v>
      </c>
      <c r="J554" s="27" t="e">
        <f ca="1">E554+C554*F554+'01_INPUTS'!B21</f>
        <v>#NAME?</v>
      </c>
      <c r="K554" s="27" t="e">
        <f t="shared" ca="1" si="48"/>
        <v>#NAME?</v>
      </c>
      <c r="L554" s="23" t="e">
        <f t="shared" ca="1" si="49"/>
        <v>#NAME?</v>
      </c>
      <c r="M554" s="23" t="e">
        <f t="shared" ca="1" si="50"/>
        <v>#NAME?</v>
      </c>
      <c r="N554" s="23" t="e">
        <f t="shared" ca="1" si="51"/>
        <v>#NAME?</v>
      </c>
      <c r="O554" s="27" t="e">
        <f t="shared" ca="1" si="52"/>
        <v>#NAME?</v>
      </c>
      <c r="P554" s="27" t="e">
        <f ca="1">'01_INPUTS'!B9*N554-K554</f>
        <v>#NAME?</v>
      </c>
      <c r="Q554" s="1" t="e">
        <f t="shared" ca="1" si="53"/>
        <v>#NAME?</v>
      </c>
      <c r="R554" s="28">
        <v>0.99627529247663915</v>
      </c>
      <c r="S554" s="28">
        <v>0.40801570750772953</v>
      </c>
      <c r="T554" s="28">
        <v>2.9776238370686769E-3</v>
      </c>
      <c r="U554" s="28">
        <v>0.12369898520410061</v>
      </c>
      <c r="V554" s="28">
        <v>0.80647494224831462</v>
      </c>
      <c r="W554" s="28">
        <v>0.12037659459747374</v>
      </c>
      <c r="X554" s="28">
        <v>0.20595440710894763</v>
      </c>
    </row>
    <row r="555" spans="1:24" ht="13.9">
      <c r="A555" s="1">
        <v>554</v>
      </c>
      <c r="B555" s="23" t="e">
        <f ca="1">_xludf.BETA.INV(R555,'04_PSA_INPUTS'!H5,'04_PSA_INPUTS'!I5)</f>
        <v>#NAME?</v>
      </c>
      <c r="C555" s="23" t="e">
        <f ca="1">_xludf.BETA.INV(S555,'04_PSA_INPUTS'!H6,'04_PSA_INPUTS'!I6)</f>
        <v>#NAME?</v>
      </c>
      <c r="D555" s="27" t="e">
        <f ca="1">_xludf.GAMMA.INV(T555,'04_PSA_INPUTS'!H7,'04_PSA_INPUTS'!I7)</f>
        <v>#NAME?</v>
      </c>
      <c r="E555" s="27" t="e">
        <f ca="1">_xludf.GAMMA.INV(U555,'04_PSA_INPUTS'!H8,'04_PSA_INPUTS'!I8)</f>
        <v>#NAME?</v>
      </c>
      <c r="F555" s="27" t="e">
        <f ca="1">_xludf.GAMMA.INV(V555,'04_PSA_INPUTS'!H9,'04_PSA_INPUTS'!I9)</f>
        <v>#NAME?</v>
      </c>
      <c r="G555" s="23" t="e">
        <f ca="1">_xludf.BETA.INV(W555,'04_PSA_INPUTS'!H10,'04_PSA_INPUTS'!I10)</f>
        <v>#NAME?</v>
      </c>
      <c r="H555" s="23" t="e">
        <f ca="1">_xludf.BETA.INV(X555,'04_PSA_INPUTS'!H11,'04_PSA_INPUTS'!I11)</f>
        <v>#NAME?</v>
      </c>
      <c r="I555" s="27" t="e">
        <f ca="1">D555+B555*F555+'01_INPUTS'!B20</f>
        <v>#NAME?</v>
      </c>
      <c r="J555" s="27" t="e">
        <f ca="1">E555+C555*F555+'01_INPUTS'!B21</f>
        <v>#NAME?</v>
      </c>
      <c r="K555" s="27" t="e">
        <f t="shared" ca="1" si="48"/>
        <v>#NAME?</v>
      </c>
      <c r="L555" s="23" t="e">
        <f t="shared" ca="1" si="49"/>
        <v>#NAME?</v>
      </c>
      <c r="M555" s="23" t="e">
        <f t="shared" ca="1" si="50"/>
        <v>#NAME?</v>
      </c>
      <c r="N555" s="23" t="e">
        <f t="shared" ca="1" si="51"/>
        <v>#NAME?</v>
      </c>
      <c r="O555" s="27" t="e">
        <f t="shared" ca="1" si="52"/>
        <v>#NAME?</v>
      </c>
      <c r="P555" s="27" t="e">
        <f ca="1">'01_INPUTS'!B9*N555-K555</f>
        <v>#NAME?</v>
      </c>
      <c r="Q555" s="1" t="e">
        <f t="shared" ca="1" si="53"/>
        <v>#NAME?</v>
      </c>
      <c r="R555" s="28">
        <v>0.46846190560609102</v>
      </c>
      <c r="S555" s="28">
        <v>4.2946575209498405E-2</v>
      </c>
      <c r="T555" s="28">
        <v>0.44393342873081565</v>
      </c>
      <c r="U555" s="28">
        <v>0.97545994515530765</v>
      </c>
      <c r="V555" s="28">
        <v>0.83467232016846538</v>
      </c>
      <c r="W555" s="28">
        <v>0.84921005368232727</v>
      </c>
      <c r="X555" s="28">
        <v>0.88191386801190674</v>
      </c>
    </row>
    <row r="556" spans="1:24" ht="13.9">
      <c r="A556" s="1">
        <v>555</v>
      </c>
      <c r="B556" s="23" t="e">
        <f ca="1">_xludf.BETA.INV(R556,'04_PSA_INPUTS'!H5,'04_PSA_INPUTS'!I5)</f>
        <v>#NAME?</v>
      </c>
      <c r="C556" s="23" t="e">
        <f ca="1">_xludf.BETA.INV(S556,'04_PSA_INPUTS'!H6,'04_PSA_INPUTS'!I6)</f>
        <v>#NAME?</v>
      </c>
      <c r="D556" s="27" t="e">
        <f ca="1">_xludf.GAMMA.INV(T556,'04_PSA_INPUTS'!H7,'04_PSA_INPUTS'!I7)</f>
        <v>#NAME?</v>
      </c>
      <c r="E556" s="27" t="e">
        <f ca="1">_xludf.GAMMA.INV(U556,'04_PSA_INPUTS'!H8,'04_PSA_INPUTS'!I8)</f>
        <v>#NAME?</v>
      </c>
      <c r="F556" s="27" t="e">
        <f ca="1">_xludf.GAMMA.INV(V556,'04_PSA_INPUTS'!H9,'04_PSA_INPUTS'!I9)</f>
        <v>#NAME?</v>
      </c>
      <c r="G556" s="23" t="e">
        <f ca="1">_xludf.BETA.INV(W556,'04_PSA_INPUTS'!H10,'04_PSA_INPUTS'!I10)</f>
        <v>#NAME?</v>
      </c>
      <c r="H556" s="23" t="e">
        <f ca="1">_xludf.BETA.INV(X556,'04_PSA_INPUTS'!H11,'04_PSA_INPUTS'!I11)</f>
        <v>#NAME?</v>
      </c>
      <c r="I556" s="27" t="e">
        <f ca="1">D556+B556*F556+'01_INPUTS'!B20</f>
        <v>#NAME?</v>
      </c>
      <c r="J556" s="27" t="e">
        <f ca="1">E556+C556*F556+'01_INPUTS'!B21</f>
        <v>#NAME?</v>
      </c>
      <c r="K556" s="27" t="e">
        <f t="shared" ca="1" si="48"/>
        <v>#NAME?</v>
      </c>
      <c r="L556" s="23" t="e">
        <f t="shared" ca="1" si="49"/>
        <v>#NAME?</v>
      </c>
      <c r="M556" s="23" t="e">
        <f t="shared" ca="1" si="50"/>
        <v>#NAME?</v>
      </c>
      <c r="N556" s="23" t="e">
        <f t="shared" ca="1" si="51"/>
        <v>#NAME?</v>
      </c>
      <c r="O556" s="27" t="e">
        <f t="shared" ca="1" si="52"/>
        <v>#NAME?</v>
      </c>
      <c r="P556" s="27" t="e">
        <f ca="1">'01_INPUTS'!B9*N556-K556</f>
        <v>#NAME?</v>
      </c>
      <c r="Q556" s="1" t="e">
        <f t="shared" ca="1" si="53"/>
        <v>#NAME?</v>
      </c>
      <c r="R556" s="28">
        <v>0.7180522927083075</v>
      </c>
      <c r="S556" s="28">
        <v>4.146224120631814E-2</v>
      </c>
      <c r="T556" s="28">
        <v>0.6932778200134635</v>
      </c>
      <c r="U556" s="28">
        <v>0.70023337379097939</v>
      </c>
      <c r="V556" s="28">
        <v>0.80509875086136162</v>
      </c>
      <c r="W556" s="28">
        <v>0.12764699663966894</v>
      </c>
      <c r="X556" s="28">
        <v>2.4585484061390162E-2</v>
      </c>
    </row>
    <row r="557" spans="1:24" ht="13.9">
      <c r="A557" s="1">
        <v>556</v>
      </c>
      <c r="B557" s="23" t="e">
        <f ca="1">_xludf.BETA.INV(R557,'04_PSA_INPUTS'!H5,'04_PSA_INPUTS'!I5)</f>
        <v>#NAME?</v>
      </c>
      <c r="C557" s="23" t="e">
        <f ca="1">_xludf.BETA.INV(S557,'04_PSA_INPUTS'!H6,'04_PSA_INPUTS'!I6)</f>
        <v>#NAME?</v>
      </c>
      <c r="D557" s="27" t="e">
        <f ca="1">_xludf.GAMMA.INV(T557,'04_PSA_INPUTS'!H7,'04_PSA_INPUTS'!I7)</f>
        <v>#NAME?</v>
      </c>
      <c r="E557" s="27" t="e">
        <f ca="1">_xludf.GAMMA.INV(U557,'04_PSA_INPUTS'!H8,'04_PSA_INPUTS'!I8)</f>
        <v>#NAME?</v>
      </c>
      <c r="F557" s="27" t="e">
        <f ca="1">_xludf.GAMMA.INV(V557,'04_PSA_INPUTS'!H9,'04_PSA_INPUTS'!I9)</f>
        <v>#NAME?</v>
      </c>
      <c r="G557" s="23" t="e">
        <f ca="1">_xludf.BETA.INV(W557,'04_PSA_INPUTS'!H10,'04_PSA_INPUTS'!I10)</f>
        <v>#NAME?</v>
      </c>
      <c r="H557" s="23" t="e">
        <f ca="1">_xludf.BETA.INV(X557,'04_PSA_INPUTS'!H11,'04_PSA_INPUTS'!I11)</f>
        <v>#NAME?</v>
      </c>
      <c r="I557" s="27" t="e">
        <f ca="1">D557+B557*F557+'01_INPUTS'!B20</f>
        <v>#NAME?</v>
      </c>
      <c r="J557" s="27" t="e">
        <f ca="1">E557+C557*F557+'01_INPUTS'!B21</f>
        <v>#NAME?</v>
      </c>
      <c r="K557" s="27" t="e">
        <f t="shared" ca="1" si="48"/>
        <v>#NAME?</v>
      </c>
      <c r="L557" s="23" t="e">
        <f t="shared" ca="1" si="49"/>
        <v>#NAME?</v>
      </c>
      <c r="M557" s="23" t="e">
        <f t="shared" ca="1" si="50"/>
        <v>#NAME?</v>
      </c>
      <c r="N557" s="23" t="e">
        <f t="shared" ca="1" si="51"/>
        <v>#NAME?</v>
      </c>
      <c r="O557" s="27" t="e">
        <f t="shared" ca="1" si="52"/>
        <v>#NAME?</v>
      </c>
      <c r="P557" s="27" t="e">
        <f ca="1">'01_INPUTS'!B9*N557-K557</f>
        <v>#NAME?</v>
      </c>
      <c r="Q557" s="1" t="e">
        <f t="shared" ca="1" si="53"/>
        <v>#NAME?</v>
      </c>
      <c r="R557" s="28">
        <v>0.76379108079709113</v>
      </c>
      <c r="S557" s="28">
        <v>0.31109096086584032</v>
      </c>
      <c r="T557" s="28">
        <v>0.64373368863016367</v>
      </c>
      <c r="U557" s="28">
        <v>0.7355702007189393</v>
      </c>
      <c r="V557" s="28">
        <v>0.35569640668109059</v>
      </c>
      <c r="W557" s="28">
        <v>0.42719246726483107</v>
      </c>
      <c r="X557" s="28">
        <v>1.3143047690391541E-2</v>
      </c>
    </row>
    <row r="558" spans="1:24" ht="13.9">
      <c r="A558" s="1">
        <v>557</v>
      </c>
      <c r="B558" s="23" t="e">
        <f ca="1">_xludf.BETA.INV(R558,'04_PSA_INPUTS'!H5,'04_PSA_INPUTS'!I5)</f>
        <v>#NAME?</v>
      </c>
      <c r="C558" s="23" t="e">
        <f ca="1">_xludf.BETA.INV(S558,'04_PSA_INPUTS'!H6,'04_PSA_INPUTS'!I6)</f>
        <v>#NAME?</v>
      </c>
      <c r="D558" s="27" t="e">
        <f ca="1">_xludf.GAMMA.INV(T558,'04_PSA_INPUTS'!H7,'04_PSA_INPUTS'!I7)</f>
        <v>#NAME?</v>
      </c>
      <c r="E558" s="27" t="e">
        <f ca="1">_xludf.GAMMA.INV(U558,'04_PSA_INPUTS'!H8,'04_PSA_INPUTS'!I8)</f>
        <v>#NAME?</v>
      </c>
      <c r="F558" s="27" t="e">
        <f ca="1">_xludf.GAMMA.INV(V558,'04_PSA_INPUTS'!H9,'04_PSA_INPUTS'!I9)</f>
        <v>#NAME?</v>
      </c>
      <c r="G558" s="23" t="e">
        <f ca="1">_xludf.BETA.INV(W558,'04_PSA_INPUTS'!H10,'04_PSA_INPUTS'!I10)</f>
        <v>#NAME?</v>
      </c>
      <c r="H558" s="23" t="e">
        <f ca="1">_xludf.BETA.INV(X558,'04_PSA_INPUTS'!H11,'04_PSA_INPUTS'!I11)</f>
        <v>#NAME?</v>
      </c>
      <c r="I558" s="27" t="e">
        <f ca="1">D558+B558*F558+'01_INPUTS'!B20</f>
        <v>#NAME?</v>
      </c>
      <c r="J558" s="27" t="e">
        <f ca="1">E558+C558*F558+'01_INPUTS'!B21</f>
        <v>#NAME?</v>
      </c>
      <c r="K558" s="27" t="e">
        <f t="shared" ca="1" si="48"/>
        <v>#NAME?</v>
      </c>
      <c r="L558" s="23" t="e">
        <f t="shared" ca="1" si="49"/>
        <v>#NAME?</v>
      </c>
      <c r="M558" s="23" t="e">
        <f t="shared" ca="1" si="50"/>
        <v>#NAME?</v>
      </c>
      <c r="N558" s="23" t="e">
        <f t="shared" ca="1" si="51"/>
        <v>#NAME?</v>
      </c>
      <c r="O558" s="27" t="e">
        <f t="shared" ca="1" si="52"/>
        <v>#NAME?</v>
      </c>
      <c r="P558" s="27" t="e">
        <f ca="1">'01_INPUTS'!B9*N558-K558</f>
        <v>#NAME?</v>
      </c>
      <c r="Q558" s="1" t="e">
        <f t="shared" ca="1" si="53"/>
        <v>#NAME?</v>
      </c>
      <c r="R558" s="28">
        <v>0.38323943503201008</v>
      </c>
      <c r="S558" s="28">
        <v>0.94431629893369973</v>
      </c>
      <c r="T558" s="28">
        <v>0.39787576999515295</v>
      </c>
      <c r="U558" s="28">
        <v>0.33447842998430133</v>
      </c>
      <c r="V558" s="28">
        <v>0.72241493663750589</v>
      </c>
      <c r="W558" s="28">
        <v>0.62956804945133626</v>
      </c>
      <c r="X558" s="28">
        <v>0.99704944924451411</v>
      </c>
    </row>
    <row r="559" spans="1:24" ht="13.9">
      <c r="A559" s="1">
        <v>558</v>
      </c>
      <c r="B559" s="23" t="e">
        <f ca="1">_xludf.BETA.INV(R559,'04_PSA_INPUTS'!H5,'04_PSA_INPUTS'!I5)</f>
        <v>#NAME?</v>
      </c>
      <c r="C559" s="23" t="e">
        <f ca="1">_xludf.BETA.INV(S559,'04_PSA_INPUTS'!H6,'04_PSA_INPUTS'!I6)</f>
        <v>#NAME?</v>
      </c>
      <c r="D559" s="27" t="e">
        <f ca="1">_xludf.GAMMA.INV(T559,'04_PSA_INPUTS'!H7,'04_PSA_INPUTS'!I7)</f>
        <v>#NAME?</v>
      </c>
      <c r="E559" s="27" t="e">
        <f ca="1">_xludf.GAMMA.INV(U559,'04_PSA_INPUTS'!H8,'04_PSA_INPUTS'!I8)</f>
        <v>#NAME?</v>
      </c>
      <c r="F559" s="27" t="e">
        <f ca="1">_xludf.GAMMA.INV(V559,'04_PSA_INPUTS'!H9,'04_PSA_INPUTS'!I9)</f>
        <v>#NAME?</v>
      </c>
      <c r="G559" s="23" t="e">
        <f ca="1">_xludf.BETA.INV(W559,'04_PSA_INPUTS'!H10,'04_PSA_INPUTS'!I10)</f>
        <v>#NAME?</v>
      </c>
      <c r="H559" s="23" t="e">
        <f ca="1">_xludf.BETA.INV(X559,'04_PSA_INPUTS'!H11,'04_PSA_INPUTS'!I11)</f>
        <v>#NAME?</v>
      </c>
      <c r="I559" s="27" t="e">
        <f ca="1">D559+B559*F559+'01_INPUTS'!B20</f>
        <v>#NAME?</v>
      </c>
      <c r="J559" s="27" t="e">
        <f ca="1">E559+C559*F559+'01_INPUTS'!B21</f>
        <v>#NAME?</v>
      </c>
      <c r="K559" s="27" t="e">
        <f t="shared" ca="1" si="48"/>
        <v>#NAME?</v>
      </c>
      <c r="L559" s="23" t="e">
        <f t="shared" ca="1" si="49"/>
        <v>#NAME?</v>
      </c>
      <c r="M559" s="23" t="e">
        <f t="shared" ca="1" si="50"/>
        <v>#NAME?</v>
      </c>
      <c r="N559" s="23" t="e">
        <f t="shared" ca="1" si="51"/>
        <v>#NAME?</v>
      </c>
      <c r="O559" s="27" t="e">
        <f t="shared" ca="1" si="52"/>
        <v>#NAME?</v>
      </c>
      <c r="P559" s="27" t="e">
        <f ca="1">'01_INPUTS'!B9*N559-K559</f>
        <v>#NAME?</v>
      </c>
      <c r="Q559" s="1" t="e">
        <f t="shared" ca="1" si="53"/>
        <v>#NAME?</v>
      </c>
      <c r="R559" s="28">
        <v>0.80904402025043964</v>
      </c>
      <c r="S559" s="28">
        <v>0.6151158947031945</v>
      </c>
      <c r="T559" s="28">
        <v>0.44776926632039249</v>
      </c>
      <c r="U559" s="28">
        <v>0.27138970070518553</v>
      </c>
      <c r="V559" s="28">
        <v>0.66091919760219753</v>
      </c>
      <c r="W559" s="28">
        <v>0.66302404785528779</v>
      </c>
      <c r="X559" s="28">
        <v>0.86592085543088615</v>
      </c>
    </row>
    <row r="560" spans="1:24" ht="13.9">
      <c r="A560" s="1">
        <v>559</v>
      </c>
      <c r="B560" s="23" t="e">
        <f ca="1">_xludf.BETA.INV(R560,'04_PSA_INPUTS'!H5,'04_PSA_INPUTS'!I5)</f>
        <v>#NAME?</v>
      </c>
      <c r="C560" s="23" t="e">
        <f ca="1">_xludf.BETA.INV(S560,'04_PSA_INPUTS'!H6,'04_PSA_INPUTS'!I6)</f>
        <v>#NAME?</v>
      </c>
      <c r="D560" s="27" t="e">
        <f ca="1">_xludf.GAMMA.INV(T560,'04_PSA_INPUTS'!H7,'04_PSA_INPUTS'!I7)</f>
        <v>#NAME?</v>
      </c>
      <c r="E560" s="27" t="e">
        <f ca="1">_xludf.GAMMA.INV(U560,'04_PSA_INPUTS'!H8,'04_PSA_INPUTS'!I8)</f>
        <v>#NAME?</v>
      </c>
      <c r="F560" s="27" t="e">
        <f ca="1">_xludf.GAMMA.INV(V560,'04_PSA_INPUTS'!H9,'04_PSA_INPUTS'!I9)</f>
        <v>#NAME?</v>
      </c>
      <c r="G560" s="23" t="e">
        <f ca="1">_xludf.BETA.INV(W560,'04_PSA_INPUTS'!H10,'04_PSA_INPUTS'!I10)</f>
        <v>#NAME?</v>
      </c>
      <c r="H560" s="23" t="e">
        <f ca="1">_xludf.BETA.INV(X560,'04_PSA_INPUTS'!H11,'04_PSA_INPUTS'!I11)</f>
        <v>#NAME?</v>
      </c>
      <c r="I560" s="27" t="e">
        <f ca="1">D560+B560*F560+'01_INPUTS'!B20</f>
        <v>#NAME?</v>
      </c>
      <c r="J560" s="27" t="e">
        <f ca="1">E560+C560*F560+'01_INPUTS'!B21</f>
        <v>#NAME?</v>
      </c>
      <c r="K560" s="27" t="e">
        <f t="shared" ca="1" si="48"/>
        <v>#NAME?</v>
      </c>
      <c r="L560" s="23" t="e">
        <f t="shared" ca="1" si="49"/>
        <v>#NAME?</v>
      </c>
      <c r="M560" s="23" t="e">
        <f t="shared" ca="1" si="50"/>
        <v>#NAME?</v>
      </c>
      <c r="N560" s="23" t="e">
        <f t="shared" ca="1" si="51"/>
        <v>#NAME?</v>
      </c>
      <c r="O560" s="27" t="e">
        <f t="shared" ca="1" si="52"/>
        <v>#NAME?</v>
      </c>
      <c r="P560" s="27" t="e">
        <f ca="1">'01_INPUTS'!B9*N560-K560</f>
        <v>#NAME?</v>
      </c>
      <c r="Q560" s="1" t="e">
        <f t="shared" ca="1" si="53"/>
        <v>#NAME?</v>
      </c>
      <c r="R560" s="28">
        <v>0.6247237001080066</v>
      </c>
      <c r="S560" s="28">
        <v>0.62390846712514758</v>
      </c>
      <c r="T560" s="28">
        <v>0.85894452384673059</v>
      </c>
      <c r="U560" s="28">
        <v>0.17571487347595394</v>
      </c>
      <c r="V560" s="28">
        <v>0.97367642028257251</v>
      </c>
      <c r="W560" s="28">
        <v>0.57763313036412001</v>
      </c>
      <c r="X560" s="28">
        <v>0.60802810313180089</v>
      </c>
    </row>
    <row r="561" spans="1:24" ht="13.9">
      <c r="A561" s="1">
        <v>560</v>
      </c>
      <c r="B561" s="23" t="e">
        <f ca="1">_xludf.BETA.INV(R561,'04_PSA_INPUTS'!H5,'04_PSA_INPUTS'!I5)</f>
        <v>#NAME?</v>
      </c>
      <c r="C561" s="23" t="e">
        <f ca="1">_xludf.BETA.INV(S561,'04_PSA_INPUTS'!H6,'04_PSA_INPUTS'!I6)</f>
        <v>#NAME?</v>
      </c>
      <c r="D561" s="27" t="e">
        <f ca="1">_xludf.GAMMA.INV(T561,'04_PSA_INPUTS'!H7,'04_PSA_INPUTS'!I7)</f>
        <v>#NAME?</v>
      </c>
      <c r="E561" s="27" t="e">
        <f ca="1">_xludf.GAMMA.INV(U561,'04_PSA_INPUTS'!H8,'04_PSA_INPUTS'!I8)</f>
        <v>#NAME?</v>
      </c>
      <c r="F561" s="27" t="e">
        <f ca="1">_xludf.GAMMA.INV(V561,'04_PSA_INPUTS'!H9,'04_PSA_INPUTS'!I9)</f>
        <v>#NAME?</v>
      </c>
      <c r="G561" s="23" t="e">
        <f ca="1">_xludf.BETA.INV(W561,'04_PSA_INPUTS'!H10,'04_PSA_INPUTS'!I10)</f>
        <v>#NAME?</v>
      </c>
      <c r="H561" s="23" t="e">
        <f ca="1">_xludf.BETA.INV(X561,'04_PSA_INPUTS'!H11,'04_PSA_INPUTS'!I11)</f>
        <v>#NAME?</v>
      </c>
      <c r="I561" s="27" t="e">
        <f ca="1">D561+B561*F561+'01_INPUTS'!B20</f>
        <v>#NAME?</v>
      </c>
      <c r="J561" s="27" t="e">
        <f ca="1">E561+C561*F561+'01_INPUTS'!B21</f>
        <v>#NAME?</v>
      </c>
      <c r="K561" s="27" t="e">
        <f t="shared" ca="1" si="48"/>
        <v>#NAME?</v>
      </c>
      <c r="L561" s="23" t="e">
        <f t="shared" ca="1" si="49"/>
        <v>#NAME?</v>
      </c>
      <c r="M561" s="23" t="e">
        <f t="shared" ca="1" si="50"/>
        <v>#NAME?</v>
      </c>
      <c r="N561" s="23" t="e">
        <f t="shared" ca="1" si="51"/>
        <v>#NAME?</v>
      </c>
      <c r="O561" s="27" t="e">
        <f t="shared" ca="1" si="52"/>
        <v>#NAME?</v>
      </c>
      <c r="P561" s="27" t="e">
        <f ca="1">'01_INPUTS'!B9*N561-K561</f>
        <v>#NAME?</v>
      </c>
      <c r="Q561" s="1" t="e">
        <f t="shared" ca="1" si="53"/>
        <v>#NAME?</v>
      </c>
      <c r="R561" s="28">
        <v>3.1982374843209982E-2</v>
      </c>
      <c r="S561" s="28">
        <v>0.19869868969544768</v>
      </c>
      <c r="T561" s="28">
        <v>0.69914988288655877</v>
      </c>
      <c r="U561" s="28">
        <v>0.80973363947123289</v>
      </c>
      <c r="V561" s="28">
        <v>0.60978783201426268</v>
      </c>
      <c r="W561" s="28">
        <v>0.90658807009458542</v>
      </c>
      <c r="X561" s="28">
        <v>0.75949194398708642</v>
      </c>
    </row>
    <row r="562" spans="1:24" ht="13.9">
      <c r="A562" s="1">
        <v>561</v>
      </c>
      <c r="B562" s="23" t="e">
        <f ca="1">_xludf.BETA.INV(R562,'04_PSA_INPUTS'!H5,'04_PSA_INPUTS'!I5)</f>
        <v>#NAME?</v>
      </c>
      <c r="C562" s="23" t="e">
        <f ca="1">_xludf.BETA.INV(S562,'04_PSA_INPUTS'!H6,'04_PSA_INPUTS'!I6)</f>
        <v>#NAME?</v>
      </c>
      <c r="D562" s="27" t="e">
        <f ca="1">_xludf.GAMMA.INV(T562,'04_PSA_INPUTS'!H7,'04_PSA_INPUTS'!I7)</f>
        <v>#NAME?</v>
      </c>
      <c r="E562" s="27" t="e">
        <f ca="1">_xludf.GAMMA.INV(U562,'04_PSA_INPUTS'!H8,'04_PSA_INPUTS'!I8)</f>
        <v>#NAME?</v>
      </c>
      <c r="F562" s="27" t="e">
        <f ca="1">_xludf.GAMMA.INV(V562,'04_PSA_INPUTS'!H9,'04_PSA_INPUTS'!I9)</f>
        <v>#NAME?</v>
      </c>
      <c r="G562" s="23" t="e">
        <f ca="1">_xludf.BETA.INV(W562,'04_PSA_INPUTS'!H10,'04_PSA_INPUTS'!I10)</f>
        <v>#NAME?</v>
      </c>
      <c r="H562" s="23" t="e">
        <f ca="1">_xludf.BETA.INV(X562,'04_PSA_INPUTS'!H11,'04_PSA_INPUTS'!I11)</f>
        <v>#NAME?</v>
      </c>
      <c r="I562" s="27" t="e">
        <f ca="1">D562+B562*F562+'01_INPUTS'!B20</f>
        <v>#NAME?</v>
      </c>
      <c r="J562" s="27" t="e">
        <f ca="1">E562+C562*F562+'01_INPUTS'!B21</f>
        <v>#NAME?</v>
      </c>
      <c r="K562" s="27" t="e">
        <f t="shared" ca="1" si="48"/>
        <v>#NAME?</v>
      </c>
      <c r="L562" s="23" t="e">
        <f t="shared" ca="1" si="49"/>
        <v>#NAME?</v>
      </c>
      <c r="M562" s="23" t="e">
        <f t="shared" ca="1" si="50"/>
        <v>#NAME?</v>
      </c>
      <c r="N562" s="23" t="e">
        <f t="shared" ca="1" si="51"/>
        <v>#NAME?</v>
      </c>
      <c r="O562" s="27" t="e">
        <f t="shared" ca="1" si="52"/>
        <v>#NAME?</v>
      </c>
      <c r="P562" s="27" t="e">
        <f ca="1">'01_INPUTS'!B9*N562-K562</f>
        <v>#NAME?</v>
      </c>
      <c r="Q562" s="1" t="e">
        <f t="shared" ca="1" si="53"/>
        <v>#NAME?</v>
      </c>
      <c r="R562" s="28">
        <v>4.0833929087966681E-2</v>
      </c>
      <c r="S562" s="28">
        <v>0.41346719930879772</v>
      </c>
      <c r="T562" s="28">
        <v>0.48754650517366827</v>
      </c>
      <c r="U562" s="28">
        <v>0.47276245825923979</v>
      </c>
      <c r="V562" s="28">
        <v>0.76251528947614133</v>
      </c>
      <c r="W562" s="28">
        <v>0.26892853621393442</v>
      </c>
      <c r="X562" s="28">
        <v>0.92089491011574864</v>
      </c>
    </row>
    <row r="563" spans="1:24" ht="13.9">
      <c r="A563" s="1">
        <v>562</v>
      </c>
      <c r="B563" s="23" t="e">
        <f ca="1">_xludf.BETA.INV(R563,'04_PSA_INPUTS'!H5,'04_PSA_INPUTS'!I5)</f>
        <v>#NAME?</v>
      </c>
      <c r="C563" s="23" t="e">
        <f ca="1">_xludf.BETA.INV(S563,'04_PSA_INPUTS'!H6,'04_PSA_INPUTS'!I6)</f>
        <v>#NAME?</v>
      </c>
      <c r="D563" s="27" t="e">
        <f ca="1">_xludf.GAMMA.INV(T563,'04_PSA_INPUTS'!H7,'04_PSA_INPUTS'!I7)</f>
        <v>#NAME?</v>
      </c>
      <c r="E563" s="27" t="e">
        <f ca="1">_xludf.GAMMA.INV(U563,'04_PSA_INPUTS'!H8,'04_PSA_INPUTS'!I8)</f>
        <v>#NAME?</v>
      </c>
      <c r="F563" s="27" t="e">
        <f ca="1">_xludf.GAMMA.INV(V563,'04_PSA_INPUTS'!H9,'04_PSA_INPUTS'!I9)</f>
        <v>#NAME?</v>
      </c>
      <c r="G563" s="23" t="e">
        <f ca="1">_xludf.BETA.INV(W563,'04_PSA_INPUTS'!H10,'04_PSA_INPUTS'!I10)</f>
        <v>#NAME?</v>
      </c>
      <c r="H563" s="23" t="e">
        <f ca="1">_xludf.BETA.INV(X563,'04_PSA_INPUTS'!H11,'04_PSA_INPUTS'!I11)</f>
        <v>#NAME?</v>
      </c>
      <c r="I563" s="27" t="e">
        <f ca="1">D563+B563*F563+'01_INPUTS'!B20</f>
        <v>#NAME?</v>
      </c>
      <c r="J563" s="27" t="e">
        <f ca="1">E563+C563*F563+'01_INPUTS'!B21</f>
        <v>#NAME?</v>
      </c>
      <c r="K563" s="27" t="e">
        <f t="shared" ca="1" si="48"/>
        <v>#NAME?</v>
      </c>
      <c r="L563" s="23" t="e">
        <f t="shared" ca="1" si="49"/>
        <v>#NAME?</v>
      </c>
      <c r="M563" s="23" t="e">
        <f t="shared" ca="1" si="50"/>
        <v>#NAME?</v>
      </c>
      <c r="N563" s="23" t="e">
        <f t="shared" ca="1" si="51"/>
        <v>#NAME?</v>
      </c>
      <c r="O563" s="27" t="e">
        <f t="shared" ca="1" si="52"/>
        <v>#NAME?</v>
      </c>
      <c r="P563" s="27" t="e">
        <f ca="1">'01_INPUTS'!B9*N563-K563</f>
        <v>#NAME?</v>
      </c>
      <c r="Q563" s="1" t="e">
        <f t="shared" ca="1" si="53"/>
        <v>#NAME?</v>
      </c>
      <c r="R563" s="28">
        <v>3.9111474994570017E-2</v>
      </c>
      <c r="S563" s="28">
        <v>0.53944650758057833</v>
      </c>
      <c r="T563" s="28">
        <v>0.95515363826416433</v>
      </c>
      <c r="U563" s="28">
        <v>0.7236710162833333</v>
      </c>
      <c r="V563" s="28">
        <v>0.42545886221341789</v>
      </c>
      <c r="W563" s="28">
        <v>5.7169320993125439E-2</v>
      </c>
      <c r="X563" s="28">
        <v>0.78255239548161626</v>
      </c>
    </row>
    <row r="564" spans="1:24" ht="13.9">
      <c r="A564" s="1">
        <v>563</v>
      </c>
      <c r="B564" s="23" t="e">
        <f ca="1">_xludf.BETA.INV(R564,'04_PSA_INPUTS'!H5,'04_PSA_INPUTS'!I5)</f>
        <v>#NAME?</v>
      </c>
      <c r="C564" s="23" t="e">
        <f ca="1">_xludf.BETA.INV(S564,'04_PSA_INPUTS'!H6,'04_PSA_INPUTS'!I6)</f>
        <v>#NAME?</v>
      </c>
      <c r="D564" s="27" t="e">
        <f ca="1">_xludf.GAMMA.INV(T564,'04_PSA_INPUTS'!H7,'04_PSA_INPUTS'!I7)</f>
        <v>#NAME?</v>
      </c>
      <c r="E564" s="27" t="e">
        <f ca="1">_xludf.GAMMA.INV(U564,'04_PSA_INPUTS'!H8,'04_PSA_INPUTS'!I8)</f>
        <v>#NAME?</v>
      </c>
      <c r="F564" s="27" t="e">
        <f ca="1">_xludf.GAMMA.INV(V564,'04_PSA_INPUTS'!H9,'04_PSA_INPUTS'!I9)</f>
        <v>#NAME?</v>
      </c>
      <c r="G564" s="23" t="e">
        <f ca="1">_xludf.BETA.INV(W564,'04_PSA_INPUTS'!H10,'04_PSA_INPUTS'!I10)</f>
        <v>#NAME?</v>
      </c>
      <c r="H564" s="23" t="e">
        <f ca="1">_xludf.BETA.INV(X564,'04_PSA_INPUTS'!H11,'04_PSA_INPUTS'!I11)</f>
        <v>#NAME?</v>
      </c>
      <c r="I564" s="27" t="e">
        <f ca="1">D564+B564*F564+'01_INPUTS'!B20</f>
        <v>#NAME?</v>
      </c>
      <c r="J564" s="27" t="e">
        <f ca="1">E564+C564*F564+'01_INPUTS'!B21</f>
        <v>#NAME?</v>
      </c>
      <c r="K564" s="27" t="e">
        <f t="shared" ca="1" si="48"/>
        <v>#NAME?</v>
      </c>
      <c r="L564" s="23" t="e">
        <f t="shared" ca="1" si="49"/>
        <v>#NAME?</v>
      </c>
      <c r="M564" s="23" t="e">
        <f t="shared" ca="1" si="50"/>
        <v>#NAME?</v>
      </c>
      <c r="N564" s="23" t="e">
        <f t="shared" ca="1" si="51"/>
        <v>#NAME?</v>
      </c>
      <c r="O564" s="27" t="e">
        <f t="shared" ca="1" si="52"/>
        <v>#NAME?</v>
      </c>
      <c r="P564" s="27" t="e">
        <f ca="1">'01_INPUTS'!B9*N564-K564</f>
        <v>#NAME?</v>
      </c>
      <c r="Q564" s="1" t="e">
        <f t="shared" ca="1" si="53"/>
        <v>#NAME?</v>
      </c>
      <c r="R564" s="28">
        <v>0.37614764668978751</v>
      </c>
      <c r="S564" s="28">
        <v>0.42921778233721852</v>
      </c>
      <c r="T564" s="28">
        <v>2.1639181533828378E-2</v>
      </c>
      <c r="U564" s="28">
        <v>0.44317638943903148</v>
      </c>
      <c r="V564" s="28">
        <v>7.2310375981032848E-4</v>
      </c>
      <c r="W564" s="28">
        <v>0.15487743355333805</v>
      </c>
      <c r="X564" s="28">
        <v>0.52331368927843869</v>
      </c>
    </row>
    <row r="565" spans="1:24" ht="13.9">
      <c r="A565" s="1">
        <v>564</v>
      </c>
      <c r="B565" s="23" t="e">
        <f ca="1">_xludf.BETA.INV(R565,'04_PSA_INPUTS'!H5,'04_PSA_INPUTS'!I5)</f>
        <v>#NAME?</v>
      </c>
      <c r="C565" s="23" t="e">
        <f ca="1">_xludf.BETA.INV(S565,'04_PSA_INPUTS'!H6,'04_PSA_INPUTS'!I6)</f>
        <v>#NAME?</v>
      </c>
      <c r="D565" s="27" t="e">
        <f ca="1">_xludf.GAMMA.INV(T565,'04_PSA_INPUTS'!H7,'04_PSA_INPUTS'!I7)</f>
        <v>#NAME?</v>
      </c>
      <c r="E565" s="27" t="e">
        <f ca="1">_xludf.GAMMA.INV(U565,'04_PSA_INPUTS'!H8,'04_PSA_INPUTS'!I8)</f>
        <v>#NAME?</v>
      </c>
      <c r="F565" s="27" t="e">
        <f ca="1">_xludf.GAMMA.INV(V565,'04_PSA_INPUTS'!H9,'04_PSA_INPUTS'!I9)</f>
        <v>#NAME?</v>
      </c>
      <c r="G565" s="23" t="e">
        <f ca="1">_xludf.BETA.INV(W565,'04_PSA_INPUTS'!H10,'04_PSA_INPUTS'!I10)</f>
        <v>#NAME?</v>
      </c>
      <c r="H565" s="23" t="e">
        <f ca="1">_xludf.BETA.INV(X565,'04_PSA_INPUTS'!H11,'04_PSA_INPUTS'!I11)</f>
        <v>#NAME?</v>
      </c>
      <c r="I565" s="27" t="e">
        <f ca="1">D565+B565*F565+'01_INPUTS'!B20</f>
        <v>#NAME?</v>
      </c>
      <c r="J565" s="27" t="e">
        <f ca="1">E565+C565*F565+'01_INPUTS'!B21</f>
        <v>#NAME?</v>
      </c>
      <c r="K565" s="27" t="e">
        <f t="shared" ca="1" si="48"/>
        <v>#NAME?</v>
      </c>
      <c r="L565" s="23" t="e">
        <f t="shared" ca="1" si="49"/>
        <v>#NAME?</v>
      </c>
      <c r="M565" s="23" t="e">
        <f t="shared" ca="1" si="50"/>
        <v>#NAME?</v>
      </c>
      <c r="N565" s="23" t="e">
        <f t="shared" ca="1" si="51"/>
        <v>#NAME?</v>
      </c>
      <c r="O565" s="27" t="e">
        <f t="shared" ca="1" si="52"/>
        <v>#NAME?</v>
      </c>
      <c r="P565" s="27" t="e">
        <f ca="1">'01_INPUTS'!B9*N565-K565</f>
        <v>#NAME?</v>
      </c>
      <c r="Q565" s="1" t="e">
        <f t="shared" ca="1" si="53"/>
        <v>#NAME?</v>
      </c>
      <c r="R565" s="28">
        <v>0.56266385107301176</v>
      </c>
      <c r="S565" s="28">
        <v>0.92997525027021766</v>
      </c>
      <c r="T565" s="28">
        <v>0.14149228972382843</v>
      </c>
      <c r="U565" s="28">
        <v>0.80552067584358156</v>
      </c>
      <c r="V565" s="28">
        <v>0.23475628392770886</v>
      </c>
      <c r="W565" s="28">
        <v>0.45987244299612939</v>
      </c>
      <c r="X565" s="28">
        <v>0.97932268702425063</v>
      </c>
    </row>
    <row r="566" spans="1:24" ht="13.9">
      <c r="A566" s="1">
        <v>565</v>
      </c>
      <c r="B566" s="23" t="e">
        <f ca="1">_xludf.BETA.INV(R566,'04_PSA_INPUTS'!H5,'04_PSA_INPUTS'!I5)</f>
        <v>#NAME?</v>
      </c>
      <c r="C566" s="23" t="e">
        <f ca="1">_xludf.BETA.INV(S566,'04_PSA_INPUTS'!H6,'04_PSA_INPUTS'!I6)</f>
        <v>#NAME?</v>
      </c>
      <c r="D566" s="27" t="e">
        <f ca="1">_xludf.GAMMA.INV(T566,'04_PSA_INPUTS'!H7,'04_PSA_INPUTS'!I7)</f>
        <v>#NAME?</v>
      </c>
      <c r="E566" s="27" t="e">
        <f ca="1">_xludf.GAMMA.INV(U566,'04_PSA_INPUTS'!H8,'04_PSA_INPUTS'!I8)</f>
        <v>#NAME?</v>
      </c>
      <c r="F566" s="27" t="e">
        <f ca="1">_xludf.GAMMA.INV(V566,'04_PSA_INPUTS'!H9,'04_PSA_INPUTS'!I9)</f>
        <v>#NAME?</v>
      </c>
      <c r="G566" s="23" t="e">
        <f ca="1">_xludf.BETA.INV(W566,'04_PSA_INPUTS'!H10,'04_PSA_INPUTS'!I10)</f>
        <v>#NAME?</v>
      </c>
      <c r="H566" s="23" t="e">
        <f ca="1">_xludf.BETA.INV(X566,'04_PSA_INPUTS'!H11,'04_PSA_INPUTS'!I11)</f>
        <v>#NAME?</v>
      </c>
      <c r="I566" s="27" t="e">
        <f ca="1">D566+B566*F566+'01_INPUTS'!B20</f>
        <v>#NAME?</v>
      </c>
      <c r="J566" s="27" t="e">
        <f ca="1">E566+C566*F566+'01_INPUTS'!B21</f>
        <v>#NAME?</v>
      </c>
      <c r="K566" s="27" t="e">
        <f t="shared" ca="1" si="48"/>
        <v>#NAME?</v>
      </c>
      <c r="L566" s="23" t="e">
        <f t="shared" ca="1" si="49"/>
        <v>#NAME?</v>
      </c>
      <c r="M566" s="23" t="e">
        <f t="shared" ca="1" si="50"/>
        <v>#NAME?</v>
      </c>
      <c r="N566" s="23" t="e">
        <f t="shared" ca="1" si="51"/>
        <v>#NAME?</v>
      </c>
      <c r="O566" s="27" t="e">
        <f t="shared" ca="1" si="52"/>
        <v>#NAME?</v>
      </c>
      <c r="P566" s="27" t="e">
        <f ca="1">'01_INPUTS'!B9*N566-K566</f>
        <v>#NAME?</v>
      </c>
      <c r="Q566" s="1" t="e">
        <f t="shared" ca="1" si="53"/>
        <v>#NAME?</v>
      </c>
      <c r="R566" s="28">
        <v>0.2373891172464937</v>
      </c>
      <c r="S566" s="28">
        <v>0.49626532173715532</v>
      </c>
      <c r="T566" s="28">
        <v>4.5890005771070719E-2</v>
      </c>
      <c r="U566" s="28">
        <v>0.28667143266648054</v>
      </c>
      <c r="V566" s="28">
        <v>0.86679351842030883</v>
      </c>
      <c r="W566" s="28">
        <v>0.80809736042283475</v>
      </c>
      <c r="X566" s="28">
        <v>0.3746704722288996</v>
      </c>
    </row>
    <row r="567" spans="1:24" ht="13.9">
      <c r="A567" s="1">
        <v>566</v>
      </c>
      <c r="B567" s="23" t="e">
        <f ca="1">_xludf.BETA.INV(R567,'04_PSA_INPUTS'!H5,'04_PSA_INPUTS'!I5)</f>
        <v>#NAME?</v>
      </c>
      <c r="C567" s="23" t="e">
        <f ca="1">_xludf.BETA.INV(S567,'04_PSA_INPUTS'!H6,'04_PSA_INPUTS'!I6)</f>
        <v>#NAME?</v>
      </c>
      <c r="D567" s="27" t="e">
        <f ca="1">_xludf.GAMMA.INV(T567,'04_PSA_INPUTS'!H7,'04_PSA_INPUTS'!I7)</f>
        <v>#NAME?</v>
      </c>
      <c r="E567" s="27" t="e">
        <f ca="1">_xludf.GAMMA.INV(U567,'04_PSA_INPUTS'!H8,'04_PSA_INPUTS'!I8)</f>
        <v>#NAME?</v>
      </c>
      <c r="F567" s="27" t="e">
        <f ca="1">_xludf.GAMMA.INV(V567,'04_PSA_INPUTS'!H9,'04_PSA_INPUTS'!I9)</f>
        <v>#NAME?</v>
      </c>
      <c r="G567" s="23" t="e">
        <f ca="1">_xludf.BETA.INV(W567,'04_PSA_INPUTS'!H10,'04_PSA_INPUTS'!I10)</f>
        <v>#NAME?</v>
      </c>
      <c r="H567" s="23" t="e">
        <f ca="1">_xludf.BETA.INV(X567,'04_PSA_INPUTS'!H11,'04_PSA_INPUTS'!I11)</f>
        <v>#NAME?</v>
      </c>
      <c r="I567" s="27" t="e">
        <f ca="1">D567+B567*F567+'01_INPUTS'!B20</f>
        <v>#NAME?</v>
      </c>
      <c r="J567" s="27" t="e">
        <f ca="1">E567+C567*F567+'01_INPUTS'!B21</f>
        <v>#NAME?</v>
      </c>
      <c r="K567" s="27" t="e">
        <f t="shared" ca="1" si="48"/>
        <v>#NAME?</v>
      </c>
      <c r="L567" s="23" t="e">
        <f t="shared" ca="1" si="49"/>
        <v>#NAME?</v>
      </c>
      <c r="M567" s="23" t="e">
        <f t="shared" ca="1" si="50"/>
        <v>#NAME?</v>
      </c>
      <c r="N567" s="23" t="e">
        <f t="shared" ca="1" si="51"/>
        <v>#NAME?</v>
      </c>
      <c r="O567" s="27" t="e">
        <f t="shared" ca="1" si="52"/>
        <v>#NAME?</v>
      </c>
      <c r="P567" s="27" t="e">
        <f ca="1">'01_INPUTS'!B9*N567-K567</f>
        <v>#NAME?</v>
      </c>
      <c r="Q567" s="1" t="e">
        <f t="shared" ca="1" si="53"/>
        <v>#NAME?</v>
      </c>
      <c r="R567" s="28">
        <v>0.56573818507604301</v>
      </c>
      <c r="S567" s="28">
        <v>0.57826093281619251</v>
      </c>
      <c r="T567" s="28">
        <v>0.14045442314818501</v>
      </c>
      <c r="U567" s="28">
        <v>0.53831547708250582</v>
      </c>
      <c r="V567" s="28">
        <v>0.63531698472797871</v>
      </c>
      <c r="W567" s="28">
        <v>0.49431315320543945</v>
      </c>
      <c r="X567" s="28">
        <v>0.18234869185835123</v>
      </c>
    </row>
    <row r="568" spans="1:24" ht="13.9">
      <c r="A568" s="1">
        <v>567</v>
      </c>
      <c r="B568" s="23" t="e">
        <f ca="1">_xludf.BETA.INV(R568,'04_PSA_INPUTS'!H5,'04_PSA_INPUTS'!I5)</f>
        <v>#NAME?</v>
      </c>
      <c r="C568" s="23" t="e">
        <f ca="1">_xludf.BETA.INV(S568,'04_PSA_INPUTS'!H6,'04_PSA_INPUTS'!I6)</f>
        <v>#NAME?</v>
      </c>
      <c r="D568" s="27" t="e">
        <f ca="1">_xludf.GAMMA.INV(T568,'04_PSA_INPUTS'!H7,'04_PSA_INPUTS'!I7)</f>
        <v>#NAME?</v>
      </c>
      <c r="E568" s="27" t="e">
        <f ca="1">_xludf.GAMMA.INV(U568,'04_PSA_INPUTS'!H8,'04_PSA_INPUTS'!I8)</f>
        <v>#NAME?</v>
      </c>
      <c r="F568" s="27" t="e">
        <f ca="1">_xludf.GAMMA.INV(V568,'04_PSA_INPUTS'!H9,'04_PSA_INPUTS'!I9)</f>
        <v>#NAME?</v>
      </c>
      <c r="G568" s="23" t="e">
        <f ca="1">_xludf.BETA.INV(W568,'04_PSA_INPUTS'!H10,'04_PSA_INPUTS'!I10)</f>
        <v>#NAME?</v>
      </c>
      <c r="H568" s="23" t="e">
        <f ca="1">_xludf.BETA.INV(X568,'04_PSA_INPUTS'!H11,'04_PSA_INPUTS'!I11)</f>
        <v>#NAME?</v>
      </c>
      <c r="I568" s="27" t="e">
        <f ca="1">D568+B568*F568+'01_INPUTS'!B20</f>
        <v>#NAME?</v>
      </c>
      <c r="J568" s="27" t="e">
        <f ca="1">E568+C568*F568+'01_INPUTS'!B21</f>
        <v>#NAME?</v>
      </c>
      <c r="K568" s="27" t="e">
        <f t="shared" ca="1" si="48"/>
        <v>#NAME?</v>
      </c>
      <c r="L568" s="23" t="e">
        <f t="shared" ca="1" si="49"/>
        <v>#NAME?</v>
      </c>
      <c r="M568" s="23" t="e">
        <f t="shared" ca="1" si="50"/>
        <v>#NAME?</v>
      </c>
      <c r="N568" s="23" t="e">
        <f t="shared" ca="1" si="51"/>
        <v>#NAME?</v>
      </c>
      <c r="O568" s="27" t="e">
        <f t="shared" ca="1" si="52"/>
        <v>#NAME?</v>
      </c>
      <c r="P568" s="27" t="e">
        <f ca="1">'01_INPUTS'!B9*N568-K568</f>
        <v>#NAME?</v>
      </c>
      <c r="Q568" s="1" t="e">
        <f t="shared" ca="1" si="53"/>
        <v>#NAME?</v>
      </c>
      <c r="R568" s="28">
        <v>0.45523497043177485</v>
      </c>
      <c r="S568" s="28">
        <v>0.45086687477305532</v>
      </c>
      <c r="T568" s="28">
        <v>5.1805202616378665E-2</v>
      </c>
      <c r="U568" s="28">
        <v>0.7021919060498476</v>
      </c>
      <c r="V568" s="28">
        <v>0.13526184624060988</v>
      </c>
      <c r="W568" s="28">
        <v>0.45150557742454112</v>
      </c>
      <c r="X568" s="28">
        <v>0.20791339129209518</v>
      </c>
    </row>
    <row r="569" spans="1:24" ht="13.9">
      <c r="A569" s="1">
        <v>568</v>
      </c>
      <c r="B569" s="23" t="e">
        <f ca="1">_xludf.BETA.INV(R569,'04_PSA_INPUTS'!H5,'04_PSA_INPUTS'!I5)</f>
        <v>#NAME?</v>
      </c>
      <c r="C569" s="23" t="e">
        <f ca="1">_xludf.BETA.INV(S569,'04_PSA_INPUTS'!H6,'04_PSA_INPUTS'!I6)</f>
        <v>#NAME?</v>
      </c>
      <c r="D569" s="27" t="e">
        <f ca="1">_xludf.GAMMA.INV(T569,'04_PSA_INPUTS'!H7,'04_PSA_INPUTS'!I7)</f>
        <v>#NAME?</v>
      </c>
      <c r="E569" s="27" t="e">
        <f ca="1">_xludf.GAMMA.INV(U569,'04_PSA_INPUTS'!H8,'04_PSA_INPUTS'!I8)</f>
        <v>#NAME?</v>
      </c>
      <c r="F569" s="27" t="e">
        <f ca="1">_xludf.GAMMA.INV(V569,'04_PSA_INPUTS'!H9,'04_PSA_INPUTS'!I9)</f>
        <v>#NAME?</v>
      </c>
      <c r="G569" s="23" t="e">
        <f ca="1">_xludf.BETA.INV(W569,'04_PSA_INPUTS'!H10,'04_PSA_INPUTS'!I10)</f>
        <v>#NAME?</v>
      </c>
      <c r="H569" s="23" t="e">
        <f ca="1">_xludf.BETA.INV(X569,'04_PSA_INPUTS'!H11,'04_PSA_INPUTS'!I11)</f>
        <v>#NAME?</v>
      </c>
      <c r="I569" s="27" t="e">
        <f ca="1">D569+B569*F569+'01_INPUTS'!B20</f>
        <v>#NAME?</v>
      </c>
      <c r="J569" s="27" t="e">
        <f ca="1">E569+C569*F569+'01_INPUTS'!B21</f>
        <v>#NAME?</v>
      </c>
      <c r="K569" s="27" t="e">
        <f t="shared" ca="1" si="48"/>
        <v>#NAME?</v>
      </c>
      <c r="L569" s="23" t="e">
        <f t="shared" ca="1" si="49"/>
        <v>#NAME?</v>
      </c>
      <c r="M569" s="23" t="e">
        <f t="shared" ca="1" si="50"/>
        <v>#NAME?</v>
      </c>
      <c r="N569" s="23" t="e">
        <f t="shared" ca="1" si="51"/>
        <v>#NAME?</v>
      </c>
      <c r="O569" s="27" t="e">
        <f t="shared" ca="1" si="52"/>
        <v>#NAME?</v>
      </c>
      <c r="P569" s="27" t="e">
        <f ca="1">'01_INPUTS'!B9*N569-K569</f>
        <v>#NAME?</v>
      </c>
      <c r="Q569" s="1" t="e">
        <f t="shared" ca="1" si="53"/>
        <v>#NAME?</v>
      </c>
      <c r="R569" s="28">
        <v>0.69783322792500257</v>
      </c>
      <c r="S569" s="28">
        <v>0.50507402536459267</v>
      </c>
      <c r="T569" s="28">
        <v>9.7601548070088029E-2</v>
      </c>
      <c r="U569" s="28">
        <v>0.73644937225617468</v>
      </c>
      <c r="V569" s="28">
        <v>0.32516724127344787</v>
      </c>
      <c r="W569" s="28">
        <v>0.89164431043900549</v>
      </c>
      <c r="X569" s="28">
        <v>0.35433131107129157</v>
      </c>
    </row>
    <row r="570" spans="1:24" ht="13.9">
      <c r="A570" s="1">
        <v>569</v>
      </c>
      <c r="B570" s="23" t="e">
        <f ca="1">_xludf.BETA.INV(R570,'04_PSA_INPUTS'!H5,'04_PSA_INPUTS'!I5)</f>
        <v>#NAME?</v>
      </c>
      <c r="C570" s="23" t="e">
        <f ca="1">_xludf.BETA.INV(S570,'04_PSA_INPUTS'!H6,'04_PSA_INPUTS'!I6)</f>
        <v>#NAME?</v>
      </c>
      <c r="D570" s="27" t="e">
        <f ca="1">_xludf.GAMMA.INV(T570,'04_PSA_INPUTS'!H7,'04_PSA_INPUTS'!I7)</f>
        <v>#NAME?</v>
      </c>
      <c r="E570" s="27" t="e">
        <f ca="1">_xludf.GAMMA.INV(U570,'04_PSA_INPUTS'!H8,'04_PSA_INPUTS'!I8)</f>
        <v>#NAME?</v>
      </c>
      <c r="F570" s="27" t="e">
        <f ca="1">_xludf.GAMMA.INV(V570,'04_PSA_INPUTS'!H9,'04_PSA_INPUTS'!I9)</f>
        <v>#NAME?</v>
      </c>
      <c r="G570" s="23" t="e">
        <f ca="1">_xludf.BETA.INV(W570,'04_PSA_INPUTS'!H10,'04_PSA_INPUTS'!I10)</f>
        <v>#NAME?</v>
      </c>
      <c r="H570" s="23" t="e">
        <f ca="1">_xludf.BETA.INV(X570,'04_PSA_INPUTS'!H11,'04_PSA_INPUTS'!I11)</f>
        <v>#NAME?</v>
      </c>
      <c r="I570" s="27" t="e">
        <f ca="1">D570+B570*F570+'01_INPUTS'!B20</f>
        <v>#NAME?</v>
      </c>
      <c r="J570" s="27" t="e">
        <f ca="1">E570+C570*F570+'01_INPUTS'!B21</f>
        <v>#NAME?</v>
      </c>
      <c r="K570" s="27" t="e">
        <f t="shared" ca="1" si="48"/>
        <v>#NAME?</v>
      </c>
      <c r="L570" s="23" t="e">
        <f t="shared" ca="1" si="49"/>
        <v>#NAME?</v>
      </c>
      <c r="M570" s="23" t="e">
        <f t="shared" ca="1" si="50"/>
        <v>#NAME?</v>
      </c>
      <c r="N570" s="23" t="e">
        <f t="shared" ca="1" si="51"/>
        <v>#NAME?</v>
      </c>
      <c r="O570" s="27" t="e">
        <f t="shared" ca="1" si="52"/>
        <v>#NAME?</v>
      </c>
      <c r="P570" s="27" t="e">
        <f ca="1">'01_INPUTS'!B9*N570-K570</f>
        <v>#NAME?</v>
      </c>
      <c r="Q570" s="1" t="e">
        <f t="shared" ca="1" si="53"/>
        <v>#NAME?</v>
      </c>
      <c r="R570" s="28">
        <v>0.37848136713728309</v>
      </c>
      <c r="S570" s="28">
        <v>0.49951900169253349</v>
      </c>
      <c r="T570" s="28">
        <v>0.65646871435455978</v>
      </c>
      <c r="U570" s="28">
        <v>0.29414477804675698</v>
      </c>
      <c r="V570" s="28">
        <v>0.96683964552357793</v>
      </c>
      <c r="W570" s="28">
        <v>0.11934630339965224</v>
      </c>
      <c r="X570" s="28">
        <v>9.1517331311479211E-2</v>
      </c>
    </row>
    <row r="571" spans="1:24" ht="13.9">
      <c r="A571" s="1">
        <v>570</v>
      </c>
      <c r="B571" s="23" t="e">
        <f ca="1">_xludf.BETA.INV(R571,'04_PSA_INPUTS'!H5,'04_PSA_INPUTS'!I5)</f>
        <v>#NAME?</v>
      </c>
      <c r="C571" s="23" t="e">
        <f ca="1">_xludf.BETA.INV(S571,'04_PSA_INPUTS'!H6,'04_PSA_INPUTS'!I6)</f>
        <v>#NAME?</v>
      </c>
      <c r="D571" s="27" t="e">
        <f ca="1">_xludf.GAMMA.INV(T571,'04_PSA_INPUTS'!H7,'04_PSA_INPUTS'!I7)</f>
        <v>#NAME?</v>
      </c>
      <c r="E571" s="27" t="e">
        <f ca="1">_xludf.GAMMA.INV(U571,'04_PSA_INPUTS'!H8,'04_PSA_INPUTS'!I8)</f>
        <v>#NAME?</v>
      </c>
      <c r="F571" s="27" t="e">
        <f ca="1">_xludf.GAMMA.INV(V571,'04_PSA_INPUTS'!H9,'04_PSA_INPUTS'!I9)</f>
        <v>#NAME?</v>
      </c>
      <c r="G571" s="23" t="e">
        <f ca="1">_xludf.BETA.INV(W571,'04_PSA_INPUTS'!H10,'04_PSA_INPUTS'!I10)</f>
        <v>#NAME?</v>
      </c>
      <c r="H571" s="23" t="e">
        <f ca="1">_xludf.BETA.INV(X571,'04_PSA_INPUTS'!H11,'04_PSA_INPUTS'!I11)</f>
        <v>#NAME?</v>
      </c>
      <c r="I571" s="27" t="e">
        <f ca="1">D571+B571*F571+'01_INPUTS'!B20</f>
        <v>#NAME?</v>
      </c>
      <c r="J571" s="27" t="e">
        <f ca="1">E571+C571*F571+'01_INPUTS'!B21</f>
        <v>#NAME?</v>
      </c>
      <c r="K571" s="27" t="e">
        <f t="shared" ca="1" si="48"/>
        <v>#NAME?</v>
      </c>
      <c r="L571" s="23" t="e">
        <f t="shared" ca="1" si="49"/>
        <v>#NAME?</v>
      </c>
      <c r="M571" s="23" t="e">
        <f t="shared" ca="1" si="50"/>
        <v>#NAME?</v>
      </c>
      <c r="N571" s="23" t="e">
        <f t="shared" ca="1" si="51"/>
        <v>#NAME?</v>
      </c>
      <c r="O571" s="27" t="e">
        <f t="shared" ca="1" si="52"/>
        <v>#NAME?</v>
      </c>
      <c r="P571" s="27" t="e">
        <f ca="1">'01_INPUTS'!B9*N571-K571</f>
        <v>#NAME?</v>
      </c>
      <c r="Q571" s="1" t="e">
        <f t="shared" ca="1" si="53"/>
        <v>#NAME?</v>
      </c>
      <c r="R571" s="28">
        <v>0.86916094715707004</v>
      </c>
      <c r="S571" s="28">
        <v>0.23518675263039768</v>
      </c>
      <c r="T571" s="28">
        <v>0.84967248933389783</v>
      </c>
      <c r="U571" s="28">
        <v>0.50271455757319927</v>
      </c>
      <c r="V571" s="28">
        <v>0.13369549508206546</v>
      </c>
      <c r="W571" s="28">
        <v>0.22404778026975691</v>
      </c>
      <c r="X571" s="28">
        <v>0.44684709678404033</v>
      </c>
    </row>
    <row r="572" spans="1:24" ht="13.9">
      <c r="A572" s="1">
        <v>571</v>
      </c>
      <c r="B572" s="23" t="e">
        <f ca="1">_xludf.BETA.INV(R572,'04_PSA_INPUTS'!H5,'04_PSA_INPUTS'!I5)</f>
        <v>#NAME?</v>
      </c>
      <c r="C572" s="23" t="e">
        <f ca="1">_xludf.BETA.INV(S572,'04_PSA_INPUTS'!H6,'04_PSA_INPUTS'!I6)</f>
        <v>#NAME?</v>
      </c>
      <c r="D572" s="27" t="e">
        <f ca="1">_xludf.GAMMA.INV(T572,'04_PSA_INPUTS'!H7,'04_PSA_INPUTS'!I7)</f>
        <v>#NAME?</v>
      </c>
      <c r="E572" s="27" t="e">
        <f ca="1">_xludf.GAMMA.INV(U572,'04_PSA_INPUTS'!H8,'04_PSA_INPUTS'!I8)</f>
        <v>#NAME?</v>
      </c>
      <c r="F572" s="27" t="e">
        <f ca="1">_xludf.GAMMA.INV(V572,'04_PSA_INPUTS'!H9,'04_PSA_INPUTS'!I9)</f>
        <v>#NAME?</v>
      </c>
      <c r="G572" s="23" t="e">
        <f ca="1">_xludf.BETA.INV(W572,'04_PSA_INPUTS'!H10,'04_PSA_INPUTS'!I10)</f>
        <v>#NAME?</v>
      </c>
      <c r="H572" s="23" t="e">
        <f ca="1">_xludf.BETA.INV(X572,'04_PSA_INPUTS'!H11,'04_PSA_INPUTS'!I11)</f>
        <v>#NAME?</v>
      </c>
      <c r="I572" s="27" t="e">
        <f ca="1">D572+B572*F572+'01_INPUTS'!B20</f>
        <v>#NAME?</v>
      </c>
      <c r="J572" s="27" t="e">
        <f ca="1">E572+C572*F572+'01_INPUTS'!B21</f>
        <v>#NAME?</v>
      </c>
      <c r="K572" s="27" t="e">
        <f t="shared" ca="1" si="48"/>
        <v>#NAME?</v>
      </c>
      <c r="L572" s="23" t="e">
        <f t="shared" ca="1" si="49"/>
        <v>#NAME?</v>
      </c>
      <c r="M572" s="23" t="e">
        <f t="shared" ca="1" si="50"/>
        <v>#NAME?</v>
      </c>
      <c r="N572" s="23" t="e">
        <f t="shared" ca="1" si="51"/>
        <v>#NAME?</v>
      </c>
      <c r="O572" s="27" t="e">
        <f t="shared" ca="1" si="52"/>
        <v>#NAME?</v>
      </c>
      <c r="P572" s="27" t="e">
        <f ca="1">'01_INPUTS'!B9*N572-K572</f>
        <v>#NAME?</v>
      </c>
      <c r="Q572" s="1" t="e">
        <f t="shared" ca="1" si="53"/>
        <v>#NAME?</v>
      </c>
      <c r="R572" s="28">
        <v>0.48315638094209135</v>
      </c>
      <c r="S572" s="28">
        <v>0.41658268193714321</v>
      </c>
      <c r="T572" s="28">
        <v>0.65443447977304459</v>
      </c>
      <c r="U572" s="28">
        <v>0.35988306999206543</v>
      </c>
      <c r="V572" s="28">
        <v>0.92134713544510305</v>
      </c>
      <c r="W572" s="28">
        <v>0.34325164533220232</v>
      </c>
      <c r="X572" s="28">
        <v>9.0509453089907765E-2</v>
      </c>
    </row>
    <row r="573" spans="1:24" ht="13.9">
      <c r="A573" s="1">
        <v>572</v>
      </c>
      <c r="B573" s="23" t="e">
        <f ca="1">_xludf.BETA.INV(R573,'04_PSA_INPUTS'!H5,'04_PSA_INPUTS'!I5)</f>
        <v>#NAME?</v>
      </c>
      <c r="C573" s="23" t="e">
        <f ca="1">_xludf.BETA.INV(S573,'04_PSA_INPUTS'!H6,'04_PSA_INPUTS'!I6)</f>
        <v>#NAME?</v>
      </c>
      <c r="D573" s="27" t="e">
        <f ca="1">_xludf.GAMMA.INV(T573,'04_PSA_INPUTS'!H7,'04_PSA_INPUTS'!I7)</f>
        <v>#NAME?</v>
      </c>
      <c r="E573" s="27" t="e">
        <f ca="1">_xludf.GAMMA.INV(U573,'04_PSA_INPUTS'!H8,'04_PSA_INPUTS'!I8)</f>
        <v>#NAME?</v>
      </c>
      <c r="F573" s="27" t="e">
        <f ca="1">_xludf.GAMMA.INV(V573,'04_PSA_INPUTS'!H9,'04_PSA_INPUTS'!I9)</f>
        <v>#NAME?</v>
      </c>
      <c r="G573" s="23" t="e">
        <f ca="1">_xludf.BETA.INV(W573,'04_PSA_INPUTS'!H10,'04_PSA_INPUTS'!I10)</f>
        <v>#NAME?</v>
      </c>
      <c r="H573" s="23" t="e">
        <f ca="1">_xludf.BETA.INV(X573,'04_PSA_INPUTS'!H11,'04_PSA_INPUTS'!I11)</f>
        <v>#NAME?</v>
      </c>
      <c r="I573" s="27" t="e">
        <f ca="1">D573+B573*F573+'01_INPUTS'!B20</f>
        <v>#NAME?</v>
      </c>
      <c r="J573" s="27" t="e">
        <f ca="1">E573+C573*F573+'01_INPUTS'!B21</f>
        <v>#NAME?</v>
      </c>
      <c r="K573" s="27" t="e">
        <f t="shared" ca="1" si="48"/>
        <v>#NAME?</v>
      </c>
      <c r="L573" s="23" t="e">
        <f t="shared" ca="1" si="49"/>
        <v>#NAME?</v>
      </c>
      <c r="M573" s="23" t="e">
        <f t="shared" ca="1" si="50"/>
        <v>#NAME?</v>
      </c>
      <c r="N573" s="23" t="e">
        <f t="shared" ca="1" si="51"/>
        <v>#NAME?</v>
      </c>
      <c r="O573" s="27" t="e">
        <f t="shared" ca="1" si="52"/>
        <v>#NAME?</v>
      </c>
      <c r="P573" s="27" t="e">
        <f ca="1">'01_INPUTS'!B9*N573-K573</f>
        <v>#NAME?</v>
      </c>
      <c r="Q573" s="1" t="e">
        <f t="shared" ca="1" si="53"/>
        <v>#NAME?</v>
      </c>
      <c r="R573" s="28">
        <v>0.58698884816840291</v>
      </c>
      <c r="S573" s="28">
        <v>0.72430363413877785</v>
      </c>
      <c r="T573" s="28">
        <v>0.27205214067362249</v>
      </c>
      <c r="U573" s="28">
        <v>0.11690264428034425</v>
      </c>
      <c r="V573" s="28">
        <v>2.402616199105978E-2</v>
      </c>
      <c r="W573" s="28">
        <v>0.90020107943564653</v>
      </c>
      <c r="X573" s="28">
        <v>0.78952125343494117</v>
      </c>
    </row>
    <row r="574" spans="1:24" ht="13.9">
      <c r="A574" s="1">
        <v>573</v>
      </c>
      <c r="B574" s="23" t="e">
        <f ca="1">_xludf.BETA.INV(R574,'04_PSA_INPUTS'!H5,'04_PSA_INPUTS'!I5)</f>
        <v>#NAME?</v>
      </c>
      <c r="C574" s="23" t="e">
        <f ca="1">_xludf.BETA.INV(S574,'04_PSA_INPUTS'!H6,'04_PSA_INPUTS'!I6)</f>
        <v>#NAME?</v>
      </c>
      <c r="D574" s="27" t="e">
        <f ca="1">_xludf.GAMMA.INV(T574,'04_PSA_INPUTS'!H7,'04_PSA_INPUTS'!I7)</f>
        <v>#NAME?</v>
      </c>
      <c r="E574" s="27" t="e">
        <f ca="1">_xludf.GAMMA.INV(U574,'04_PSA_INPUTS'!H8,'04_PSA_INPUTS'!I8)</f>
        <v>#NAME?</v>
      </c>
      <c r="F574" s="27" t="e">
        <f ca="1">_xludf.GAMMA.INV(V574,'04_PSA_INPUTS'!H9,'04_PSA_INPUTS'!I9)</f>
        <v>#NAME?</v>
      </c>
      <c r="G574" s="23" t="e">
        <f ca="1">_xludf.BETA.INV(W574,'04_PSA_INPUTS'!H10,'04_PSA_INPUTS'!I10)</f>
        <v>#NAME?</v>
      </c>
      <c r="H574" s="23" t="e">
        <f ca="1">_xludf.BETA.INV(X574,'04_PSA_INPUTS'!H11,'04_PSA_INPUTS'!I11)</f>
        <v>#NAME?</v>
      </c>
      <c r="I574" s="27" t="e">
        <f ca="1">D574+B574*F574+'01_INPUTS'!B20</f>
        <v>#NAME?</v>
      </c>
      <c r="J574" s="27" t="e">
        <f ca="1">E574+C574*F574+'01_INPUTS'!B21</f>
        <v>#NAME?</v>
      </c>
      <c r="K574" s="27" t="e">
        <f t="shared" ca="1" si="48"/>
        <v>#NAME?</v>
      </c>
      <c r="L574" s="23" t="e">
        <f t="shared" ca="1" si="49"/>
        <v>#NAME?</v>
      </c>
      <c r="M574" s="23" t="e">
        <f t="shared" ca="1" si="50"/>
        <v>#NAME?</v>
      </c>
      <c r="N574" s="23" t="e">
        <f t="shared" ca="1" si="51"/>
        <v>#NAME?</v>
      </c>
      <c r="O574" s="27" t="e">
        <f t="shared" ca="1" si="52"/>
        <v>#NAME?</v>
      </c>
      <c r="P574" s="27" t="e">
        <f ca="1">'01_INPUTS'!B9*N574-K574</f>
        <v>#NAME?</v>
      </c>
      <c r="Q574" s="1" t="e">
        <f t="shared" ca="1" si="53"/>
        <v>#NAME?</v>
      </c>
      <c r="R574" s="28">
        <v>0.26467959233559668</v>
      </c>
      <c r="S574" s="28">
        <v>0.85693770297802985</v>
      </c>
      <c r="T574" s="28">
        <v>0.68494399916380644</v>
      </c>
      <c r="U574" s="28">
        <v>0.33316971734166145</v>
      </c>
      <c r="V574" s="28">
        <v>0.24030770640820265</v>
      </c>
      <c r="W574" s="28">
        <v>5.7775767985731363E-2</v>
      </c>
      <c r="X574" s="28">
        <v>0.78243482811376452</v>
      </c>
    </row>
    <row r="575" spans="1:24" ht="13.9">
      <c r="A575" s="1">
        <v>574</v>
      </c>
      <c r="B575" s="23" t="e">
        <f ca="1">_xludf.BETA.INV(R575,'04_PSA_INPUTS'!H5,'04_PSA_INPUTS'!I5)</f>
        <v>#NAME?</v>
      </c>
      <c r="C575" s="23" t="e">
        <f ca="1">_xludf.BETA.INV(S575,'04_PSA_INPUTS'!H6,'04_PSA_INPUTS'!I6)</f>
        <v>#NAME?</v>
      </c>
      <c r="D575" s="27" t="e">
        <f ca="1">_xludf.GAMMA.INV(T575,'04_PSA_INPUTS'!H7,'04_PSA_INPUTS'!I7)</f>
        <v>#NAME?</v>
      </c>
      <c r="E575" s="27" t="e">
        <f ca="1">_xludf.GAMMA.INV(U575,'04_PSA_INPUTS'!H8,'04_PSA_INPUTS'!I8)</f>
        <v>#NAME?</v>
      </c>
      <c r="F575" s="27" t="e">
        <f ca="1">_xludf.GAMMA.INV(V575,'04_PSA_INPUTS'!H9,'04_PSA_INPUTS'!I9)</f>
        <v>#NAME?</v>
      </c>
      <c r="G575" s="23" t="e">
        <f ca="1">_xludf.BETA.INV(W575,'04_PSA_INPUTS'!H10,'04_PSA_INPUTS'!I10)</f>
        <v>#NAME?</v>
      </c>
      <c r="H575" s="23" t="e">
        <f ca="1">_xludf.BETA.INV(X575,'04_PSA_INPUTS'!H11,'04_PSA_INPUTS'!I11)</f>
        <v>#NAME?</v>
      </c>
      <c r="I575" s="27" t="e">
        <f ca="1">D575+B575*F575+'01_INPUTS'!B20</f>
        <v>#NAME?</v>
      </c>
      <c r="J575" s="27" t="e">
        <f ca="1">E575+C575*F575+'01_INPUTS'!B21</f>
        <v>#NAME?</v>
      </c>
      <c r="K575" s="27" t="e">
        <f t="shared" ca="1" si="48"/>
        <v>#NAME?</v>
      </c>
      <c r="L575" s="23" t="e">
        <f t="shared" ca="1" si="49"/>
        <v>#NAME?</v>
      </c>
      <c r="M575" s="23" t="e">
        <f t="shared" ca="1" si="50"/>
        <v>#NAME?</v>
      </c>
      <c r="N575" s="23" t="e">
        <f t="shared" ca="1" si="51"/>
        <v>#NAME?</v>
      </c>
      <c r="O575" s="27" t="e">
        <f t="shared" ca="1" si="52"/>
        <v>#NAME?</v>
      </c>
      <c r="P575" s="27" t="e">
        <f ca="1">'01_INPUTS'!B9*N575-K575</f>
        <v>#NAME?</v>
      </c>
      <c r="Q575" s="1" t="e">
        <f t="shared" ca="1" si="53"/>
        <v>#NAME?</v>
      </c>
      <c r="R575" s="28">
        <v>0.24948668107390404</v>
      </c>
      <c r="S575" s="28">
        <v>0.87820294662378728</v>
      </c>
      <c r="T575" s="28">
        <v>0.93519867700524628</v>
      </c>
      <c r="U575" s="28">
        <v>0.14120073546655476</v>
      </c>
      <c r="V575" s="28">
        <v>0.36740437848493457</v>
      </c>
      <c r="W575" s="28">
        <v>0.26525718183256686</v>
      </c>
      <c r="X575" s="28">
        <v>0.45591584546491504</v>
      </c>
    </row>
    <row r="576" spans="1:24" ht="13.9">
      <c r="A576" s="1">
        <v>575</v>
      </c>
      <c r="B576" s="23" t="e">
        <f ca="1">_xludf.BETA.INV(R576,'04_PSA_INPUTS'!H5,'04_PSA_INPUTS'!I5)</f>
        <v>#NAME?</v>
      </c>
      <c r="C576" s="23" t="e">
        <f ca="1">_xludf.BETA.INV(S576,'04_PSA_INPUTS'!H6,'04_PSA_INPUTS'!I6)</f>
        <v>#NAME?</v>
      </c>
      <c r="D576" s="27" t="e">
        <f ca="1">_xludf.GAMMA.INV(T576,'04_PSA_INPUTS'!H7,'04_PSA_INPUTS'!I7)</f>
        <v>#NAME?</v>
      </c>
      <c r="E576" s="27" t="e">
        <f ca="1">_xludf.GAMMA.INV(U576,'04_PSA_INPUTS'!H8,'04_PSA_INPUTS'!I8)</f>
        <v>#NAME?</v>
      </c>
      <c r="F576" s="27" t="e">
        <f ca="1">_xludf.GAMMA.INV(V576,'04_PSA_INPUTS'!H9,'04_PSA_INPUTS'!I9)</f>
        <v>#NAME?</v>
      </c>
      <c r="G576" s="23" t="e">
        <f ca="1">_xludf.BETA.INV(W576,'04_PSA_INPUTS'!H10,'04_PSA_INPUTS'!I10)</f>
        <v>#NAME?</v>
      </c>
      <c r="H576" s="23" t="e">
        <f ca="1">_xludf.BETA.INV(X576,'04_PSA_INPUTS'!H11,'04_PSA_INPUTS'!I11)</f>
        <v>#NAME?</v>
      </c>
      <c r="I576" s="27" t="e">
        <f ca="1">D576+B576*F576+'01_INPUTS'!B20</f>
        <v>#NAME?</v>
      </c>
      <c r="J576" s="27" t="e">
        <f ca="1">E576+C576*F576+'01_INPUTS'!B21</f>
        <v>#NAME?</v>
      </c>
      <c r="K576" s="27" t="e">
        <f t="shared" ca="1" si="48"/>
        <v>#NAME?</v>
      </c>
      <c r="L576" s="23" t="e">
        <f t="shared" ca="1" si="49"/>
        <v>#NAME?</v>
      </c>
      <c r="M576" s="23" t="e">
        <f t="shared" ca="1" si="50"/>
        <v>#NAME?</v>
      </c>
      <c r="N576" s="23" t="e">
        <f t="shared" ca="1" si="51"/>
        <v>#NAME?</v>
      </c>
      <c r="O576" s="27" t="e">
        <f t="shared" ca="1" si="52"/>
        <v>#NAME?</v>
      </c>
      <c r="P576" s="27" t="e">
        <f ca="1">'01_INPUTS'!B9*N576-K576</f>
        <v>#NAME?</v>
      </c>
      <c r="Q576" s="1" t="e">
        <f t="shared" ca="1" si="53"/>
        <v>#NAME?</v>
      </c>
      <c r="R576" s="28">
        <v>0.89958759187720716</v>
      </c>
      <c r="S576" s="28">
        <v>0.26450750860385597</v>
      </c>
      <c r="T576" s="28">
        <v>2.683701179921627E-2</v>
      </c>
      <c r="U576" s="28">
        <v>0.462495859246701</v>
      </c>
      <c r="V576" s="28">
        <v>0.98353803250938654</v>
      </c>
      <c r="W576" s="28">
        <v>3.6032916279509664E-2</v>
      </c>
      <c r="X576" s="28">
        <v>0.25003923010081053</v>
      </c>
    </row>
    <row r="577" spans="1:24" ht="13.9">
      <c r="A577" s="1">
        <v>576</v>
      </c>
      <c r="B577" s="23" t="e">
        <f ca="1">_xludf.BETA.INV(R577,'04_PSA_INPUTS'!H5,'04_PSA_INPUTS'!I5)</f>
        <v>#NAME?</v>
      </c>
      <c r="C577" s="23" t="e">
        <f ca="1">_xludf.BETA.INV(S577,'04_PSA_INPUTS'!H6,'04_PSA_INPUTS'!I6)</f>
        <v>#NAME?</v>
      </c>
      <c r="D577" s="27" t="e">
        <f ca="1">_xludf.GAMMA.INV(T577,'04_PSA_INPUTS'!H7,'04_PSA_INPUTS'!I7)</f>
        <v>#NAME?</v>
      </c>
      <c r="E577" s="27" t="e">
        <f ca="1">_xludf.GAMMA.INV(U577,'04_PSA_INPUTS'!H8,'04_PSA_INPUTS'!I8)</f>
        <v>#NAME?</v>
      </c>
      <c r="F577" s="27" t="e">
        <f ca="1">_xludf.GAMMA.INV(V577,'04_PSA_INPUTS'!H9,'04_PSA_INPUTS'!I9)</f>
        <v>#NAME?</v>
      </c>
      <c r="G577" s="23" t="e">
        <f ca="1">_xludf.BETA.INV(W577,'04_PSA_INPUTS'!H10,'04_PSA_INPUTS'!I10)</f>
        <v>#NAME?</v>
      </c>
      <c r="H577" s="23" t="e">
        <f ca="1">_xludf.BETA.INV(X577,'04_PSA_INPUTS'!H11,'04_PSA_INPUTS'!I11)</f>
        <v>#NAME?</v>
      </c>
      <c r="I577" s="27" t="e">
        <f ca="1">D577+B577*F577+'01_INPUTS'!B20</f>
        <v>#NAME?</v>
      </c>
      <c r="J577" s="27" t="e">
        <f ca="1">E577+C577*F577+'01_INPUTS'!B21</f>
        <v>#NAME?</v>
      </c>
      <c r="K577" s="27" t="e">
        <f t="shared" ca="1" si="48"/>
        <v>#NAME?</v>
      </c>
      <c r="L577" s="23" t="e">
        <f t="shared" ca="1" si="49"/>
        <v>#NAME?</v>
      </c>
      <c r="M577" s="23" t="e">
        <f t="shared" ca="1" si="50"/>
        <v>#NAME?</v>
      </c>
      <c r="N577" s="23" t="e">
        <f t="shared" ca="1" si="51"/>
        <v>#NAME?</v>
      </c>
      <c r="O577" s="27" t="e">
        <f t="shared" ca="1" si="52"/>
        <v>#NAME?</v>
      </c>
      <c r="P577" s="27" t="e">
        <f ca="1">'01_INPUTS'!B9*N577-K577</f>
        <v>#NAME?</v>
      </c>
      <c r="Q577" s="1" t="e">
        <f t="shared" ca="1" si="53"/>
        <v>#NAME?</v>
      </c>
      <c r="R577" s="28">
        <v>0.77543457318097353</v>
      </c>
      <c r="S577" s="28">
        <v>0.14869602839462459</v>
      </c>
      <c r="T577" s="28">
        <v>0.26582910865545273</v>
      </c>
      <c r="U577" s="28">
        <v>0.95153493154793978</v>
      </c>
      <c r="V577" s="28">
        <v>0.34444667818024755</v>
      </c>
      <c r="W577" s="28">
        <v>0.89217636012472212</v>
      </c>
      <c r="X577" s="28">
        <v>0.92709349095821381</v>
      </c>
    </row>
    <row r="578" spans="1:24" ht="13.9">
      <c r="A578" s="1">
        <v>577</v>
      </c>
      <c r="B578" s="23" t="e">
        <f ca="1">_xludf.BETA.INV(R578,'04_PSA_INPUTS'!H5,'04_PSA_INPUTS'!I5)</f>
        <v>#NAME?</v>
      </c>
      <c r="C578" s="23" t="e">
        <f ca="1">_xludf.BETA.INV(S578,'04_PSA_INPUTS'!H6,'04_PSA_INPUTS'!I6)</f>
        <v>#NAME?</v>
      </c>
      <c r="D578" s="27" t="e">
        <f ca="1">_xludf.GAMMA.INV(T578,'04_PSA_INPUTS'!H7,'04_PSA_INPUTS'!I7)</f>
        <v>#NAME?</v>
      </c>
      <c r="E578" s="27" t="e">
        <f ca="1">_xludf.GAMMA.INV(U578,'04_PSA_INPUTS'!H8,'04_PSA_INPUTS'!I8)</f>
        <v>#NAME?</v>
      </c>
      <c r="F578" s="27" t="e">
        <f ca="1">_xludf.GAMMA.INV(V578,'04_PSA_INPUTS'!H9,'04_PSA_INPUTS'!I9)</f>
        <v>#NAME?</v>
      </c>
      <c r="G578" s="23" t="e">
        <f ca="1">_xludf.BETA.INV(W578,'04_PSA_INPUTS'!H10,'04_PSA_INPUTS'!I10)</f>
        <v>#NAME?</v>
      </c>
      <c r="H578" s="23" t="e">
        <f ca="1">_xludf.BETA.INV(X578,'04_PSA_INPUTS'!H11,'04_PSA_INPUTS'!I11)</f>
        <v>#NAME?</v>
      </c>
      <c r="I578" s="27" t="e">
        <f ca="1">D578+B578*F578+'01_INPUTS'!B20</f>
        <v>#NAME?</v>
      </c>
      <c r="J578" s="27" t="e">
        <f ca="1">E578+C578*F578+'01_INPUTS'!B21</f>
        <v>#NAME?</v>
      </c>
      <c r="K578" s="27" t="e">
        <f t="shared" ref="K578:K641" ca="1" si="54">I578-J578</f>
        <v>#NAME?</v>
      </c>
      <c r="L578" s="23" t="e">
        <f t="shared" ref="L578:L641" ca="1" si="55">G578-B578*H578</f>
        <v>#NAME?</v>
      </c>
      <c r="M578" s="23" t="e">
        <f t="shared" ref="M578:M641" ca="1" si="56">G578-C578*H578</f>
        <v>#NAME?</v>
      </c>
      <c r="N578" s="23" t="e">
        <f t="shared" ref="N578:N641" ca="1" si="57">L578-M578</f>
        <v>#NAME?</v>
      </c>
      <c r="O578" s="27" t="e">
        <f t="shared" ref="O578:O641" ca="1" si="58">IF(N578=0,"",K578/N578)</f>
        <v>#NAME?</v>
      </c>
      <c r="P578" s="27" t="e">
        <f ca="1">'01_INPUTS'!B9*N578-K578</f>
        <v>#NAME?</v>
      </c>
      <c r="Q578" s="1" t="e">
        <f t="shared" ref="Q578:Q641" ca="1" si="59">IF(P578&gt;0,1,0)</f>
        <v>#NAME?</v>
      </c>
      <c r="R578" s="28">
        <v>0.40761476894840598</v>
      </c>
      <c r="S578" s="28">
        <v>0.49692961643449962</v>
      </c>
      <c r="T578" s="28">
        <v>0.88038930995389819</v>
      </c>
      <c r="U578" s="28">
        <v>5.8245102874934673E-2</v>
      </c>
      <c r="V578" s="28">
        <v>0.6220810788217932</v>
      </c>
      <c r="W578" s="28">
        <v>0.31805660459212959</v>
      </c>
      <c r="X578" s="28">
        <v>0.5713643713388592</v>
      </c>
    </row>
    <row r="579" spans="1:24" ht="13.9">
      <c r="A579" s="1">
        <v>578</v>
      </c>
      <c r="B579" s="23" t="e">
        <f ca="1">_xludf.BETA.INV(R579,'04_PSA_INPUTS'!H5,'04_PSA_INPUTS'!I5)</f>
        <v>#NAME?</v>
      </c>
      <c r="C579" s="23" t="e">
        <f ca="1">_xludf.BETA.INV(S579,'04_PSA_INPUTS'!H6,'04_PSA_INPUTS'!I6)</f>
        <v>#NAME?</v>
      </c>
      <c r="D579" s="27" t="e">
        <f ca="1">_xludf.GAMMA.INV(T579,'04_PSA_INPUTS'!H7,'04_PSA_INPUTS'!I7)</f>
        <v>#NAME?</v>
      </c>
      <c r="E579" s="27" t="e">
        <f ca="1">_xludf.GAMMA.INV(U579,'04_PSA_INPUTS'!H8,'04_PSA_INPUTS'!I8)</f>
        <v>#NAME?</v>
      </c>
      <c r="F579" s="27" t="e">
        <f ca="1">_xludf.GAMMA.INV(V579,'04_PSA_INPUTS'!H9,'04_PSA_INPUTS'!I9)</f>
        <v>#NAME?</v>
      </c>
      <c r="G579" s="23" t="e">
        <f ca="1">_xludf.BETA.INV(W579,'04_PSA_INPUTS'!H10,'04_PSA_INPUTS'!I10)</f>
        <v>#NAME?</v>
      </c>
      <c r="H579" s="23" t="e">
        <f ca="1">_xludf.BETA.INV(X579,'04_PSA_INPUTS'!H11,'04_PSA_INPUTS'!I11)</f>
        <v>#NAME?</v>
      </c>
      <c r="I579" s="27" t="e">
        <f ca="1">D579+B579*F579+'01_INPUTS'!B20</f>
        <v>#NAME?</v>
      </c>
      <c r="J579" s="27" t="e">
        <f ca="1">E579+C579*F579+'01_INPUTS'!B21</f>
        <v>#NAME?</v>
      </c>
      <c r="K579" s="27" t="e">
        <f t="shared" ca="1" si="54"/>
        <v>#NAME?</v>
      </c>
      <c r="L579" s="23" t="e">
        <f t="shared" ca="1" si="55"/>
        <v>#NAME?</v>
      </c>
      <c r="M579" s="23" t="e">
        <f t="shared" ca="1" si="56"/>
        <v>#NAME?</v>
      </c>
      <c r="N579" s="23" t="e">
        <f t="shared" ca="1" si="57"/>
        <v>#NAME?</v>
      </c>
      <c r="O579" s="27" t="e">
        <f t="shared" ca="1" si="58"/>
        <v>#NAME?</v>
      </c>
      <c r="P579" s="27" t="e">
        <f ca="1">'01_INPUTS'!B9*N579-K579</f>
        <v>#NAME?</v>
      </c>
      <c r="Q579" s="1" t="e">
        <f t="shared" ca="1" si="59"/>
        <v>#NAME?</v>
      </c>
      <c r="R579" s="28">
        <v>0.13977279653772712</v>
      </c>
      <c r="S579" s="28">
        <v>0.1277521844021976</v>
      </c>
      <c r="T579" s="28">
        <v>0.66624467936344445</v>
      </c>
      <c r="U579" s="28">
        <v>0.68266302486881614</v>
      </c>
      <c r="V579" s="28">
        <v>0.87366579636000097</v>
      </c>
      <c r="W579" s="28">
        <v>0.3789532482624054</v>
      </c>
      <c r="X579" s="28">
        <v>0.49316588370129466</v>
      </c>
    </row>
    <row r="580" spans="1:24" ht="13.9">
      <c r="A580" s="1">
        <v>579</v>
      </c>
      <c r="B580" s="23" t="e">
        <f ca="1">_xludf.BETA.INV(R580,'04_PSA_INPUTS'!H5,'04_PSA_INPUTS'!I5)</f>
        <v>#NAME?</v>
      </c>
      <c r="C580" s="23" t="e">
        <f ca="1">_xludf.BETA.INV(S580,'04_PSA_INPUTS'!H6,'04_PSA_INPUTS'!I6)</f>
        <v>#NAME?</v>
      </c>
      <c r="D580" s="27" t="e">
        <f ca="1">_xludf.GAMMA.INV(T580,'04_PSA_INPUTS'!H7,'04_PSA_INPUTS'!I7)</f>
        <v>#NAME?</v>
      </c>
      <c r="E580" s="27" t="e">
        <f ca="1">_xludf.GAMMA.INV(U580,'04_PSA_INPUTS'!H8,'04_PSA_INPUTS'!I8)</f>
        <v>#NAME?</v>
      </c>
      <c r="F580" s="27" t="e">
        <f ca="1">_xludf.GAMMA.INV(V580,'04_PSA_INPUTS'!H9,'04_PSA_INPUTS'!I9)</f>
        <v>#NAME?</v>
      </c>
      <c r="G580" s="23" t="e">
        <f ca="1">_xludf.BETA.INV(W580,'04_PSA_INPUTS'!H10,'04_PSA_INPUTS'!I10)</f>
        <v>#NAME?</v>
      </c>
      <c r="H580" s="23" t="e">
        <f ca="1">_xludf.BETA.INV(X580,'04_PSA_INPUTS'!H11,'04_PSA_INPUTS'!I11)</f>
        <v>#NAME?</v>
      </c>
      <c r="I580" s="27" t="e">
        <f ca="1">D580+B580*F580+'01_INPUTS'!B20</f>
        <v>#NAME?</v>
      </c>
      <c r="J580" s="27" t="e">
        <f ca="1">E580+C580*F580+'01_INPUTS'!B21</f>
        <v>#NAME?</v>
      </c>
      <c r="K580" s="27" t="e">
        <f t="shared" ca="1" si="54"/>
        <v>#NAME?</v>
      </c>
      <c r="L580" s="23" t="e">
        <f t="shared" ca="1" si="55"/>
        <v>#NAME?</v>
      </c>
      <c r="M580" s="23" t="e">
        <f t="shared" ca="1" si="56"/>
        <v>#NAME?</v>
      </c>
      <c r="N580" s="23" t="e">
        <f t="shared" ca="1" si="57"/>
        <v>#NAME?</v>
      </c>
      <c r="O580" s="27" t="e">
        <f t="shared" ca="1" si="58"/>
        <v>#NAME?</v>
      </c>
      <c r="P580" s="27" t="e">
        <f ca="1">'01_INPUTS'!B9*N580-K580</f>
        <v>#NAME?</v>
      </c>
      <c r="Q580" s="1" t="e">
        <f t="shared" ca="1" si="59"/>
        <v>#NAME?</v>
      </c>
      <c r="R580" s="28">
        <v>0.10717149428091943</v>
      </c>
      <c r="S580" s="28">
        <v>0.24838176788762212</v>
      </c>
      <c r="T580" s="28">
        <v>0.44384601572528481</v>
      </c>
      <c r="U580" s="28">
        <v>0.73236190783791244</v>
      </c>
      <c r="V580" s="28">
        <v>0.69830891466699541</v>
      </c>
      <c r="W580" s="28">
        <v>0.68695165007375181</v>
      </c>
      <c r="X580" s="28">
        <v>0.66579637816175818</v>
      </c>
    </row>
    <row r="581" spans="1:24" ht="13.9">
      <c r="A581" s="1">
        <v>580</v>
      </c>
      <c r="B581" s="23" t="e">
        <f ca="1">_xludf.BETA.INV(R581,'04_PSA_INPUTS'!H5,'04_PSA_INPUTS'!I5)</f>
        <v>#NAME?</v>
      </c>
      <c r="C581" s="23" t="e">
        <f ca="1">_xludf.BETA.INV(S581,'04_PSA_INPUTS'!H6,'04_PSA_INPUTS'!I6)</f>
        <v>#NAME?</v>
      </c>
      <c r="D581" s="27" t="e">
        <f ca="1">_xludf.GAMMA.INV(T581,'04_PSA_INPUTS'!H7,'04_PSA_INPUTS'!I7)</f>
        <v>#NAME?</v>
      </c>
      <c r="E581" s="27" t="e">
        <f ca="1">_xludf.GAMMA.INV(U581,'04_PSA_INPUTS'!H8,'04_PSA_INPUTS'!I8)</f>
        <v>#NAME?</v>
      </c>
      <c r="F581" s="27" t="e">
        <f ca="1">_xludf.GAMMA.INV(V581,'04_PSA_INPUTS'!H9,'04_PSA_INPUTS'!I9)</f>
        <v>#NAME?</v>
      </c>
      <c r="G581" s="23" t="e">
        <f ca="1">_xludf.BETA.INV(W581,'04_PSA_INPUTS'!H10,'04_PSA_INPUTS'!I10)</f>
        <v>#NAME?</v>
      </c>
      <c r="H581" s="23" t="e">
        <f ca="1">_xludf.BETA.INV(X581,'04_PSA_INPUTS'!H11,'04_PSA_INPUTS'!I11)</f>
        <v>#NAME?</v>
      </c>
      <c r="I581" s="27" t="e">
        <f ca="1">D581+B581*F581+'01_INPUTS'!B20</f>
        <v>#NAME?</v>
      </c>
      <c r="J581" s="27" t="e">
        <f ca="1">E581+C581*F581+'01_INPUTS'!B21</f>
        <v>#NAME?</v>
      </c>
      <c r="K581" s="27" t="e">
        <f t="shared" ca="1" si="54"/>
        <v>#NAME?</v>
      </c>
      <c r="L581" s="23" t="e">
        <f t="shared" ca="1" si="55"/>
        <v>#NAME?</v>
      </c>
      <c r="M581" s="23" t="e">
        <f t="shared" ca="1" si="56"/>
        <v>#NAME?</v>
      </c>
      <c r="N581" s="23" t="e">
        <f t="shared" ca="1" si="57"/>
        <v>#NAME?</v>
      </c>
      <c r="O581" s="27" t="e">
        <f t="shared" ca="1" si="58"/>
        <v>#NAME?</v>
      </c>
      <c r="P581" s="27" t="e">
        <f ca="1">'01_INPUTS'!B9*N581-K581</f>
        <v>#NAME?</v>
      </c>
      <c r="Q581" s="1" t="e">
        <f t="shared" ca="1" si="59"/>
        <v>#NAME?</v>
      </c>
      <c r="R581" s="28">
        <v>0.17066800827160478</v>
      </c>
      <c r="S581" s="28">
        <v>0.8362239976413548</v>
      </c>
      <c r="T581" s="28">
        <v>0.37621192540973425</v>
      </c>
      <c r="U581" s="28">
        <v>0.37370784115046263</v>
      </c>
      <c r="V581" s="28">
        <v>0.15415621059946716</v>
      </c>
      <c r="W581" s="28">
        <v>0.20763285271823406</v>
      </c>
      <c r="X581" s="28">
        <v>0.29519393877126276</v>
      </c>
    </row>
    <row r="582" spans="1:24" ht="13.9">
      <c r="A582" s="1">
        <v>581</v>
      </c>
      <c r="B582" s="23" t="e">
        <f ca="1">_xludf.BETA.INV(R582,'04_PSA_INPUTS'!H5,'04_PSA_INPUTS'!I5)</f>
        <v>#NAME?</v>
      </c>
      <c r="C582" s="23" t="e">
        <f ca="1">_xludf.BETA.INV(S582,'04_PSA_INPUTS'!H6,'04_PSA_INPUTS'!I6)</f>
        <v>#NAME?</v>
      </c>
      <c r="D582" s="27" t="e">
        <f ca="1">_xludf.GAMMA.INV(T582,'04_PSA_INPUTS'!H7,'04_PSA_INPUTS'!I7)</f>
        <v>#NAME?</v>
      </c>
      <c r="E582" s="27" t="e">
        <f ca="1">_xludf.GAMMA.INV(U582,'04_PSA_INPUTS'!H8,'04_PSA_INPUTS'!I8)</f>
        <v>#NAME?</v>
      </c>
      <c r="F582" s="27" t="e">
        <f ca="1">_xludf.GAMMA.INV(V582,'04_PSA_INPUTS'!H9,'04_PSA_INPUTS'!I9)</f>
        <v>#NAME?</v>
      </c>
      <c r="G582" s="23" t="e">
        <f ca="1">_xludf.BETA.INV(W582,'04_PSA_INPUTS'!H10,'04_PSA_INPUTS'!I10)</f>
        <v>#NAME?</v>
      </c>
      <c r="H582" s="23" t="e">
        <f ca="1">_xludf.BETA.INV(X582,'04_PSA_INPUTS'!H11,'04_PSA_INPUTS'!I11)</f>
        <v>#NAME?</v>
      </c>
      <c r="I582" s="27" t="e">
        <f ca="1">D582+B582*F582+'01_INPUTS'!B20</f>
        <v>#NAME?</v>
      </c>
      <c r="J582" s="27" t="e">
        <f ca="1">E582+C582*F582+'01_INPUTS'!B21</f>
        <v>#NAME?</v>
      </c>
      <c r="K582" s="27" t="e">
        <f t="shared" ca="1" si="54"/>
        <v>#NAME?</v>
      </c>
      <c r="L582" s="23" t="e">
        <f t="shared" ca="1" si="55"/>
        <v>#NAME?</v>
      </c>
      <c r="M582" s="23" t="e">
        <f t="shared" ca="1" si="56"/>
        <v>#NAME?</v>
      </c>
      <c r="N582" s="23" t="e">
        <f t="shared" ca="1" si="57"/>
        <v>#NAME?</v>
      </c>
      <c r="O582" s="27" t="e">
        <f t="shared" ca="1" si="58"/>
        <v>#NAME?</v>
      </c>
      <c r="P582" s="27" t="e">
        <f ca="1">'01_INPUTS'!B9*N582-K582</f>
        <v>#NAME?</v>
      </c>
      <c r="Q582" s="1" t="e">
        <f t="shared" ca="1" si="59"/>
        <v>#NAME?</v>
      </c>
      <c r="R582" s="28">
        <v>0.38948470586910844</v>
      </c>
      <c r="S582" s="28">
        <v>0.79292581393383443</v>
      </c>
      <c r="T582" s="28">
        <v>0.2897056310903281</v>
      </c>
      <c r="U582" s="28">
        <v>0.29396843141876161</v>
      </c>
      <c r="V582" s="28">
        <v>0.32334361900575459</v>
      </c>
      <c r="W582" s="28">
        <v>0.25885976362042129</v>
      </c>
      <c r="X582" s="28">
        <v>0.45858942903578281</v>
      </c>
    </row>
    <row r="583" spans="1:24" ht="13.9">
      <c r="A583" s="1">
        <v>582</v>
      </c>
      <c r="B583" s="23" t="e">
        <f ca="1">_xludf.BETA.INV(R583,'04_PSA_INPUTS'!H5,'04_PSA_INPUTS'!I5)</f>
        <v>#NAME?</v>
      </c>
      <c r="C583" s="23" t="e">
        <f ca="1">_xludf.BETA.INV(S583,'04_PSA_INPUTS'!H6,'04_PSA_INPUTS'!I6)</f>
        <v>#NAME?</v>
      </c>
      <c r="D583" s="27" t="e">
        <f ca="1">_xludf.GAMMA.INV(T583,'04_PSA_INPUTS'!H7,'04_PSA_INPUTS'!I7)</f>
        <v>#NAME?</v>
      </c>
      <c r="E583" s="27" t="e">
        <f ca="1">_xludf.GAMMA.INV(U583,'04_PSA_INPUTS'!H8,'04_PSA_INPUTS'!I8)</f>
        <v>#NAME?</v>
      </c>
      <c r="F583" s="27" t="e">
        <f ca="1">_xludf.GAMMA.INV(V583,'04_PSA_INPUTS'!H9,'04_PSA_INPUTS'!I9)</f>
        <v>#NAME?</v>
      </c>
      <c r="G583" s="23" t="e">
        <f ca="1">_xludf.BETA.INV(W583,'04_PSA_INPUTS'!H10,'04_PSA_INPUTS'!I10)</f>
        <v>#NAME?</v>
      </c>
      <c r="H583" s="23" t="e">
        <f ca="1">_xludf.BETA.INV(X583,'04_PSA_INPUTS'!H11,'04_PSA_INPUTS'!I11)</f>
        <v>#NAME?</v>
      </c>
      <c r="I583" s="27" t="e">
        <f ca="1">D583+B583*F583+'01_INPUTS'!B20</f>
        <v>#NAME?</v>
      </c>
      <c r="J583" s="27" t="e">
        <f ca="1">E583+C583*F583+'01_INPUTS'!B21</f>
        <v>#NAME?</v>
      </c>
      <c r="K583" s="27" t="e">
        <f t="shared" ca="1" si="54"/>
        <v>#NAME?</v>
      </c>
      <c r="L583" s="23" t="e">
        <f t="shared" ca="1" si="55"/>
        <v>#NAME?</v>
      </c>
      <c r="M583" s="23" t="e">
        <f t="shared" ca="1" si="56"/>
        <v>#NAME?</v>
      </c>
      <c r="N583" s="23" t="e">
        <f t="shared" ca="1" si="57"/>
        <v>#NAME?</v>
      </c>
      <c r="O583" s="27" t="e">
        <f t="shared" ca="1" si="58"/>
        <v>#NAME?</v>
      </c>
      <c r="P583" s="27" t="e">
        <f ca="1">'01_INPUTS'!B9*N583-K583</f>
        <v>#NAME?</v>
      </c>
      <c r="Q583" s="1" t="e">
        <f t="shared" ca="1" si="59"/>
        <v>#NAME?</v>
      </c>
      <c r="R583" s="28">
        <v>0.39301291480660439</v>
      </c>
      <c r="S583" s="28">
        <v>6.5695616882294416E-2</v>
      </c>
      <c r="T583" s="28">
        <v>0.46168394898995757</v>
      </c>
      <c r="U583" s="28">
        <v>0.76718823565170169</v>
      </c>
      <c r="V583" s="28">
        <v>0.21042732452042401</v>
      </c>
      <c r="W583" s="28">
        <v>0.27896781521849334</v>
      </c>
      <c r="X583" s="28">
        <v>0.78637422667816281</v>
      </c>
    </row>
    <row r="584" spans="1:24" ht="13.9">
      <c r="A584" s="1">
        <v>583</v>
      </c>
      <c r="B584" s="23" t="e">
        <f ca="1">_xludf.BETA.INV(R584,'04_PSA_INPUTS'!H5,'04_PSA_INPUTS'!I5)</f>
        <v>#NAME?</v>
      </c>
      <c r="C584" s="23" t="e">
        <f ca="1">_xludf.BETA.INV(S584,'04_PSA_INPUTS'!H6,'04_PSA_INPUTS'!I6)</f>
        <v>#NAME?</v>
      </c>
      <c r="D584" s="27" t="e">
        <f ca="1">_xludf.GAMMA.INV(T584,'04_PSA_INPUTS'!H7,'04_PSA_INPUTS'!I7)</f>
        <v>#NAME?</v>
      </c>
      <c r="E584" s="27" t="e">
        <f ca="1">_xludf.GAMMA.INV(U584,'04_PSA_INPUTS'!H8,'04_PSA_INPUTS'!I8)</f>
        <v>#NAME?</v>
      </c>
      <c r="F584" s="27" t="e">
        <f ca="1">_xludf.GAMMA.INV(V584,'04_PSA_INPUTS'!H9,'04_PSA_INPUTS'!I9)</f>
        <v>#NAME?</v>
      </c>
      <c r="G584" s="23" t="e">
        <f ca="1">_xludf.BETA.INV(W584,'04_PSA_INPUTS'!H10,'04_PSA_INPUTS'!I10)</f>
        <v>#NAME?</v>
      </c>
      <c r="H584" s="23" t="e">
        <f ca="1">_xludf.BETA.INV(X584,'04_PSA_INPUTS'!H11,'04_PSA_INPUTS'!I11)</f>
        <v>#NAME?</v>
      </c>
      <c r="I584" s="27" t="e">
        <f ca="1">D584+B584*F584+'01_INPUTS'!B20</f>
        <v>#NAME?</v>
      </c>
      <c r="J584" s="27" t="e">
        <f ca="1">E584+C584*F584+'01_INPUTS'!B21</f>
        <v>#NAME?</v>
      </c>
      <c r="K584" s="27" t="e">
        <f t="shared" ca="1" si="54"/>
        <v>#NAME?</v>
      </c>
      <c r="L584" s="23" t="e">
        <f t="shared" ca="1" si="55"/>
        <v>#NAME?</v>
      </c>
      <c r="M584" s="23" t="e">
        <f t="shared" ca="1" si="56"/>
        <v>#NAME?</v>
      </c>
      <c r="N584" s="23" t="e">
        <f t="shared" ca="1" si="57"/>
        <v>#NAME?</v>
      </c>
      <c r="O584" s="27" t="e">
        <f t="shared" ca="1" si="58"/>
        <v>#NAME?</v>
      </c>
      <c r="P584" s="27" t="e">
        <f ca="1">'01_INPUTS'!B9*N584-K584</f>
        <v>#NAME?</v>
      </c>
      <c r="Q584" s="1" t="e">
        <f t="shared" ca="1" si="59"/>
        <v>#NAME?</v>
      </c>
      <c r="R584" s="28">
        <v>0.74693667632527649</v>
      </c>
      <c r="S584" s="28">
        <v>0.69794083992019296</v>
      </c>
      <c r="T584" s="28">
        <v>0.56016053515486419</v>
      </c>
      <c r="U584" s="28">
        <v>0.88803052366711199</v>
      </c>
      <c r="V584" s="28">
        <v>0.93045831052586436</v>
      </c>
      <c r="W584" s="28">
        <v>0.40877218451350927</v>
      </c>
      <c r="X584" s="28">
        <v>0.76535427384078503</v>
      </c>
    </row>
    <row r="585" spans="1:24" ht="13.9">
      <c r="A585" s="1">
        <v>584</v>
      </c>
      <c r="B585" s="23" t="e">
        <f ca="1">_xludf.BETA.INV(R585,'04_PSA_INPUTS'!H5,'04_PSA_INPUTS'!I5)</f>
        <v>#NAME?</v>
      </c>
      <c r="C585" s="23" t="e">
        <f ca="1">_xludf.BETA.INV(S585,'04_PSA_INPUTS'!H6,'04_PSA_INPUTS'!I6)</f>
        <v>#NAME?</v>
      </c>
      <c r="D585" s="27" t="e">
        <f ca="1">_xludf.GAMMA.INV(T585,'04_PSA_INPUTS'!H7,'04_PSA_INPUTS'!I7)</f>
        <v>#NAME?</v>
      </c>
      <c r="E585" s="27" t="e">
        <f ca="1">_xludf.GAMMA.INV(U585,'04_PSA_INPUTS'!H8,'04_PSA_INPUTS'!I8)</f>
        <v>#NAME?</v>
      </c>
      <c r="F585" s="27" t="e">
        <f ca="1">_xludf.GAMMA.INV(V585,'04_PSA_INPUTS'!H9,'04_PSA_INPUTS'!I9)</f>
        <v>#NAME?</v>
      </c>
      <c r="G585" s="23" t="e">
        <f ca="1">_xludf.BETA.INV(W585,'04_PSA_INPUTS'!H10,'04_PSA_INPUTS'!I10)</f>
        <v>#NAME?</v>
      </c>
      <c r="H585" s="23" t="e">
        <f ca="1">_xludf.BETA.INV(X585,'04_PSA_INPUTS'!H11,'04_PSA_INPUTS'!I11)</f>
        <v>#NAME?</v>
      </c>
      <c r="I585" s="27" t="e">
        <f ca="1">D585+B585*F585+'01_INPUTS'!B20</f>
        <v>#NAME?</v>
      </c>
      <c r="J585" s="27" t="e">
        <f ca="1">E585+C585*F585+'01_INPUTS'!B21</f>
        <v>#NAME?</v>
      </c>
      <c r="K585" s="27" t="e">
        <f t="shared" ca="1" si="54"/>
        <v>#NAME?</v>
      </c>
      <c r="L585" s="23" t="e">
        <f t="shared" ca="1" si="55"/>
        <v>#NAME?</v>
      </c>
      <c r="M585" s="23" t="e">
        <f t="shared" ca="1" si="56"/>
        <v>#NAME?</v>
      </c>
      <c r="N585" s="23" t="e">
        <f t="shared" ca="1" si="57"/>
        <v>#NAME?</v>
      </c>
      <c r="O585" s="27" t="e">
        <f t="shared" ca="1" si="58"/>
        <v>#NAME?</v>
      </c>
      <c r="P585" s="27" t="e">
        <f ca="1">'01_INPUTS'!B9*N585-K585</f>
        <v>#NAME?</v>
      </c>
      <c r="Q585" s="1" t="e">
        <f t="shared" ca="1" si="59"/>
        <v>#NAME?</v>
      </c>
      <c r="R585" s="28">
        <v>0.78453232999891043</v>
      </c>
      <c r="S585" s="28">
        <v>0.25527966767549515</v>
      </c>
      <c r="T585" s="28">
        <v>0.41400569444522262</v>
      </c>
      <c r="U585" s="28">
        <v>0.54017303162254393</v>
      </c>
      <c r="V585" s="28">
        <v>0.54257278004661202</v>
      </c>
      <c r="W585" s="28">
        <v>0.98574662627652287</v>
      </c>
      <c r="X585" s="28">
        <v>0.727425821358338</v>
      </c>
    </row>
    <row r="586" spans="1:24" ht="13.9">
      <c r="A586" s="1">
        <v>585</v>
      </c>
      <c r="B586" s="23" t="e">
        <f ca="1">_xludf.BETA.INV(R586,'04_PSA_INPUTS'!H5,'04_PSA_INPUTS'!I5)</f>
        <v>#NAME?</v>
      </c>
      <c r="C586" s="23" t="e">
        <f ca="1">_xludf.BETA.INV(S586,'04_PSA_INPUTS'!H6,'04_PSA_INPUTS'!I6)</f>
        <v>#NAME?</v>
      </c>
      <c r="D586" s="27" t="e">
        <f ca="1">_xludf.GAMMA.INV(T586,'04_PSA_INPUTS'!H7,'04_PSA_INPUTS'!I7)</f>
        <v>#NAME?</v>
      </c>
      <c r="E586" s="27" t="e">
        <f ca="1">_xludf.GAMMA.INV(U586,'04_PSA_INPUTS'!H8,'04_PSA_INPUTS'!I8)</f>
        <v>#NAME?</v>
      </c>
      <c r="F586" s="27" t="e">
        <f ca="1">_xludf.GAMMA.INV(V586,'04_PSA_INPUTS'!H9,'04_PSA_INPUTS'!I9)</f>
        <v>#NAME?</v>
      </c>
      <c r="G586" s="23" t="e">
        <f ca="1">_xludf.BETA.INV(W586,'04_PSA_INPUTS'!H10,'04_PSA_INPUTS'!I10)</f>
        <v>#NAME?</v>
      </c>
      <c r="H586" s="23" t="e">
        <f ca="1">_xludf.BETA.INV(X586,'04_PSA_INPUTS'!H11,'04_PSA_INPUTS'!I11)</f>
        <v>#NAME?</v>
      </c>
      <c r="I586" s="27" t="e">
        <f ca="1">D586+B586*F586+'01_INPUTS'!B20</f>
        <v>#NAME?</v>
      </c>
      <c r="J586" s="27" t="e">
        <f ca="1">E586+C586*F586+'01_INPUTS'!B21</f>
        <v>#NAME?</v>
      </c>
      <c r="K586" s="27" t="e">
        <f t="shared" ca="1" si="54"/>
        <v>#NAME?</v>
      </c>
      <c r="L586" s="23" t="e">
        <f t="shared" ca="1" si="55"/>
        <v>#NAME?</v>
      </c>
      <c r="M586" s="23" t="e">
        <f t="shared" ca="1" si="56"/>
        <v>#NAME?</v>
      </c>
      <c r="N586" s="23" t="e">
        <f t="shared" ca="1" si="57"/>
        <v>#NAME?</v>
      </c>
      <c r="O586" s="27" t="e">
        <f t="shared" ca="1" si="58"/>
        <v>#NAME?</v>
      </c>
      <c r="P586" s="27" t="e">
        <f ca="1">'01_INPUTS'!B9*N586-K586</f>
        <v>#NAME?</v>
      </c>
      <c r="Q586" s="1" t="e">
        <f t="shared" ca="1" si="59"/>
        <v>#NAME?</v>
      </c>
      <c r="R586" s="28">
        <v>0.32665555458515882</v>
      </c>
      <c r="S586" s="28">
        <v>0.53054137178696692</v>
      </c>
      <c r="T586" s="28">
        <v>0.61875154124572873</v>
      </c>
      <c r="U586" s="28">
        <v>0.50724749872460961</v>
      </c>
      <c r="V586" s="28">
        <v>0.19103177124634385</v>
      </c>
      <c r="W586" s="28">
        <v>0.24448669143021107</v>
      </c>
      <c r="X586" s="28">
        <v>0.68892947304993868</v>
      </c>
    </row>
    <row r="587" spans="1:24" ht="13.9">
      <c r="A587" s="1">
        <v>586</v>
      </c>
      <c r="B587" s="23" t="e">
        <f ca="1">_xludf.BETA.INV(R587,'04_PSA_INPUTS'!H5,'04_PSA_INPUTS'!I5)</f>
        <v>#NAME?</v>
      </c>
      <c r="C587" s="23" t="e">
        <f ca="1">_xludf.BETA.INV(S587,'04_PSA_INPUTS'!H6,'04_PSA_INPUTS'!I6)</f>
        <v>#NAME?</v>
      </c>
      <c r="D587" s="27" t="e">
        <f ca="1">_xludf.GAMMA.INV(T587,'04_PSA_INPUTS'!H7,'04_PSA_INPUTS'!I7)</f>
        <v>#NAME?</v>
      </c>
      <c r="E587" s="27" t="e">
        <f ca="1">_xludf.GAMMA.INV(U587,'04_PSA_INPUTS'!H8,'04_PSA_INPUTS'!I8)</f>
        <v>#NAME?</v>
      </c>
      <c r="F587" s="27" t="e">
        <f ca="1">_xludf.GAMMA.INV(V587,'04_PSA_INPUTS'!H9,'04_PSA_INPUTS'!I9)</f>
        <v>#NAME?</v>
      </c>
      <c r="G587" s="23" t="e">
        <f ca="1">_xludf.BETA.INV(W587,'04_PSA_INPUTS'!H10,'04_PSA_INPUTS'!I10)</f>
        <v>#NAME?</v>
      </c>
      <c r="H587" s="23" t="e">
        <f ca="1">_xludf.BETA.INV(X587,'04_PSA_INPUTS'!H11,'04_PSA_INPUTS'!I11)</f>
        <v>#NAME?</v>
      </c>
      <c r="I587" s="27" t="e">
        <f ca="1">D587+B587*F587+'01_INPUTS'!B20</f>
        <v>#NAME?</v>
      </c>
      <c r="J587" s="27" t="e">
        <f ca="1">E587+C587*F587+'01_INPUTS'!B21</f>
        <v>#NAME?</v>
      </c>
      <c r="K587" s="27" t="e">
        <f t="shared" ca="1" si="54"/>
        <v>#NAME?</v>
      </c>
      <c r="L587" s="23" t="e">
        <f t="shared" ca="1" si="55"/>
        <v>#NAME?</v>
      </c>
      <c r="M587" s="23" t="e">
        <f t="shared" ca="1" si="56"/>
        <v>#NAME?</v>
      </c>
      <c r="N587" s="23" t="e">
        <f t="shared" ca="1" si="57"/>
        <v>#NAME?</v>
      </c>
      <c r="O587" s="27" t="e">
        <f t="shared" ca="1" si="58"/>
        <v>#NAME?</v>
      </c>
      <c r="P587" s="27" t="e">
        <f ca="1">'01_INPUTS'!B9*N587-K587</f>
        <v>#NAME?</v>
      </c>
      <c r="Q587" s="1" t="e">
        <f t="shared" ca="1" si="59"/>
        <v>#NAME?</v>
      </c>
      <c r="R587" s="28">
        <v>0.82752295816317201</v>
      </c>
      <c r="S587" s="28">
        <v>0.89429861353710294</v>
      </c>
      <c r="T587" s="28">
        <v>0.44294094340875745</v>
      </c>
      <c r="U587" s="28">
        <v>0.9322397296782583</v>
      </c>
      <c r="V587" s="28">
        <v>0.57884547812864184</v>
      </c>
      <c r="W587" s="28">
        <v>0.76468570507131517</v>
      </c>
      <c r="X587" s="28">
        <v>0.6161248569842428</v>
      </c>
    </row>
    <row r="588" spans="1:24" ht="13.9">
      <c r="A588" s="1">
        <v>587</v>
      </c>
      <c r="B588" s="23" t="e">
        <f ca="1">_xludf.BETA.INV(R588,'04_PSA_INPUTS'!H5,'04_PSA_INPUTS'!I5)</f>
        <v>#NAME?</v>
      </c>
      <c r="C588" s="23" t="e">
        <f ca="1">_xludf.BETA.INV(S588,'04_PSA_INPUTS'!H6,'04_PSA_INPUTS'!I6)</f>
        <v>#NAME?</v>
      </c>
      <c r="D588" s="27" t="e">
        <f ca="1">_xludf.GAMMA.INV(T588,'04_PSA_INPUTS'!H7,'04_PSA_INPUTS'!I7)</f>
        <v>#NAME?</v>
      </c>
      <c r="E588" s="27" t="e">
        <f ca="1">_xludf.GAMMA.INV(U588,'04_PSA_INPUTS'!H8,'04_PSA_INPUTS'!I8)</f>
        <v>#NAME?</v>
      </c>
      <c r="F588" s="27" t="e">
        <f ca="1">_xludf.GAMMA.INV(V588,'04_PSA_INPUTS'!H9,'04_PSA_INPUTS'!I9)</f>
        <v>#NAME?</v>
      </c>
      <c r="G588" s="23" t="e">
        <f ca="1">_xludf.BETA.INV(W588,'04_PSA_INPUTS'!H10,'04_PSA_INPUTS'!I10)</f>
        <v>#NAME?</v>
      </c>
      <c r="H588" s="23" t="e">
        <f ca="1">_xludf.BETA.INV(X588,'04_PSA_INPUTS'!H11,'04_PSA_INPUTS'!I11)</f>
        <v>#NAME?</v>
      </c>
      <c r="I588" s="27" t="e">
        <f ca="1">D588+B588*F588+'01_INPUTS'!B20</f>
        <v>#NAME?</v>
      </c>
      <c r="J588" s="27" t="e">
        <f ca="1">E588+C588*F588+'01_INPUTS'!B21</f>
        <v>#NAME?</v>
      </c>
      <c r="K588" s="27" t="e">
        <f t="shared" ca="1" si="54"/>
        <v>#NAME?</v>
      </c>
      <c r="L588" s="23" t="e">
        <f t="shared" ca="1" si="55"/>
        <v>#NAME?</v>
      </c>
      <c r="M588" s="23" t="e">
        <f t="shared" ca="1" si="56"/>
        <v>#NAME?</v>
      </c>
      <c r="N588" s="23" t="e">
        <f t="shared" ca="1" si="57"/>
        <v>#NAME?</v>
      </c>
      <c r="O588" s="27" t="e">
        <f t="shared" ca="1" si="58"/>
        <v>#NAME?</v>
      </c>
      <c r="P588" s="27" t="e">
        <f ca="1">'01_INPUTS'!B9*N588-K588</f>
        <v>#NAME?</v>
      </c>
      <c r="Q588" s="1" t="e">
        <f t="shared" ca="1" si="59"/>
        <v>#NAME?</v>
      </c>
      <c r="R588" s="28">
        <v>0.86371282348409295</v>
      </c>
      <c r="S588" s="28">
        <v>0.4190301108174026</v>
      </c>
      <c r="T588" s="28">
        <v>0.95368785271421075</v>
      </c>
      <c r="U588" s="28">
        <v>0.8826379906386137</v>
      </c>
      <c r="V588" s="28">
        <v>0.49875476234592497</v>
      </c>
      <c r="W588" s="28">
        <v>0.75718861375935376</v>
      </c>
      <c r="X588" s="28">
        <v>0.81034519919194281</v>
      </c>
    </row>
    <row r="589" spans="1:24" ht="13.9">
      <c r="A589" s="1">
        <v>588</v>
      </c>
      <c r="B589" s="23" t="e">
        <f ca="1">_xludf.BETA.INV(R589,'04_PSA_INPUTS'!H5,'04_PSA_INPUTS'!I5)</f>
        <v>#NAME?</v>
      </c>
      <c r="C589" s="23" t="e">
        <f ca="1">_xludf.BETA.INV(S589,'04_PSA_INPUTS'!H6,'04_PSA_INPUTS'!I6)</f>
        <v>#NAME?</v>
      </c>
      <c r="D589" s="27" t="e">
        <f ca="1">_xludf.GAMMA.INV(T589,'04_PSA_INPUTS'!H7,'04_PSA_INPUTS'!I7)</f>
        <v>#NAME?</v>
      </c>
      <c r="E589" s="27" t="e">
        <f ca="1">_xludf.GAMMA.INV(U589,'04_PSA_INPUTS'!H8,'04_PSA_INPUTS'!I8)</f>
        <v>#NAME?</v>
      </c>
      <c r="F589" s="27" t="e">
        <f ca="1">_xludf.GAMMA.INV(V589,'04_PSA_INPUTS'!H9,'04_PSA_INPUTS'!I9)</f>
        <v>#NAME?</v>
      </c>
      <c r="G589" s="23" t="e">
        <f ca="1">_xludf.BETA.INV(W589,'04_PSA_INPUTS'!H10,'04_PSA_INPUTS'!I10)</f>
        <v>#NAME?</v>
      </c>
      <c r="H589" s="23" t="e">
        <f ca="1">_xludf.BETA.INV(X589,'04_PSA_INPUTS'!H11,'04_PSA_INPUTS'!I11)</f>
        <v>#NAME?</v>
      </c>
      <c r="I589" s="27" t="e">
        <f ca="1">D589+B589*F589+'01_INPUTS'!B20</f>
        <v>#NAME?</v>
      </c>
      <c r="J589" s="27" t="e">
        <f ca="1">E589+C589*F589+'01_INPUTS'!B21</f>
        <v>#NAME?</v>
      </c>
      <c r="K589" s="27" t="e">
        <f t="shared" ca="1" si="54"/>
        <v>#NAME?</v>
      </c>
      <c r="L589" s="23" t="e">
        <f t="shared" ca="1" si="55"/>
        <v>#NAME?</v>
      </c>
      <c r="M589" s="23" t="e">
        <f t="shared" ca="1" si="56"/>
        <v>#NAME?</v>
      </c>
      <c r="N589" s="23" t="e">
        <f t="shared" ca="1" si="57"/>
        <v>#NAME?</v>
      </c>
      <c r="O589" s="27" t="e">
        <f t="shared" ca="1" si="58"/>
        <v>#NAME?</v>
      </c>
      <c r="P589" s="27" t="e">
        <f ca="1">'01_INPUTS'!B9*N589-K589</f>
        <v>#NAME?</v>
      </c>
      <c r="Q589" s="1" t="e">
        <f t="shared" ca="1" si="59"/>
        <v>#NAME?</v>
      </c>
      <c r="R589" s="28">
        <v>0.72879186505451798</v>
      </c>
      <c r="S589" s="28">
        <v>0.46126005775295198</v>
      </c>
      <c r="T589" s="28">
        <v>0.43029483989812434</v>
      </c>
      <c r="U589" s="28">
        <v>0.77469176216982305</v>
      </c>
      <c r="V589" s="28">
        <v>0.28769742557778955</v>
      </c>
      <c r="W589" s="28">
        <v>0.88752609584480524</v>
      </c>
      <c r="X589" s="28">
        <v>0.12581514474004507</v>
      </c>
    </row>
    <row r="590" spans="1:24" ht="13.9">
      <c r="A590" s="1">
        <v>589</v>
      </c>
      <c r="B590" s="23" t="e">
        <f ca="1">_xludf.BETA.INV(R590,'04_PSA_INPUTS'!H5,'04_PSA_INPUTS'!I5)</f>
        <v>#NAME?</v>
      </c>
      <c r="C590" s="23" t="e">
        <f ca="1">_xludf.BETA.INV(S590,'04_PSA_INPUTS'!H6,'04_PSA_INPUTS'!I6)</f>
        <v>#NAME?</v>
      </c>
      <c r="D590" s="27" t="e">
        <f ca="1">_xludf.GAMMA.INV(T590,'04_PSA_INPUTS'!H7,'04_PSA_INPUTS'!I7)</f>
        <v>#NAME?</v>
      </c>
      <c r="E590" s="27" t="e">
        <f ca="1">_xludf.GAMMA.INV(U590,'04_PSA_INPUTS'!H8,'04_PSA_INPUTS'!I8)</f>
        <v>#NAME?</v>
      </c>
      <c r="F590" s="27" t="e">
        <f ca="1">_xludf.GAMMA.INV(V590,'04_PSA_INPUTS'!H9,'04_PSA_INPUTS'!I9)</f>
        <v>#NAME?</v>
      </c>
      <c r="G590" s="23" t="e">
        <f ca="1">_xludf.BETA.INV(W590,'04_PSA_INPUTS'!H10,'04_PSA_INPUTS'!I10)</f>
        <v>#NAME?</v>
      </c>
      <c r="H590" s="23" t="e">
        <f ca="1">_xludf.BETA.INV(X590,'04_PSA_INPUTS'!H11,'04_PSA_INPUTS'!I11)</f>
        <v>#NAME?</v>
      </c>
      <c r="I590" s="27" t="e">
        <f ca="1">D590+B590*F590+'01_INPUTS'!B20</f>
        <v>#NAME?</v>
      </c>
      <c r="J590" s="27" t="e">
        <f ca="1">E590+C590*F590+'01_INPUTS'!B21</f>
        <v>#NAME?</v>
      </c>
      <c r="K590" s="27" t="e">
        <f t="shared" ca="1" si="54"/>
        <v>#NAME?</v>
      </c>
      <c r="L590" s="23" t="e">
        <f t="shared" ca="1" si="55"/>
        <v>#NAME?</v>
      </c>
      <c r="M590" s="23" t="e">
        <f t="shared" ca="1" si="56"/>
        <v>#NAME?</v>
      </c>
      <c r="N590" s="23" t="e">
        <f t="shared" ca="1" si="57"/>
        <v>#NAME?</v>
      </c>
      <c r="O590" s="27" t="e">
        <f t="shared" ca="1" si="58"/>
        <v>#NAME?</v>
      </c>
      <c r="P590" s="27" t="e">
        <f ca="1">'01_INPUTS'!B9*N590-K590</f>
        <v>#NAME?</v>
      </c>
      <c r="Q590" s="1" t="e">
        <f t="shared" ca="1" si="59"/>
        <v>#NAME?</v>
      </c>
      <c r="R590" s="28">
        <v>0.2693705465644598</v>
      </c>
      <c r="S590" s="28">
        <v>0.89434367488138378</v>
      </c>
      <c r="T590" s="28">
        <v>0.46332226134836674</v>
      </c>
      <c r="U590" s="28">
        <v>2.7213703375309706E-2</v>
      </c>
      <c r="V590" s="28">
        <v>0.12334282090887427</v>
      </c>
      <c r="W590" s="28">
        <v>0.25883888755925</v>
      </c>
      <c r="X590" s="28">
        <v>0.8690277726855129</v>
      </c>
    </row>
    <row r="591" spans="1:24" ht="13.9">
      <c r="A591" s="1">
        <v>590</v>
      </c>
      <c r="B591" s="23" t="e">
        <f ca="1">_xludf.BETA.INV(R591,'04_PSA_INPUTS'!H5,'04_PSA_INPUTS'!I5)</f>
        <v>#NAME?</v>
      </c>
      <c r="C591" s="23" t="e">
        <f ca="1">_xludf.BETA.INV(S591,'04_PSA_INPUTS'!H6,'04_PSA_INPUTS'!I6)</f>
        <v>#NAME?</v>
      </c>
      <c r="D591" s="27" t="e">
        <f ca="1">_xludf.GAMMA.INV(T591,'04_PSA_INPUTS'!H7,'04_PSA_INPUTS'!I7)</f>
        <v>#NAME?</v>
      </c>
      <c r="E591" s="27" t="e">
        <f ca="1">_xludf.GAMMA.INV(U591,'04_PSA_INPUTS'!H8,'04_PSA_INPUTS'!I8)</f>
        <v>#NAME?</v>
      </c>
      <c r="F591" s="27" t="e">
        <f ca="1">_xludf.GAMMA.INV(V591,'04_PSA_INPUTS'!H9,'04_PSA_INPUTS'!I9)</f>
        <v>#NAME?</v>
      </c>
      <c r="G591" s="23" t="e">
        <f ca="1">_xludf.BETA.INV(W591,'04_PSA_INPUTS'!H10,'04_PSA_INPUTS'!I10)</f>
        <v>#NAME?</v>
      </c>
      <c r="H591" s="23" t="e">
        <f ca="1">_xludf.BETA.INV(X591,'04_PSA_INPUTS'!H11,'04_PSA_INPUTS'!I11)</f>
        <v>#NAME?</v>
      </c>
      <c r="I591" s="27" t="e">
        <f ca="1">D591+B591*F591+'01_INPUTS'!B20</f>
        <v>#NAME?</v>
      </c>
      <c r="J591" s="27" t="e">
        <f ca="1">E591+C591*F591+'01_INPUTS'!B21</f>
        <v>#NAME?</v>
      </c>
      <c r="K591" s="27" t="e">
        <f t="shared" ca="1" si="54"/>
        <v>#NAME?</v>
      </c>
      <c r="L591" s="23" t="e">
        <f t="shared" ca="1" si="55"/>
        <v>#NAME?</v>
      </c>
      <c r="M591" s="23" t="e">
        <f t="shared" ca="1" si="56"/>
        <v>#NAME?</v>
      </c>
      <c r="N591" s="23" t="e">
        <f t="shared" ca="1" si="57"/>
        <v>#NAME?</v>
      </c>
      <c r="O591" s="27" t="e">
        <f t="shared" ca="1" si="58"/>
        <v>#NAME?</v>
      </c>
      <c r="P591" s="27" t="e">
        <f ca="1">'01_INPUTS'!B9*N591-K591</f>
        <v>#NAME?</v>
      </c>
      <c r="Q591" s="1" t="e">
        <f t="shared" ca="1" si="59"/>
        <v>#NAME?</v>
      </c>
      <c r="R591" s="28">
        <v>9.1064358130097389E-3</v>
      </c>
      <c r="S591" s="28">
        <v>0.38138250098563731</v>
      </c>
      <c r="T591" s="28">
        <v>0.21674529532901943</v>
      </c>
      <c r="U591" s="28">
        <v>0.77931352099403739</v>
      </c>
      <c r="V591" s="28">
        <v>0.18049251241609454</v>
      </c>
      <c r="W591" s="28">
        <v>0.29396678251214325</v>
      </c>
      <c r="X591" s="28">
        <v>0.65707914484664798</v>
      </c>
    </row>
    <row r="592" spans="1:24" ht="13.9">
      <c r="A592" s="1">
        <v>591</v>
      </c>
      <c r="B592" s="23" t="e">
        <f ca="1">_xludf.BETA.INV(R592,'04_PSA_INPUTS'!H5,'04_PSA_INPUTS'!I5)</f>
        <v>#NAME?</v>
      </c>
      <c r="C592" s="23" t="e">
        <f ca="1">_xludf.BETA.INV(S592,'04_PSA_INPUTS'!H6,'04_PSA_INPUTS'!I6)</f>
        <v>#NAME?</v>
      </c>
      <c r="D592" s="27" t="e">
        <f ca="1">_xludf.GAMMA.INV(T592,'04_PSA_INPUTS'!H7,'04_PSA_INPUTS'!I7)</f>
        <v>#NAME?</v>
      </c>
      <c r="E592" s="27" t="e">
        <f ca="1">_xludf.GAMMA.INV(U592,'04_PSA_INPUTS'!H8,'04_PSA_INPUTS'!I8)</f>
        <v>#NAME?</v>
      </c>
      <c r="F592" s="27" t="e">
        <f ca="1">_xludf.GAMMA.INV(V592,'04_PSA_INPUTS'!H9,'04_PSA_INPUTS'!I9)</f>
        <v>#NAME?</v>
      </c>
      <c r="G592" s="23" t="e">
        <f ca="1">_xludf.BETA.INV(W592,'04_PSA_INPUTS'!H10,'04_PSA_INPUTS'!I10)</f>
        <v>#NAME?</v>
      </c>
      <c r="H592" s="23" t="e">
        <f ca="1">_xludf.BETA.INV(X592,'04_PSA_INPUTS'!H11,'04_PSA_INPUTS'!I11)</f>
        <v>#NAME?</v>
      </c>
      <c r="I592" s="27" t="e">
        <f ca="1">D592+B592*F592+'01_INPUTS'!B20</f>
        <v>#NAME?</v>
      </c>
      <c r="J592" s="27" t="e">
        <f ca="1">E592+C592*F592+'01_INPUTS'!B21</f>
        <v>#NAME?</v>
      </c>
      <c r="K592" s="27" t="e">
        <f t="shared" ca="1" si="54"/>
        <v>#NAME?</v>
      </c>
      <c r="L592" s="23" t="e">
        <f t="shared" ca="1" si="55"/>
        <v>#NAME?</v>
      </c>
      <c r="M592" s="23" t="e">
        <f t="shared" ca="1" si="56"/>
        <v>#NAME?</v>
      </c>
      <c r="N592" s="23" t="e">
        <f t="shared" ca="1" si="57"/>
        <v>#NAME?</v>
      </c>
      <c r="O592" s="27" t="e">
        <f t="shared" ca="1" si="58"/>
        <v>#NAME?</v>
      </c>
      <c r="P592" s="27" t="e">
        <f ca="1">'01_INPUTS'!B9*N592-K592</f>
        <v>#NAME?</v>
      </c>
      <c r="Q592" s="1" t="e">
        <f t="shared" ca="1" si="59"/>
        <v>#NAME?</v>
      </c>
      <c r="R592" s="28">
        <v>0.21174008189700544</v>
      </c>
      <c r="S592" s="28">
        <v>0.16552381124347448</v>
      </c>
      <c r="T592" s="28">
        <v>0.70040043699555099</v>
      </c>
      <c r="U592" s="28">
        <v>0.94389749853871763</v>
      </c>
      <c r="V592" s="28">
        <v>0.78511257935315371</v>
      </c>
      <c r="W592" s="28">
        <v>0.32636994915083051</v>
      </c>
      <c r="X592" s="28">
        <v>7.4143758043646812E-2</v>
      </c>
    </row>
    <row r="593" spans="1:24" ht="13.9">
      <c r="A593" s="1">
        <v>592</v>
      </c>
      <c r="B593" s="23" t="e">
        <f ca="1">_xludf.BETA.INV(R593,'04_PSA_INPUTS'!H5,'04_PSA_INPUTS'!I5)</f>
        <v>#NAME?</v>
      </c>
      <c r="C593" s="23" t="e">
        <f ca="1">_xludf.BETA.INV(S593,'04_PSA_INPUTS'!H6,'04_PSA_INPUTS'!I6)</f>
        <v>#NAME?</v>
      </c>
      <c r="D593" s="27" t="e">
        <f ca="1">_xludf.GAMMA.INV(T593,'04_PSA_INPUTS'!H7,'04_PSA_INPUTS'!I7)</f>
        <v>#NAME?</v>
      </c>
      <c r="E593" s="27" t="e">
        <f ca="1">_xludf.GAMMA.INV(U593,'04_PSA_INPUTS'!H8,'04_PSA_INPUTS'!I8)</f>
        <v>#NAME?</v>
      </c>
      <c r="F593" s="27" t="e">
        <f ca="1">_xludf.GAMMA.INV(V593,'04_PSA_INPUTS'!H9,'04_PSA_INPUTS'!I9)</f>
        <v>#NAME?</v>
      </c>
      <c r="G593" s="23" t="e">
        <f ca="1">_xludf.BETA.INV(W593,'04_PSA_INPUTS'!H10,'04_PSA_INPUTS'!I10)</f>
        <v>#NAME?</v>
      </c>
      <c r="H593" s="23" t="e">
        <f ca="1">_xludf.BETA.INV(X593,'04_PSA_INPUTS'!H11,'04_PSA_INPUTS'!I11)</f>
        <v>#NAME?</v>
      </c>
      <c r="I593" s="27" t="e">
        <f ca="1">D593+B593*F593+'01_INPUTS'!B20</f>
        <v>#NAME?</v>
      </c>
      <c r="J593" s="27" t="e">
        <f ca="1">E593+C593*F593+'01_INPUTS'!B21</f>
        <v>#NAME?</v>
      </c>
      <c r="K593" s="27" t="e">
        <f t="shared" ca="1" si="54"/>
        <v>#NAME?</v>
      </c>
      <c r="L593" s="23" t="e">
        <f t="shared" ca="1" si="55"/>
        <v>#NAME?</v>
      </c>
      <c r="M593" s="23" t="e">
        <f t="shared" ca="1" si="56"/>
        <v>#NAME?</v>
      </c>
      <c r="N593" s="23" t="e">
        <f t="shared" ca="1" si="57"/>
        <v>#NAME?</v>
      </c>
      <c r="O593" s="27" t="e">
        <f t="shared" ca="1" si="58"/>
        <v>#NAME?</v>
      </c>
      <c r="P593" s="27" t="e">
        <f ca="1">'01_INPUTS'!B9*N593-K593</f>
        <v>#NAME?</v>
      </c>
      <c r="Q593" s="1" t="e">
        <f t="shared" ca="1" si="59"/>
        <v>#NAME?</v>
      </c>
      <c r="R593" s="28">
        <v>0.36085812910459936</v>
      </c>
      <c r="S593" s="28">
        <v>0.65923183970153332</v>
      </c>
      <c r="T593" s="28">
        <v>7.6737092807888985E-2</v>
      </c>
      <c r="U593" s="28">
        <v>0.23061944218352437</v>
      </c>
      <c r="V593" s="28">
        <v>0.24763011815957725</v>
      </c>
      <c r="W593" s="28">
        <v>4.2684576474130154E-3</v>
      </c>
      <c r="X593" s="28">
        <v>0.61174318799749017</v>
      </c>
    </row>
    <row r="594" spans="1:24" ht="13.9">
      <c r="A594" s="1">
        <v>593</v>
      </c>
      <c r="B594" s="23" t="e">
        <f ca="1">_xludf.BETA.INV(R594,'04_PSA_INPUTS'!H5,'04_PSA_INPUTS'!I5)</f>
        <v>#NAME?</v>
      </c>
      <c r="C594" s="23" t="e">
        <f ca="1">_xludf.BETA.INV(S594,'04_PSA_INPUTS'!H6,'04_PSA_INPUTS'!I6)</f>
        <v>#NAME?</v>
      </c>
      <c r="D594" s="27" t="e">
        <f ca="1">_xludf.GAMMA.INV(T594,'04_PSA_INPUTS'!H7,'04_PSA_INPUTS'!I7)</f>
        <v>#NAME?</v>
      </c>
      <c r="E594" s="27" t="e">
        <f ca="1">_xludf.GAMMA.INV(U594,'04_PSA_INPUTS'!H8,'04_PSA_INPUTS'!I8)</f>
        <v>#NAME?</v>
      </c>
      <c r="F594" s="27" t="e">
        <f ca="1">_xludf.GAMMA.INV(V594,'04_PSA_INPUTS'!H9,'04_PSA_INPUTS'!I9)</f>
        <v>#NAME?</v>
      </c>
      <c r="G594" s="23" t="e">
        <f ca="1">_xludf.BETA.INV(W594,'04_PSA_INPUTS'!H10,'04_PSA_INPUTS'!I10)</f>
        <v>#NAME?</v>
      </c>
      <c r="H594" s="23" t="e">
        <f ca="1">_xludf.BETA.INV(X594,'04_PSA_INPUTS'!H11,'04_PSA_INPUTS'!I11)</f>
        <v>#NAME?</v>
      </c>
      <c r="I594" s="27" t="e">
        <f ca="1">D594+B594*F594+'01_INPUTS'!B20</f>
        <v>#NAME?</v>
      </c>
      <c r="J594" s="27" t="e">
        <f ca="1">E594+C594*F594+'01_INPUTS'!B21</f>
        <v>#NAME?</v>
      </c>
      <c r="K594" s="27" t="e">
        <f t="shared" ca="1" si="54"/>
        <v>#NAME?</v>
      </c>
      <c r="L594" s="23" t="e">
        <f t="shared" ca="1" si="55"/>
        <v>#NAME?</v>
      </c>
      <c r="M594" s="23" t="e">
        <f t="shared" ca="1" si="56"/>
        <v>#NAME?</v>
      </c>
      <c r="N594" s="23" t="e">
        <f t="shared" ca="1" si="57"/>
        <v>#NAME?</v>
      </c>
      <c r="O594" s="27" t="e">
        <f t="shared" ca="1" si="58"/>
        <v>#NAME?</v>
      </c>
      <c r="P594" s="27" t="e">
        <f ca="1">'01_INPUTS'!B9*N594-K594</f>
        <v>#NAME?</v>
      </c>
      <c r="Q594" s="1" t="e">
        <f t="shared" ca="1" si="59"/>
        <v>#NAME?</v>
      </c>
      <c r="R594" s="28">
        <v>9.9042980233207345E-2</v>
      </c>
      <c r="S594" s="28">
        <v>0.42504344321787357</v>
      </c>
      <c r="T594" s="28">
        <v>0.28333698329515755</v>
      </c>
      <c r="U594" s="28">
        <v>0.52679552673362195</v>
      </c>
      <c r="V594" s="28">
        <v>0.54760199971497059</v>
      </c>
      <c r="W594" s="28">
        <v>0.32410787418484688</v>
      </c>
      <c r="X594" s="28">
        <v>0.98362723016180098</v>
      </c>
    </row>
    <row r="595" spans="1:24" ht="13.9">
      <c r="A595" s="1">
        <v>594</v>
      </c>
      <c r="B595" s="23" t="e">
        <f ca="1">_xludf.BETA.INV(R595,'04_PSA_INPUTS'!H5,'04_PSA_INPUTS'!I5)</f>
        <v>#NAME?</v>
      </c>
      <c r="C595" s="23" t="e">
        <f ca="1">_xludf.BETA.INV(S595,'04_PSA_INPUTS'!H6,'04_PSA_INPUTS'!I6)</f>
        <v>#NAME?</v>
      </c>
      <c r="D595" s="27" t="e">
        <f ca="1">_xludf.GAMMA.INV(T595,'04_PSA_INPUTS'!H7,'04_PSA_INPUTS'!I7)</f>
        <v>#NAME?</v>
      </c>
      <c r="E595" s="27" t="e">
        <f ca="1">_xludf.GAMMA.INV(U595,'04_PSA_INPUTS'!H8,'04_PSA_INPUTS'!I8)</f>
        <v>#NAME?</v>
      </c>
      <c r="F595" s="27" t="e">
        <f ca="1">_xludf.GAMMA.INV(V595,'04_PSA_INPUTS'!H9,'04_PSA_INPUTS'!I9)</f>
        <v>#NAME?</v>
      </c>
      <c r="G595" s="23" t="e">
        <f ca="1">_xludf.BETA.INV(W595,'04_PSA_INPUTS'!H10,'04_PSA_INPUTS'!I10)</f>
        <v>#NAME?</v>
      </c>
      <c r="H595" s="23" t="e">
        <f ca="1">_xludf.BETA.INV(X595,'04_PSA_INPUTS'!H11,'04_PSA_INPUTS'!I11)</f>
        <v>#NAME?</v>
      </c>
      <c r="I595" s="27" t="e">
        <f ca="1">D595+B595*F595+'01_INPUTS'!B20</f>
        <v>#NAME?</v>
      </c>
      <c r="J595" s="27" t="e">
        <f ca="1">E595+C595*F595+'01_INPUTS'!B21</f>
        <v>#NAME?</v>
      </c>
      <c r="K595" s="27" t="e">
        <f t="shared" ca="1" si="54"/>
        <v>#NAME?</v>
      </c>
      <c r="L595" s="23" t="e">
        <f t="shared" ca="1" si="55"/>
        <v>#NAME?</v>
      </c>
      <c r="M595" s="23" t="e">
        <f t="shared" ca="1" si="56"/>
        <v>#NAME?</v>
      </c>
      <c r="N595" s="23" t="e">
        <f t="shared" ca="1" si="57"/>
        <v>#NAME?</v>
      </c>
      <c r="O595" s="27" t="e">
        <f t="shared" ca="1" si="58"/>
        <v>#NAME?</v>
      </c>
      <c r="P595" s="27" t="e">
        <f ca="1">'01_INPUTS'!B9*N595-K595</f>
        <v>#NAME?</v>
      </c>
      <c r="Q595" s="1" t="e">
        <f t="shared" ca="1" si="59"/>
        <v>#NAME?</v>
      </c>
      <c r="R595" s="28">
        <v>0.31374507746659219</v>
      </c>
      <c r="S595" s="28">
        <v>0.50924716982990503</v>
      </c>
      <c r="T595" s="28">
        <v>0.96779381344094872</v>
      </c>
      <c r="U595" s="28">
        <v>0.66267115483060479</v>
      </c>
      <c r="V595" s="28">
        <v>0.74526026123203337</v>
      </c>
      <c r="W595" s="28">
        <v>0.52707048109732568</v>
      </c>
      <c r="X595" s="28">
        <v>0.58856976707465947</v>
      </c>
    </row>
    <row r="596" spans="1:24" ht="13.9">
      <c r="A596" s="1">
        <v>595</v>
      </c>
      <c r="B596" s="23" t="e">
        <f ca="1">_xludf.BETA.INV(R596,'04_PSA_INPUTS'!H5,'04_PSA_INPUTS'!I5)</f>
        <v>#NAME?</v>
      </c>
      <c r="C596" s="23" t="e">
        <f ca="1">_xludf.BETA.INV(S596,'04_PSA_INPUTS'!H6,'04_PSA_INPUTS'!I6)</f>
        <v>#NAME?</v>
      </c>
      <c r="D596" s="27" t="e">
        <f ca="1">_xludf.GAMMA.INV(T596,'04_PSA_INPUTS'!H7,'04_PSA_INPUTS'!I7)</f>
        <v>#NAME?</v>
      </c>
      <c r="E596" s="27" t="e">
        <f ca="1">_xludf.GAMMA.INV(U596,'04_PSA_INPUTS'!H8,'04_PSA_INPUTS'!I8)</f>
        <v>#NAME?</v>
      </c>
      <c r="F596" s="27" t="e">
        <f ca="1">_xludf.GAMMA.INV(V596,'04_PSA_INPUTS'!H9,'04_PSA_INPUTS'!I9)</f>
        <v>#NAME?</v>
      </c>
      <c r="G596" s="23" t="e">
        <f ca="1">_xludf.BETA.INV(W596,'04_PSA_INPUTS'!H10,'04_PSA_INPUTS'!I10)</f>
        <v>#NAME?</v>
      </c>
      <c r="H596" s="23" t="e">
        <f ca="1">_xludf.BETA.INV(X596,'04_PSA_INPUTS'!H11,'04_PSA_INPUTS'!I11)</f>
        <v>#NAME?</v>
      </c>
      <c r="I596" s="27" t="e">
        <f ca="1">D596+B596*F596+'01_INPUTS'!B20</f>
        <v>#NAME?</v>
      </c>
      <c r="J596" s="27" t="e">
        <f ca="1">E596+C596*F596+'01_INPUTS'!B21</f>
        <v>#NAME?</v>
      </c>
      <c r="K596" s="27" t="e">
        <f t="shared" ca="1" si="54"/>
        <v>#NAME?</v>
      </c>
      <c r="L596" s="23" t="e">
        <f t="shared" ca="1" si="55"/>
        <v>#NAME?</v>
      </c>
      <c r="M596" s="23" t="e">
        <f t="shared" ca="1" si="56"/>
        <v>#NAME?</v>
      </c>
      <c r="N596" s="23" t="e">
        <f t="shared" ca="1" si="57"/>
        <v>#NAME?</v>
      </c>
      <c r="O596" s="27" t="e">
        <f t="shared" ca="1" si="58"/>
        <v>#NAME?</v>
      </c>
      <c r="P596" s="27" t="e">
        <f ca="1">'01_INPUTS'!B9*N596-K596</f>
        <v>#NAME?</v>
      </c>
      <c r="Q596" s="1" t="e">
        <f t="shared" ca="1" si="59"/>
        <v>#NAME?</v>
      </c>
      <c r="R596" s="28">
        <v>0.68451429763808846</v>
      </c>
      <c r="S596" s="28">
        <v>0.5374523161444813</v>
      </c>
      <c r="T596" s="28">
        <v>1.3893515337258577E-2</v>
      </c>
      <c r="U596" s="28">
        <v>0.90371176321059465</v>
      </c>
      <c r="V596" s="28">
        <v>0.57504485989920795</v>
      </c>
      <c r="W596" s="28">
        <v>0.95396367483772337</v>
      </c>
      <c r="X596" s="28">
        <v>0.27793063269928098</v>
      </c>
    </row>
    <row r="597" spans="1:24" ht="13.9">
      <c r="A597" s="1">
        <v>596</v>
      </c>
      <c r="B597" s="23" t="e">
        <f ca="1">_xludf.BETA.INV(R597,'04_PSA_INPUTS'!H5,'04_PSA_INPUTS'!I5)</f>
        <v>#NAME?</v>
      </c>
      <c r="C597" s="23" t="e">
        <f ca="1">_xludf.BETA.INV(S597,'04_PSA_INPUTS'!H6,'04_PSA_INPUTS'!I6)</f>
        <v>#NAME?</v>
      </c>
      <c r="D597" s="27" t="e">
        <f ca="1">_xludf.GAMMA.INV(T597,'04_PSA_INPUTS'!H7,'04_PSA_INPUTS'!I7)</f>
        <v>#NAME?</v>
      </c>
      <c r="E597" s="27" t="e">
        <f ca="1">_xludf.GAMMA.INV(U597,'04_PSA_INPUTS'!H8,'04_PSA_INPUTS'!I8)</f>
        <v>#NAME?</v>
      </c>
      <c r="F597" s="27" t="e">
        <f ca="1">_xludf.GAMMA.INV(V597,'04_PSA_INPUTS'!H9,'04_PSA_INPUTS'!I9)</f>
        <v>#NAME?</v>
      </c>
      <c r="G597" s="23" t="e">
        <f ca="1">_xludf.BETA.INV(W597,'04_PSA_INPUTS'!H10,'04_PSA_INPUTS'!I10)</f>
        <v>#NAME?</v>
      </c>
      <c r="H597" s="23" t="e">
        <f ca="1">_xludf.BETA.INV(X597,'04_PSA_INPUTS'!H11,'04_PSA_INPUTS'!I11)</f>
        <v>#NAME?</v>
      </c>
      <c r="I597" s="27" t="e">
        <f ca="1">D597+B597*F597+'01_INPUTS'!B20</f>
        <v>#NAME?</v>
      </c>
      <c r="J597" s="27" t="e">
        <f ca="1">E597+C597*F597+'01_INPUTS'!B21</f>
        <v>#NAME?</v>
      </c>
      <c r="K597" s="27" t="e">
        <f t="shared" ca="1" si="54"/>
        <v>#NAME?</v>
      </c>
      <c r="L597" s="23" t="e">
        <f t="shared" ca="1" si="55"/>
        <v>#NAME?</v>
      </c>
      <c r="M597" s="23" t="e">
        <f t="shared" ca="1" si="56"/>
        <v>#NAME?</v>
      </c>
      <c r="N597" s="23" t="e">
        <f t="shared" ca="1" si="57"/>
        <v>#NAME?</v>
      </c>
      <c r="O597" s="27" t="e">
        <f t="shared" ca="1" si="58"/>
        <v>#NAME?</v>
      </c>
      <c r="P597" s="27" t="e">
        <f ca="1">'01_INPUTS'!B9*N597-K597</f>
        <v>#NAME?</v>
      </c>
      <c r="Q597" s="1" t="e">
        <f t="shared" ca="1" si="59"/>
        <v>#NAME?</v>
      </c>
      <c r="R597" s="28">
        <v>0.93138670083135366</v>
      </c>
      <c r="S597" s="28">
        <v>0.73751557990908623</v>
      </c>
      <c r="T597" s="28">
        <v>0.17934155301190913</v>
      </c>
      <c r="U597" s="28">
        <v>0.89084261958487332</v>
      </c>
      <c r="V597" s="28">
        <v>7.5695908162742853E-3</v>
      </c>
      <c r="W597" s="28">
        <v>7.1834120200946927E-2</v>
      </c>
      <c r="X597" s="28">
        <v>0.42581306910142303</v>
      </c>
    </row>
    <row r="598" spans="1:24" ht="13.9">
      <c r="A598" s="1">
        <v>597</v>
      </c>
      <c r="B598" s="23" t="e">
        <f ca="1">_xludf.BETA.INV(R598,'04_PSA_INPUTS'!H5,'04_PSA_INPUTS'!I5)</f>
        <v>#NAME?</v>
      </c>
      <c r="C598" s="23" t="e">
        <f ca="1">_xludf.BETA.INV(S598,'04_PSA_INPUTS'!H6,'04_PSA_INPUTS'!I6)</f>
        <v>#NAME?</v>
      </c>
      <c r="D598" s="27" t="e">
        <f ca="1">_xludf.GAMMA.INV(T598,'04_PSA_INPUTS'!H7,'04_PSA_INPUTS'!I7)</f>
        <v>#NAME?</v>
      </c>
      <c r="E598" s="27" t="e">
        <f ca="1">_xludf.GAMMA.INV(U598,'04_PSA_INPUTS'!H8,'04_PSA_INPUTS'!I8)</f>
        <v>#NAME?</v>
      </c>
      <c r="F598" s="27" t="e">
        <f ca="1">_xludf.GAMMA.INV(V598,'04_PSA_INPUTS'!H9,'04_PSA_INPUTS'!I9)</f>
        <v>#NAME?</v>
      </c>
      <c r="G598" s="23" t="e">
        <f ca="1">_xludf.BETA.INV(W598,'04_PSA_INPUTS'!H10,'04_PSA_INPUTS'!I10)</f>
        <v>#NAME?</v>
      </c>
      <c r="H598" s="23" t="e">
        <f ca="1">_xludf.BETA.INV(X598,'04_PSA_INPUTS'!H11,'04_PSA_INPUTS'!I11)</f>
        <v>#NAME?</v>
      </c>
      <c r="I598" s="27" t="e">
        <f ca="1">D598+B598*F598+'01_INPUTS'!B20</f>
        <v>#NAME?</v>
      </c>
      <c r="J598" s="27" t="e">
        <f ca="1">E598+C598*F598+'01_INPUTS'!B21</f>
        <v>#NAME?</v>
      </c>
      <c r="K598" s="27" t="e">
        <f t="shared" ca="1" si="54"/>
        <v>#NAME?</v>
      </c>
      <c r="L598" s="23" t="e">
        <f t="shared" ca="1" si="55"/>
        <v>#NAME?</v>
      </c>
      <c r="M598" s="23" t="e">
        <f t="shared" ca="1" si="56"/>
        <v>#NAME?</v>
      </c>
      <c r="N598" s="23" t="e">
        <f t="shared" ca="1" si="57"/>
        <v>#NAME?</v>
      </c>
      <c r="O598" s="27" t="e">
        <f t="shared" ca="1" si="58"/>
        <v>#NAME?</v>
      </c>
      <c r="P598" s="27" t="e">
        <f ca="1">'01_INPUTS'!B9*N598-K598</f>
        <v>#NAME?</v>
      </c>
      <c r="Q598" s="1" t="e">
        <f t="shared" ca="1" si="59"/>
        <v>#NAME?</v>
      </c>
      <c r="R598" s="28">
        <v>7.5379261281341314E-2</v>
      </c>
      <c r="S598" s="28">
        <v>0.50920463888905942</v>
      </c>
      <c r="T598" s="28">
        <v>0.47179220337420702</v>
      </c>
      <c r="U598" s="28">
        <v>2.5983927771449089E-2</v>
      </c>
      <c r="V598" s="28">
        <v>0.43385218316689134</v>
      </c>
      <c r="W598" s="28">
        <v>9.1899042250588536E-2</v>
      </c>
      <c r="X598" s="28">
        <v>0.47933399886824191</v>
      </c>
    </row>
    <row r="599" spans="1:24" ht="13.9">
      <c r="A599" s="1">
        <v>598</v>
      </c>
      <c r="B599" s="23" t="e">
        <f ca="1">_xludf.BETA.INV(R599,'04_PSA_INPUTS'!H5,'04_PSA_INPUTS'!I5)</f>
        <v>#NAME?</v>
      </c>
      <c r="C599" s="23" t="e">
        <f ca="1">_xludf.BETA.INV(S599,'04_PSA_INPUTS'!H6,'04_PSA_INPUTS'!I6)</f>
        <v>#NAME?</v>
      </c>
      <c r="D599" s="27" t="e">
        <f ca="1">_xludf.GAMMA.INV(T599,'04_PSA_INPUTS'!H7,'04_PSA_INPUTS'!I7)</f>
        <v>#NAME?</v>
      </c>
      <c r="E599" s="27" t="e">
        <f ca="1">_xludf.GAMMA.INV(U599,'04_PSA_INPUTS'!H8,'04_PSA_INPUTS'!I8)</f>
        <v>#NAME?</v>
      </c>
      <c r="F599" s="27" t="e">
        <f ca="1">_xludf.GAMMA.INV(V599,'04_PSA_INPUTS'!H9,'04_PSA_INPUTS'!I9)</f>
        <v>#NAME?</v>
      </c>
      <c r="G599" s="23" t="e">
        <f ca="1">_xludf.BETA.INV(W599,'04_PSA_INPUTS'!H10,'04_PSA_INPUTS'!I10)</f>
        <v>#NAME?</v>
      </c>
      <c r="H599" s="23" t="e">
        <f ca="1">_xludf.BETA.INV(X599,'04_PSA_INPUTS'!H11,'04_PSA_INPUTS'!I11)</f>
        <v>#NAME?</v>
      </c>
      <c r="I599" s="27" t="e">
        <f ca="1">D599+B599*F599+'01_INPUTS'!B20</f>
        <v>#NAME?</v>
      </c>
      <c r="J599" s="27" t="e">
        <f ca="1">E599+C599*F599+'01_INPUTS'!B21</f>
        <v>#NAME?</v>
      </c>
      <c r="K599" s="27" t="e">
        <f t="shared" ca="1" si="54"/>
        <v>#NAME?</v>
      </c>
      <c r="L599" s="23" t="e">
        <f t="shared" ca="1" si="55"/>
        <v>#NAME?</v>
      </c>
      <c r="M599" s="23" t="e">
        <f t="shared" ca="1" si="56"/>
        <v>#NAME?</v>
      </c>
      <c r="N599" s="23" t="e">
        <f t="shared" ca="1" si="57"/>
        <v>#NAME?</v>
      </c>
      <c r="O599" s="27" t="e">
        <f t="shared" ca="1" si="58"/>
        <v>#NAME?</v>
      </c>
      <c r="P599" s="27" t="e">
        <f ca="1">'01_INPUTS'!B9*N599-K599</f>
        <v>#NAME?</v>
      </c>
      <c r="Q599" s="1" t="e">
        <f t="shared" ca="1" si="59"/>
        <v>#NAME?</v>
      </c>
      <c r="R599" s="28">
        <v>0.74955821223556995</v>
      </c>
      <c r="S599" s="28">
        <v>0.33658766956068575</v>
      </c>
      <c r="T599" s="28">
        <v>2.5053872494027019E-2</v>
      </c>
      <c r="U599" s="28">
        <v>0.83029734180308878</v>
      </c>
      <c r="V599" s="28">
        <v>0.29422046872787178</v>
      </c>
      <c r="W599" s="28">
        <v>0.58383620693348348</v>
      </c>
      <c r="X599" s="28">
        <v>0.2228663032874465</v>
      </c>
    </row>
    <row r="600" spans="1:24" ht="13.9">
      <c r="A600" s="1">
        <v>599</v>
      </c>
      <c r="B600" s="23" t="e">
        <f ca="1">_xludf.BETA.INV(R600,'04_PSA_INPUTS'!H5,'04_PSA_INPUTS'!I5)</f>
        <v>#NAME?</v>
      </c>
      <c r="C600" s="23" t="e">
        <f ca="1">_xludf.BETA.INV(S600,'04_PSA_INPUTS'!H6,'04_PSA_INPUTS'!I6)</f>
        <v>#NAME?</v>
      </c>
      <c r="D600" s="27" t="e">
        <f ca="1">_xludf.GAMMA.INV(T600,'04_PSA_INPUTS'!H7,'04_PSA_INPUTS'!I7)</f>
        <v>#NAME?</v>
      </c>
      <c r="E600" s="27" t="e">
        <f ca="1">_xludf.GAMMA.INV(U600,'04_PSA_INPUTS'!H8,'04_PSA_INPUTS'!I8)</f>
        <v>#NAME?</v>
      </c>
      <c r="F600" s="27" t="e">
        <f ca="1">_xludf.GAMMA.INV(V600,'04_PSA_INPUTS'!H9,'04_PSA_INPUTS'!I9)</f>
        <v>#NAME?</v>
      </c>
      <c r="G600" s="23" t="e">
        <f ca="1">_xludf.BETA.INV(W600,'04_PSA_INPUTS'!H10,'04_PSA_INPUTS'!I10)</f>
        <v>#NAME?</v>
      </c>
      <c r="H600" s="23" t="e">
        <f ca="1">_xludf.BETA.INV(X600,'04_PSA_INPUTS'!H11,'04_PSA_INPUTS'!I11)</f>
        <v>#NAME?</v>
      </c>
      <c r="I600" s="27" t="e">
        <f ca="1">D600+B600*F600+'01_INPUTS'!B20</f>
        <v>#NAME?</v>
      </c>
      <c r="J600" s="27" t="e">
        <f ca="1">E600+C600*F600+'01_INPUTS'!B21</f>
        <v>#NAME?</v>
      </c>
      <c r="K600" s="27" t="e">
        <f t="shared" ca="1" si="54"/>
        <v>#NAME?</v>
      </c>
      <c r="L600" s="23" t="e">
        <f t="shared" ca="1" si="55"/>
        <v>#NAME?</v>
      </c>
      <c r="M600" s="23" t="e">
        <f t="shared" ca="1" si="56"/>
        <v>#NAME?</v>
      </c>
      <c r="N600" s="23" t="e">
        <f t="shared" ca="1" si="57"/>
        <v>#NAME?</v>
      </c>
      <c r="O600" s="27" t="e">
        <f t="shared" ca="1" si="58"/>
        <v>#NAME?</v>
      </c>
      <c r="P600" s="27" t="e">
        <f ca="1">'01_INPUTS'!B9*N600-K600</f>
        <v>#NAME?</v>
      </c>
      <c r="Q600" s="1" t="e">
        <f t="shared" ca="1" si="59"/>
        <v>#NAME?</v>
      </c>
      <c r="R600" s="28">
        <v>0.45656316867098212</v>
      </c>
      <c r="S600" s="28">
        <v>0.34917839709669352</v>
      </c>
      <c r="T600" s="28">
        <v>0.42551023070700467</v>
      </c>
      <c r="U600" s="28">
        <v>0.19567907811142504</v>
      </c>
      <c r="V600" s="28">
        <v>0.70459094108082354</v>
      </c>
      <c r="W600" s="28">
        <v>0.37597229611128569</v>
      </c>
      <c r="X600" s="28">
        <v>0.35885889735072851</v>
      </c>
    </row>
    <row r="601" spans="1:24" ht="13.9">
      <c r="A601" s="1">
        <v>600</v>
      </c>
      <c r="B601" s="23" t="e">
        <f ca="1">_xludf.BETA.INV(R601,'04_PSA_INPUTS'!H5,'04_PSA_INPUTS'!I5)</f>
        <v>#NAME?</v>
      </c>
      <c r="C601" s="23" t="e">
        <f ca="1">_xludf.BETA.INV(S601,'04_PSA_INPUTS'!H6,'04_PSA_INPUTS'!I6)</f>
        <v>#NAME?</v>
      </c>
      <c r="D601" s="27" t="e">
        <f ca="1">_xludf.GAMMA.INV(T601,'04_PSA_INPUTS'!H7,'04_PSA_INPUTS'!I7)</f>
        <v>#NAME?</v>
      </c>
      <c r="E601" s="27" t="e">
        <f ca="1">_xludf.GAMMA.INV(U601,'04_PSA_INPUTS'!H8,'04_PSA_INPUTS'!I8)</f>
        <v>#NAME?</v>
      </c>
      <c r="F601" s="27" t="e">
        <f ca="1">_xludf.GAMMA.INV(V601,'04_PSA_INPUTS'!H9,'04_PSA_INPUTS'!I9)</f>
        <v>#NAME?</v>
      </c>
      <c r="G601" s="23" t="e">
        <f ca="1">_xludf.BETA.INV(W601,'04_PSA_INPUTS'!H10,'04_PSA_INPUTS'!I10)</f>
        <v>#NAME?</v>
      </c>
      <c r="H601" s="23" t="e">
        <f ca="1">_xludf.BETA.INV(X601,'04_PSA_INPUTS'!H11,'04_PSA_INPUTS'!I11)</f>
        <v>#NAME?</v>
      </c>
      <c r="I601" s="27" t="e">
        <f ca="1">D601+B601*F601+'01_INPUTS'!B20</f>
        <v>#NAME?</v>
      </c>
      <c r="J601" s="27" t="e">
        <f ca="1">E601+C601*F601+'01_INPUTS'!B21</f>
        <v>#NAME?</v>
      </c>
      <c r="K601" s="27" t="e">
        <f t="shared" ca="1" si="54"/>
        <v>#NAME?</v>
      </c>
      <c r="L601" s="23" t="e">
        <f t="shared" ca="1" si="55"/>
        <v>#NAME?</v>
      </c>
      <c r="M601" s="23" t="e">
        <f t="shared" ca="1" si="56"/>
        <v>#NAME?</v>
      </c>
      <c r="N601" s="23" t="e">
        <f t="shared" ca="1" si="57"/>
        <v>#NAME?</v>
      </c>
      <c r="O601" s="27" t="e">
        <f t="shared" ca="1" si="58"/>
        <v>#NAME?</v>
      </c>
      <c r="P601" s="27" t="e">
        <f ca="1">'01_INPUTS'!B9*N601-K601</f>
        <v>#NAME?</v>
      </c>
      <c r="Q601" s="1" t="e">
        <f t="shared" ca="1" si="59"/>
        <v>#NAME?</v>
      </c>
      <c r="R601" s="28">
        <v>0.54675283120013773</v>
      </c>
      <c r="S601" s="28">
        <v>0.48442874173633754</v>
      </c>
      <c r="T601" s="28">
        <v>0.82734851492568851</v>
      </c>
      <c r="U601" s="28">
        <v>0.27651780983433127</v>
      </c>
      <c r="V601" s="28">
        <v>0.73044873913750052</v>
      </c>
      <c r="W601" s="28">
        <v>0.1822902075946331</v>
      </c>
      <c r="X601" s="28">
        <v>0.88608151534572244</v>
      </c>
    </row>
    <row r="602" spans="1:24" ht="13.9">
      <c r="A602" s="1">
        <v>601</v>
      </c>
      <c r="B602" s="23" t="e">
        <f ca="1">_xludf.BETA.INV(R602,'04_PSA_INPUTS'!H5,'04_PSA_INPUTS'!I5)</f>
        <v>#NAME?</v>
      </c>
      <c r="C602" s="23" t="e">
        <f ca="1">_xludf.BETA.INV(S602,'04_PSA_INPUTS'!H6,'04_PSA_INPUTS'!I6)</f>
        <v>#NAME?</v>
      </c>
      <c r="D602" s="27" t="e">
        <f ca="1">_xludf.GAMMA.INV(T602,'04_PSA_INPUTS'!H7,'04_PSA_INPUTS'!I7)</f>
        <v>#NAME?</v>
      </c>
      <c r="E602" s="27" t="e">
        <f ca="1">_xludf.GAMMA.INV(U602,'04_PSA_INPUTS'!H8,'04_PSA_INPUTS'!I8)</f>
        <v>#NAME?</v>
      </c>
      <c r="F602" s="27" t="e">
        <f ca="1">_xludf.GAMMA.INV(V602,'04_PSA_INPUTS'!H9,'04_PSA_INPUTS'!I9)</f>
        <v>#NAME?</v>
      </c>
      <c r="G602" s="23" t="e">
        <f ca="1">_xludf.BETA.INV(W602,'04_PSA_INPUTS'!H10,'04_PSA_INPUTS'!I10)</f>
        <v>#NAME?</v>
      </c>
      <c r="H602" s="23" t="e">
        <f ca="1">_xludf.BETA.INV(X602,'04_PSA_INPUTS'!H11,'04_PSA_INPUTS'!I11)</f>
        <v>#NAME?</v>
      </c>
      <c r="I602" s="27" t="e">
        <f ca="1">D602+B602*F602+'01_INPUTS'!B20</f>
        <v>#NAME?</v>
      </c>
      <c r="J602" s="27" t="e">
        <f ca="1">E602+C602*F602+'01_INPUTS'!B21</f>
        <v>#NAME?</v>
      </c>
      <c r="K602" s="27" t="e">
        <f t="shared" ca="1" si="54"/>
        <v>#NAME?</v>
      </c>
      <c r="L602" s="23" t="e">
        <f t="shared" ca="1" si="55"/>
        <v>#NAME?</v>
      </c>
      <c r="M602" s="23" t="e">
        <f t="shared" ca="1" si="56"/>
        <v>#NAME?</v>
      </c>
      <c r="N602" s="23" t="e">
        <f t="shared" ca="1" si="57"/>
        <v>#NAME?</v>
      </c>
      <c r="O602" s="27" t="e">
        <f t="shared" ca="1" si="58"/>
        <v>#NAME?</v>
      </c>
      <c r="P602" s="27" t="e">
        <f ca="1">'01_INPUTS'!B9*N602-K602</f>
        <v>#NAME?</v>
      </c>
      <c r="Q602" s="1" t="e">
        <f t="shared" ca="1" si="59"/>
        <v>#NAME?</v>
      </c>
      <c r="R602" s="28">
        <v>0.36835938808508217</v>
      </c>
      <c r="S602" s="28">
        <v>0.63900460442528129</v>
      </c>
      <c r="T602" s="28">
        <v>0.1913963898550719</v>
      </c>
      <c r="U602" s="28">
        <v>0.45658078999258578</v>
      </c>
      <c r="V602" s="28">
        <v>0.82066815788857639</v>
      </c>
      <c r="W602" s="28">
        <v>0.81100661307573318</v>
      </c>
      <c r="X602" s="28">
        <v>0.63677798397839069</v>
      </c>
    </row>
    <row r="603" spans="1:24" ht="13.9">
      <c r="A603" s="1">
        <v>602</v>
      </c>
      <c r="B603" s="23" t="e">
        <f ca="1">_xludf.BETA.INV(R603,'04_PSA_INPUTS'!H5,'04_PSA_INPUTS'!I5)</f>
        <v>#NAME?</v>
      </c>
      <c r="C603" s="23" t="e">
        <f ca="1">_xludf.BETA.INV(S603,'04_PSA_INPUTS'!H6,'04_PSA_INPUTS'!I6)</f>
        <v>#NAME?</v>
      </c>
      <c r="D603" s="27" t="e">
        <f ca="1">_xludf.GAMMA.INV(T603,'04_PSA_INPUTS'!H7,'04_PSA_INPUTS'!I7)</f>
        <v>#NAME?</v>
      </c>
      <c r="E603" s="27" t="e">
        <f ca="1">_xludf.GAMMA.INV(U603,'04_PSA_INPUTS'!H8,'04_PSA_INPUTS'!I8)</f>
        <v>#NAME?</v>
      </c>
      <c r="F603" s="27" t="e">
        <f ca="1">_xludf.GAMMA.INV(V603,'04_PSA_INPUTS'!H9,'04_PSA_INPUTS'!I9)</f>
        <v>#NAME?</v>
      </c>
      <c r="G603" s="23" t="e">
        <f ca="1">_xludf.BETA.INV(W603,'04_PSA_INPUTS'!H10,'04_PSA_INPUTS'!I10)</f>
        <v>#NAME?</v>
      </c>
      <c r="H603" s="23" t="e">
        <f ca="1">_xludf.BETA.INV(X603,'04_PSA_INPUTS'!H11,'04_PSA_INPUTS'!I11)</f>
        <v>#NAME?</v>
      </c>
      <c r="I603" s="27" t="e">
        <f ca="1">D603+B603*F603+'01_INPUTS'!B20</f>
        <v>#NAME?</v>
      </c>
      <c r="J603" s="27" t="e">
        <f ca="1">E603+C603*F603+'01_INPUTS'!B21</f>
        <v>#NAME?</v>
      </c>
      <c r="K603" s="27" t="e">
        <f t="shared" ca="1" si="54"/>
        <v>#NAME?</v>
      </c>
      <c r="L603" s="23" t="e">
        <f t="shared" ca="1" si="55"/>
        <v>#NAME?</v>
      </c>
      <c r="M603" s="23" t="e">
        <f t="shared" ca="1" si="56"/>
        <v>#NAME?</v>
      </c>
      <c r="N603" s="23" t="e">
        <f t="shared" ca="1" si="57"/>
        <v>#NAME?</v>
      </c>
      <c r="O603" s="27" t="e">
        <f t="shared" ca="1" si="58"/>
        <v>#NAME?</v>
      </c>
      <c r="P603" s="27" t="e">
        <f ca="1">'01_INPUTS'!B9*N603-K603</f>
        <v>#NAME?</v>
      </c>
      <c r="Q603" s="1" t="e">
        <f t="shared" ca="1" si="59"/>
        <v>#NAME?</v>
      </c>
      <c r="R603" s="28">
        <v>0.40567849669605494</v>
      </c>
      <c r="S603" s="28">
        <v>9.091751417145133E-3</v>
      </c>
      <c r="T603" s="28">
        <v>0.43024850427173078</v>
      </c>
      <c r="U603" s="28">
        <v>0.98624853300862014</v>
      </c>
      <c r="V603" s="28">
        <v>0.18192907143384218</v>
      </c>
      <c r="W603" s="28">
        <v>0.74549985094927251</v>
      </c>
      <c r="X603" s="28">
        <v>0.57060750783421099</v>
      </c>
    </row>
    <row r="604" spans="1:24" ht="13.9">
      <c r="A604" s="1">
        <v>603</v>
      </c>
      <c r="B604" s="23" t="e">
        <f ca="1">_xludf.BETA.INV(R604,'04_PSA_INPUTS'!H5,'04_PSA_INPUTS'!I5)</f>
        <v>#NAME?</v>
      </c>
      <c r="C604" s="23" t="e">
        <f ca="1">_xludf.BETA.INV(S604,'04_PSA_INPUTS'!H6,'04_PSA_INPUTS'!I6)</f>
        <v>#NAME?</v>
      </c>
      <c r="D604" s="27" t="e">
        <f ca="1">_xludf.GAMMA.INV(T604,'04_PSA_INPUTS'!H7,'04_PSA_INPUTS'!I7)</f>
        <v>#NAME?</v>
      </c>
      <c r="E604" s="27" t="e">
        <f ca="1">_xludf.GAMMA.INV(U604,'04_PSA_INPUTS'!H8,'04_PSA_INPUTS'!I8)</f>
        <v>#NAME?</v>
      </c>
      <c r="F604" s="27" t="e">
        <f ca="1">_xludf.GAMMA.INV(V604,'04_PSA_INPUTS'!H9,'04_PSA_INPUTS'!I9)</f>
        <v>#NAME?</v>
      </c>
      <c r="G604" s="23" t="e">
        <f ca="1">_xludf.BETA.INV(W604,'04_PSA_INPUTS'!H10,'04_PSA_INPUTS'!I10)</f>
        <v>#NAME?</v>
      </c>
      <c r="H604" s="23" t="e">
        <f ca="1">_xludf.BETA.INV(X604,'04_PSA_INPUTS'!H11,'04_PSA_INPUTS'!I11)</f>
        <v>#NAME?</v>
      </c>
      <c r="I604" s="27" t="e">
        <f ca="1">D604+B604*F604+'01_INPUTS'!B20</f>
        <v>#NAME?</v>
      </c>
      <c r="J604" s="27" t="e">
        <f ca="1">E604+C604*F604+'01_INPUTS'!B21</f>
        <v>#NAME?</v>
      </c>
      <c r="K604" s="27" t="e">
        <f t="shared" ca="1" si="54"/>
        <v>#NAME?</v>
      </c>
      <c r="L604" s="23" t="e">
        <f t="shared" ca="1" si="55"/>
        <v>#NAME?</v>
      </c>
      <c r="M604" s="23" t="e">
        <f t="shared" ca="1" si="56"/>
        <v>#NAME?</v>
      </c>
      <c r="N604" s="23" t="e">
        <f t="shared" ca="1" si="57"/>
        <v>#NAME?</v>
      </c>
      <c r="O604" s="27" t="e">
        <f t="shared" ca="1" si="58"/>
        <v>#NAME?</v>
      </c>
      <c r="P604" s="27" t="e">
        <f ca="1">'01_INPUTS'!B9*N604-K604</f>
        <v>#NAME?</v>
      </c>
      <c r="Q604" s="1" t="e">
        <f t="shared" ca="1" si="59"/>
        <v>#NAME?</v>
      </c>
      <c r="R604" s="28">
        <v>0.85611874959431589</v>
      </c>
      <c r="S604" s="28">
        <v>0.30853642802685499</v>
      </c>
      <c r="T604" s="28">
        <v>0.6890756783541292</v>
      </c>
      <c r="U604" s="28">
        <v>0.3903279344085604</v>
      </c>
      <c r="V604" s="28">
        <v>0.94619400869123638</v>
      </c>
      <c r="W604" s="28">
        <v>0.33502049837261438</v>
      </c>
      <c r="X604" s="28">
        <v>0.97524914192035794</v>
      </c>
    </row>
    <row r="605" spans="1:24" ht="13.9">
      <c r="A605" s="1">
        <v>604</v>
      </c>
      <c r="B605" s="23" t="e">
        <f ca="1">_xludf.BETA.INV(R605,'04_PSA_INPUTS'!H5,'04_PSA_INPUTS'!I5)</f>
        <v>#NAME?</v>
      </c>
      <c r="C605" s="23" t="e">
        <f ca="1">_xludf.BETA.INV(S605,'04_PSA_INPUTS'!H6,'04_PSA_INPUTS'!I6)</f>
        <v>#NAME?</v>
      </c>
      <c r="D605" s="27" t="e">
        <f ca="1">_xludf.GAMMA.INV(T605,'04_PSA_INPUTS'!H7,'04_PSA_INPUTS'!I7)</f>
        <v>#NAME?</v>
      </c>
      <c r="E605" s="27" t="e">
        <f ca="1">_xludf.GAMMA.INV(U605,'04_PSA_INPUTS'!H8,'04_PSA_INPUTS'!I8)</f>
        <v>#NAME?</v>
      </c>
      <c r="F605" s="27" t="e">
        <f ca="1">_xludf.GAMMA.INV(V605,'04_PSA_INPUTS'!H9,'04_PSA_INPUTS'!I9)</f>
        <v>#NAME?</v>
      </c>
      <c r="G605" s="23" t="e">
        <f ca="1">_xludf.BETA.INV(W605,'04_PSA_INPUTS'!H10,'04_PSA_INPUTS'!I10)</f>
        <v>#NAME?</v>
      </c>
      <c r="H605" s="23" t="e">
        <f ca="1">_xludf.BETA.INV(X605,'04_PSA_INPUTS'!H11,'04_PSA_INPUTS'!I11)</f>
        <v>#NAME?</v>
      </c>
      <c r="I605" s="27" t="e">
        <f ca="1">D605+B605*F605+'01_INPUTS'!B20</f>
        <v>#NAME?</v>
      </c>
      <c r="J605" s="27" t="e">
        <f ca="1">E605+C605*F605+'01_INPUTS'!B21</f>
        <v>#NAME?</v>
      </c>
      <c r="K605" s="27" t="e">
        <f t="shared" ca="1" si="54"/>
        <v>#NAME?</v>
      </c>
      <c r="L605" s="23" t="e">
        <f t="shared" ca="1" si="55"/>
        <v>#NAME?</v>
      </c>
      <c r="M605" s="23" t="e">
        <f t="shared" ca="1" si="56"/>
        <v>#NAME?</v>
      </c>
      <c r="N605" s="23" t="e">
        <f t="shared" ca="1" si="57"/>
        <v>#NAME?</v>
      </c>
      <c r="O605" s="27" t="e">
        <f t="shared" ca="1" si="58"/>
        <v>#NAME?</v>
      </c>
      <c r="P605" s="27" t="e">
        <f ca="1">'01_INPUTS'!B9*N605-K605</f>
        <v>#NAME?</v>
      </c>
      <c r="Q605" s="1" t="e">
        <f t="shared" ca="1" si="59"/>
        <v>#NAME?</v>
      </c>
      <c r="R605" s="28">
        <v>0.42288539791479707</v>
      </c>
      <c r="S605" s="28">
        <v>0.74450222216546535</v>
      </c>
      <c r="T605" s="28">
        <v>0.69830948463641107</v>
      </c>
      <c r="U605" s="28">
        <v>0.95540755591355264</v>
      </c>
      <c r="V605" s="28">
        <v>2.0464691333472729E-3</v>
      </c>
      <c r="W605" s="28">
        <v>0.57906713313423097</v>
      </c>
      <c r="X605" s="28">
        <v>0.94825603789649904</v>
      </c>
    </row>
    <row r="606" spans="1:24" ht="13.9">
      <c r="A606" s="1">
        <v>605</v>
      </c>
      <c r="B606" s="23" t="e">
        <f ca="1">_xludf.BETA.INV(R606,'04_PSA_INPUTS'!H5,'04_PSA_INPUTS'!I5)</f>
        <v>#NAME?</v>
      </c>
      <c r="C606" s="23" t="e">
        <f ca="1">_xludf.BETA.INV(S606,'04_PSA_INPUTS'!H6,'04_PSA_INPUTS'!I6)</f>
        <v>#NAME?</v>
      </c>
      <c r="D606" s="27" t="e">
        <f ca="1">_xludf.GAMMA.INV(T606,'04_PSA_INPUTS'!H7,'04_PSA_INPUTS'!I7)</f>
        <v>#NAME?</v>
      </c>
      <c r="E606" s="27" t="e">
        <f ca="1">_xludf.GAMMA.INV(U606,'04_PSA_INPUTS'!H8,'04_PSA_INPUTS'!I8)</f>
        <v>#NAME?</v>
      </c>
      <c r="F606" s="27" t="e">
        <f ca="1">_xludf.GAMMA.INV(V606,'04_PSA_INPUTS'!H9,'04_PSA_INPUTS'!I9)</f>
        <v>#NAME?</v>
      </c>
      <c r="G606" s="23" t="e">
        <f ca="1">_xludf.BETA.INV(W606,'04_PSA_INPUTS'!H10,'04_PSA_INPUTS'!I10)</f>
        <v>#NAME?</v>
      </c>
      <c r="H606" s="23" t="e">
        <f ca="1">_xludf.BETA.INV(X606,'04_PSA_INPUTS'!H11,'04_PSA_INPUTS'!I11)</f>
        <v>#NAME?</v>
      </c>
      <c r="I606" s="27" t="e">
        <f ca="1">D606+B606*F606+'01_INPUTS'!B20</f>
        <v>#NAME?</v>
      </c>
      <c r="J606" s="27" t="e">
        <f ca="1">E606+C606*F606+'01_INPUTS'!B21</f>
        <v>#NAME?</v>
      </c>
      <c r="K606" s="27" t="e">
        <f t="shared" ca="1" si="54"/>
        <v>#NAME?</v>
      </c>
      <c r="L606" s="23" t="e">
        <f t="shared" ca="1" si="55"/>
        <v>#NAME?</v>
      </c>
      <c r="M606" s="23" t="e">
        <f t="shared" ca="1" si="56"/>
        <v>#NAME?</v>
      </c>
      <c r="N606" s="23" t="e">
        <f t="shared" ca="1" si="57"/>
        <v>#NAME?</v>
      </c>
      <c r="O606" s="27" t="e">
        <f t="shared" ca="1" si="58"/>
        <v>#NAME?</v>
      </c>
      <c r="P606" s="27" t="e">
        <f ca="1">'01_INPUTS'!B9*N606-K606</f>
        <v>#NAME?</v>
      </c>
      <c r="Q606" s="1" t="e">
        <f t="shared" ca="1" si="59"/>
        <v>#NAME?</v>
      </c>
      <c r="R606" s="28">
        <v>0.26391304098069668</v>
      </c>
      <c r="S606" s="28">
        <v>6.3934964127838612E-3</v>
      </c>
      <c r="T606" s="28">
        <v>7.6550393365323544E-2</v>
      </c>
      <c r="U606" s="28">
        <v>0.66230115969665349</v>
      </c>
      <c r="V606" s="28">
        <v>0.66955467639490962</v>
      </c>
      <c r="W606" s="28">
        <v>0.53078593779355288</v>
      </c>
      <c r="X606" s="28">
        <v>0.89461554656736553</v>
      </c>
    </row>
    <row r="607" spans="1:24" ht="13.9">
      <c r="A607" s="1">
        <v>606</v>
      </c>
      <c r="B607" s="23" t="e">
        <f ca="1">_xludf.BETA.INV(R607,'04_PSA_INPUTS'!H5,'04_PSA_INPUTS'!I5)</f>
        <v>#NAME?</v>
      </c>
      <c r="C607" s="23" t="e">
        <f ca="1">_xludf.BETA.INV(S607,'04_PSA_INPUTS'!H6,'04_PSA_INPUTS'!I6)</f>
        <v>#NAME?</v>
      </c>
      <c r="D607" s="27" t="e">
        <f ca="1">_xludf.GAMMA.INV(T607,'04_PSA_INPUTS'!H7,'04_PSA_INPUTS'!I7)</f>
        <v>#NAME?</v>
      </c>
      <c r="E607" s="27" t="e">
        <f ca="1">_xludf.GAMMA.INV(U607,'04_PSA_INPUTS'!H8,'04_PSA_INPUTS'!I8)</f>
        <v>#NAME?</v>
      </c>
      <c r="F607" s="27" t="e">
        <f ca="1">_xludf.GAMMA.INV(V607,'04_PSA_INPUTS'!H9,'04_PSA_INPUTS'!I9)</f>
        <v>#NAME?</v>
      </c>
      <c r="G607" s="23" t="e">
        <f ca="1">_xludf.BETA.INV(W607,'04_PSA_INPUTS'!H10,'04_PSA_INPUTS'!I10)</f>
        <v>#NAME?</v>
      </c>
      <c r="H607" s="23" t="e">
        <f ca="1">_xludf.BETA.INV(X607,'04_PSA_INPUTS'!H11,'04_PSA_INPUTS'!I11)</f>
        <v>#NAME?</v>
      </c>
      <c r="I607" s="27" t="e">
        <f ca="1">D607+B607*F607+'01_INPUTS'!B20</f>
        <v>#NAME?</v>
      </c>
      <c r="J607" s="27" t="e">
        <f ca="1">E607+C607*F607+'01_INPUTS'!B21</f>
        <v>#NAME?</v>
      </c>
      <c r="K607" s="27" t="e">
        <f t="shared" ca="1" si="54"/>
        <v>#NAME?</v>
      </c>
      <c r="L607" s="23" t="e">
        <f t="shared" ca="1" si="55"/>
        <v>#NAME?</v>
      </c>
      <c r="M607" s="23" t="e">
        <f t="shared" ca="1" si="56"/>
        <v>#NAME?</v>
      </c>
      <c r="N607" s="23" t="e">
        <f t="shared" ca="1" si="57"/>
        <v>#NAME?</v>
      </c>
      <c r="O607" s="27" t="e">
        <f t="shared" ca="1" si="58"/>
        <v>#NAME?</v>
      </c>
      <c r="P607" s="27" t="e">
        <f ca="1">'01_INPUTS'!B9*N607-K607</f>
        <v>#NAME?</v>
      </c>
      <c r="Q607" s="1" t="e">
        <f t="shared" ca="1" si="59"/>
        <v>#NAME?</v>
      </c>
      <c r="R607" s="28">
        <v>0.17385825980454683</v>
      </c>
      <c r="S607" s="28">
        <v>0.92239837814122438</v>
      </c>
      <c r="T607" s="28">
        <v>1.702214521355927E-2</v>
      </c>
      <c r="U607" s="28">
        <v>0.51181365386582911</v>
      </c>
      <c r="V607" s="28">
        <v>0.37714476161636412</v>
      </c>
      <c r="W607" s="28">
        <v>0.86851524258963764</v>
      </c>
      <c r="X607" s="28">
        <v>0.57610967848449945</v>
      </c>
    </row>
    <row r="608" spans="1:24" ht="13.9">
      <c r="A608" s="1">
        <v>607</v>
      </c>
      <c r="B608" s="23" t="e">
        <f ca="1">_xludf.BETA.INV(R608,'04_PSA_INPUTS'!H5,'04_PSA_INPUTS'!I5)</f>
        <v>#NAME?</v>
      </c>
      <c r="C608" s="23" t="e">
        <f ca="1">_xludf.BETA.INV(S608,'04_PSA_INPUTS'!H6,'04_PSA_INPUTS'!I6)</f>
        <v>#NAME?</v>
      </c>
      <c r="D608" s="27" t="e">
        <f ca="1">_xludf.GAMMA.INV(T608,'04_PSA_INPUTS'!H7,'04_PSA_INPUTS'!I7)</f>
        <v>#NAME?</v>
      </c>
      <c r="E608" s="27" t="e">
        <f ca="1">_xludf.GAMMA.INV(U608,'04_PSA_INPUTS'!H8,'04_PSA_INPUTS'!I8)</f>
        <v>#NAME?</v>
      </c>
      <c r="F608" s="27" t="e">
        <f ca="1">_xludf.GAMMA.INV(V608,'04_PSA_INPUTS'!H9,'04_PSA_INPUTS'!I9)</f>
        <v>#NAME?</v>
      </c>
      <c r="G608" s="23" t="e">
        <f ca="1">_xludf.BETA.INV(W608,'04_PSA_INPUTS'!H10,'04_PSA_INPUTS'!I10)</f>
        <v>#NAME?</v>
      </c>
      <c r="H608" s="23" t="e">
        <f ca="1">_xludf.BETA.INV(X608,'04_PSA_INPUTS'!H11,'04_PSA_INPUTS'!I11)</f>
        <v>#NAME?</v>
      </c>
      <c r="I608" s="27" t="e">
        <f ca="1">D608+B608*F608+'01_INPUTS'!B20</f>
        <v>#NAME?</v>
      </c>
      <c r="J608" s="27" t="e">
        <f ca="1">E608+C608*F608+'01_INPUTS'!B21</f>
        <v>#NAME?</v>
      </c>
      <c r="K608" s="27" t="e">
        <f t="shared" ca="1" si="54"/>
        <v>#NAME?</v>
      </c>
      <c r="L608" s="23" t="e">
        <f t="shared" ca="1" si="55"/>
        <v>#NAME?</v>
      </c>
      <c r="M608" s="23" t="e">
        <f t="shared" ca="1" si="56"/>
        <v>#NAME?</v>
      </c>
      <c r="N608" s="23" t="e">
        <f t="shared" ca="1" si="57"/>
        <v>#NAME?</v>
      </c>
      <c r="O608" s="27" t="e">
        <f t="shared" ca="1" si="58"/>
        <v>#NAME?</v>
      </c>
      <c r="P608" s="27" t="e">
        <f ca="1">'01_INPUTS'!B9*N608-K608</f>
        <v>#NAME?</v>
      </c>
      <c r="Q608" s="1" t="e">
        <f t="shared" ca="1" si="59"/>
        <v>#NAME?</v>
      </c>
      <c r="R608" s="28">
        <v>0.48651780607178807</v>
      </c>
      <c r="S608" s="28">
        <v>0.39334813854657114</v>
      </c>
      <c r="T608" s="28">
        <v>0.53214088152162731</v>
      </c>
      <c r="U608" s="28">
        <v>0.86350104305893183</v>
      </c>
      <c r="V608" s="28">
        <v>0.6982698836363852</v>
      </c>
      <c r="W608" s="28">
        <v>0.8210443090647459</v>
      </c>
      <c r="X608" s="28">
        <v>0.66264460445381701</v>
      </c>
    </row>
    <row r="609" spans="1:24" ht="13.9">
      <c r="A609" s="1">
        <v>608</v>
      </c>
      <c r="B609" s="23" t="e">
        <f ca="1">_xludf.BETA.INV(R609,'04_PSA_INPUTS'!H5,'04_PSA_INPUTS'!I5)</f>
        <v>#NAME?</v>
      </c>
      <c r="C609" s="23" t="e">
        <f ca="1">_xludf.BETA.INV(S609,'04_PSA_INPUTS'!H6,'04_PSA_INPUTS'!I6)</f>
        <v>#NAME?</v>
      </c>
      <c r="D609" s="27" t="e">
        <f ca="1">_xludf.GAMMA.INV(T609,'04_PSA_INPUTS'!H7,'04_PSA_INPUTS'!I7)</f>
        <v>#NAME?</v>
      </c>
      <c r="E609" s="27" t="e">
        <f ca="1">_xludf.GAMMA.INV(U609,'04_PSA_INPUTS'!H8,'04_PSA_INPUTS'!I8)</f>
        <v>#NAME?</v>
      </c>
      <c r="F609" s="27" t="e">
        <f ca="1">_xludf.GAMMA.INV(V609,'04_PSA_INPUTS'!H9,'04_PSA_INPUTS'!I9)</f>
        <v>#NAME?</v>
      </c>
      <c r="G609" s="23" t="e">
        <f ca="1">_xludf.BETA.INV(W609,'04_PSA_INPUTS'!H10,'04_PSA_INPUTS'!I10)</f>
        <v>#NAME?</v>
      </c>
      <c r="H609" s="23" t="e">
        <f ca="1">_xludf.BETA.INV(X609,'04_PSA_INPUTS'!H11,'04_PSA_INPUTS'!I11)</f>
        <v>#NAME?</v>
      </c>
      <c r="I609" s="27" t="e">
        <f ca="1">D609+B609*F609+'01_INPUTS'!B20</f>
        <v>#NAME?</v>
      </c>
      <c r="J609" s="27" t="e">
        <f ca="1">E609+C609*F609+'01_INPUTS'!B21</f>
        <v>#NAME?</v>
      </c>
      <c r="K609" s="27" t="e">
        <f t="shared" ca="1" si="54"/>
        <v>#NAME?</v>
      </c>
      <c r="L609" s="23" t="e">
        <f t="shared" ca="1" si="55"/>
        <v>#NAME?</v>
      </c>
      <c r="M609" s="23" t="e">
        <f t="shared" ca="1" si="56"/>
        <v>#NAME?</v>
      </c>
      <c r="N609" s="23" t="e">
        <f t="shared" ca="1" si="57"/>
        <v>#NAME?</v>
      </c>
      <c r="O609" s="27" t="e">
        <f t="shared" ca="1" si="58"/>
        <v>#NAME?</v>
      </c>
      <c r="P609" s="27" t="e">
        <f ca="1">'01_INPUTS'!B9*N609-K609</f>
        <v>#NAME?</v>
      </c>
      <c r="Q609" s="1" t="e">
        <f t="shared" ca="1" si="59"/>
        <v>#NAME?</v>
      </c>
      <c r="R609" s="28">
        <v>0.8225634025875479</v>
      </c>
      <c r="S609" s="28">
        <v>0.15091172396205366</v>
      </c>
      <c r="T609" s="28">
        <v>0.22946782712824643</v>
      </c>
      <c r="U609" s="28">
        <v>0.26737114577554166</v>
      </c>
      <c r="V609" s="28">
        <v>0.42630318808369339</v>
      </c>
      <c r="W609" s="28">
        <v>0.10773804201744497</v>
      </c>
      <c r="X609" s="28">
        <v>0.51905935071408749</v>
      </c>
    </row>
    <row r="610" spans="1:24" ht="13.9">
      <c r="A610" s="1">
        <v>609</v>
      </c>
      <c r="B610" s="23" t="e">
        <f ca="1">_xludf.BETA.INV(R610,'04_PSA_INPUTS'!H5,'04_PSA_INPUTS'!I5)</f>
        <v>#NAME?</v>
      </c>
      <c r="C610" s="23" t="e">
        <f ca="1">_xludf.BETA.INV(S610,'04_PSA_INPUTS'!H6,'04_PSA_INPUTS'!I6)</f>
        <v>#NAME?</v>
      </c>
      <c r="D610" s="27" t="e">
        <f ca="1">_xludf.GAMMA.INV(T610,'04_PSA_INPUTS'!H7,'04_PSA_INPUTS'!I7)</f>
        <v>#NAME?</v>
      </c>
      <c r="E610" s="27" t="e">
        <f ca="1">_xludf.GAMMA.INV(U610,'04_PSA_INPUTS'!H8,'04_PSA_INPUTS'!I8)</f>
        <v>#NAME?</v>
      </c>
      <c r="F610" s="27" t="e">
        <f ca="1">_xludf.GAMMA.INV(V610,'04_PSA_INPUTS'!H9,'04_PSA_INPUTS'!I9)</f>
        <v>#NAME?</v>
      </c>
      <c r="G610" s="23" t="e">
        <f ca="1">_xludf.BETA.INV(W610,'04_PSA_INPUTS'!H10,'04_PSA_INPUTS'!I10)</f>
        <v>#NAME?</v>
      </c>
      <c r="H610" s="23" t="e">
        <f ca="1">_xludf.BETA.INV(X610,'04_PSA_INPUTS'!H11,'04_PSA_INPUTS'!I11)</f>
        <v>#NAME?</v>
      </c>
      <c r="I610" s="27" t="e">
        <f ca="1">D610+B610*F610+'01_INPUTS'!B20</f>
        <v>#NAME?</v>
      </c>
      <c r="J610" s="27" t="e">
        <f ca="1">E610+C610*F610+'01_INPUTS'!B21</f>
        <v>#NAME?</v>
      </c>
      <c r="K610" s="27" t="e">
        <f t="shared" ca="1" si="54"/>
        <v>#NAME?</v>
      </c>
      <c r="L610" s="23" t="e">
        <f t="shared" ca="1" si="55"/>
        <v>#NAME?</v>
      </c>
      <c r="M610" s="23" t="e">
        <f t="shared" ca="1" si="56"/>
        <v>#NAME?</v>
      </c>
      <c r="N610" s="23" t="e">
        <f t="shared" ca="1" si="57"/>
        <v>#NAME?</v>
      </c>
      <c r="O610" s="27" t="e">
        <f t="shared" ca="1" si="58"/>
        <v>#NAME?</v>
      </c>
      <c r="P610" s="27" t="e">
        <f ca="1">'01_INPUTS'!B9*N610-K610</f>
        <v>#NAME?</v>
      </c>
      <c r="Q610" s="1" t="e">
        <f t="shared" ca="1" si="59"/>
        <v>#NAME?</v>
      </c>
      <c r="R610" s="28">
        <v>0.78466915292665362</v>
      </c>
      <c r="S610" s="28">
        <v>6.7619962384924293E-2</v>
      </c>
      <c r="T610" s="28">
        <v>0.28839887352660298</v>
      </c>
      <c r="U610" s="28">
        <v>0.50600507436320186</v>
      </c>
      <c r="V610" s="28">
        <v>0.61056925961747766</v>
      </c>
      <c r="W610" s="28">
        <v>0.78351601958274841</v>
      </c>
      <c r="X610" s="28">
        <v>0.87583828205242753</v>
      </c>
    </row>
    <row r="611" spans="1:24" ht="13.9">
      <c r="A611" s="1">
        <v>610</v>
      </c>
      <c r="B611" s="23" t="e">
        <f ca="1">_xludf.BETA.INV(R611,'04_PSA_INPUTS'!H5,'04_PSA_INPUTS'!I5)</f>
        <v>#NAME?</v>
      </c>
      <c r="C611" s="23" t="e">
        <f ca="1">_xludf.BETA.INV(S611,'04_PSA_INPUTS'!H6,'04_PSA_INPUTS'!I6)</f>
        <v>#NAME?</v>
      </c>
      <c r="D611" s="27" t="e">
        <f ca="1">_xludf.GAMMA.INV(T611,'04_PSA_INPUTS'!H7,'04_PSA_INPUTS'!I7)</f>
        <v>#NAME?</v>
      </c>
      <c r="E611" s="27" t="e">
        <f ca="1">_xludf.GAMMA.INV(U611,'04_PSA_INPUTS'!H8,'04_PSA_INPUTS'!I8)</f>
        <v>#NAME?</v>
      </c>
      <c r="F611" s="27" t="e">
        <f ca="1">_xludf.GAMMA.INV(V611,'04_PSA_INPUTS'!H9,'04_PSA_INPUTS'!I9)</f>
        <v>#NAME?</v>
      </c>
      <c r="G611" s="23" t="e">
        <f ca="1">_xludf.BETA.INV(W611,'04_PSA_INPUTS'!H10,'04_PSA_INPUTS'!I10)</f>
        <v>#NAME?</v>
      </c>
      <c r="H611" s="23" t="e">
        <f ca="1">_xludf.BETA.INV(X611,'04_PSA_INPUTS'!H11,'04_PSA_INPUTS'!I11)</f>
        <v>#NAME?</v>
      </c>
      <c r="I611" s="27" t="e">
        <f ca="1">D611+B611*F611+'01_INPUTS'!B20</f>
        <v>#NAME?</v>
      </c>
      <c r="J611" s="27" t="e">
        <f ca="1">E611+C611*F611+'01_INPUTS'!B21</f>
        <v>#NAME?</v>
      </c>
      <c r="K611" s="27" t="e">
        <f t="shared" ca="1" si="54"/>
        <v>#NAME?</v>
      </c>
      <c r="L611" s="23" t="e">
        <f t="shared" ca="1" si="55"/>
        <v>#NAME?</v>
      </c>
      <c r="M611" s="23" t="e">
        <f t="shared" ca="1" si="56"/>
        <v>#NAME?</v>
      </c>
      <c r="N611" s="23" t="e">
        <f t="shared" ca="1" si="57"/>
        <v>#NAME?</v>
      </c>
      <c r="O611" s="27" t="e">
        <f t="shared" ca="1" si="58"/>
        <v>#NAME?</v>
      </c>
      <c r="P611" s="27" t="e">
        <f ca="1">'01_INPUTS'!B9*N611-K611</f>
        <v>#NAME?</v>
      </c>
      <c r="Q611" s="1" t="e">
        <f t="shared" ca="1" si="59"/>
        <v>#NAME?</v>
      </c>
      <c r="R611" s="28">
        <v>0.89899564301595092</v>
      </c>
      <c r="S611" s="28">
        <v>0.6044482160359621</v>
      </c>
      <c r="T611" s="28">
        <v>0.3482928560115397</v>
      </c>
      <c r="U611" s="28">
        <v>0.60689966543577611</v>
      </c>
      <c r="V611" s="28">
        <v>0.36272703832946718</v>
      </c>
      <c r="W611" s="28">
        <v>0.87955580418929458</v>
      </c>
      <c r="X611" s="28">
        <v>0.1275661161635071</v>
      </c>
    </row>
    <row r="612" spans="1:24" ht="13.9">
      <c r="A612" s="1">
        <v>611</v>
      </c>
      <c r="B612" s="23" t="e">
        <f ca="1">_xludf.BETA.INV(R612,'04_PSA_INPUTS'!H5,'04_PSA_INPUTS'!I5)</f>
        <v>#NAME?</v>
      </c>
      <c r="C612" s="23" t="e">
        <f ca="1">_xludf.BETA.INV(S612,'04_PSA_INPUTS'!H6,'04_PSA_INPUTS'!I6)</f>
        <v>#NAME?</v>
      </c>
      <c r="D612" s="27" t="e">
        <f ca="1">_xludf.GAMMA.INV(T612,'04_PSA_INPUTS'!H7,'04_PSA_INPUTS'!I7)</f>
        <v>#NAME?</v>
      </c>
      <c r="E612" s="27" t="e">
        <f ca="1">_xludf.GAMMA.INV(U612,'04_PSA_INPUTS'!H8,'04_PSA_INPUTS'!I8)</f>
        <v>#NAME?</v>
      </c>
      <c r="F612" s="27" t="e">
        <f ca="1">_xludf.GAMMA.INV(V612,'04_PSA_INPUTS'!H9,'04_PSA_INPUTS'!I9)</f>
        <v>#NAME?</v>
      </c>
      <c r="G612" s="23" t="e">
        <f ca="1">_xludf.BETA.INV(W612,'04_PSA_INPUTS'!H10,'04_PSA_INPUTS'!I10)</f>
        <v>#NAME?</v>
      </c>
      <c r="H612" s="23" t="e">
        <f ca="1">_xludf.BETA.INV(X612,'04_PSA_INPUTS'!H11,'04_PSA_INPUTS'!I11)</f>
        <v>#NAME?</v>
      </c>
      <c r="I612" s="27" t="e">
        <f ca="1">D612+B612*F612+'01_INPUTS'!B20</f>
        <v>#NAME?</v>
      </c>
      <c r="J612" s="27" t="e">
        <f ca="1">E612+C612*F612+'01_INPUTS'!B21</f>
        <v>#NAME?</v>
      </c>
      <c r="K612" s="27" t="e">
        <f t="shared" ca="1" si="54"/>
        <v>#NAME?</v>
      </c>
      <c r="L612" s="23" t="e">
        <f t="shared" ca="1" si="55"/>
        <v>#NAME?</v>
      </c>
      <c r="M612" s="23" t="e">
        <f t="shared" ca="1" si="56"/>
        <v>#NAME?</v>
      </c>
      <c r="N612" s="23" t="e">
        <f t="shared" ca="1" si="57"/>
        <v>#NAME?</v>
      </c>
      <c r="O612" s="27" t="e">
        <f t="shared" ca="1" si="58"/>
        <v>#NAME?</v>
      </c>
      <c r="P612" s="27" t="e">
        <f ca="1">'01_INPUTS'!B9*N612-K612</f>
        <v>#NAME?</v>
      </c>
      <c r="Q612" s="1" t="e">
        <f t="shared" ca="1" si="59"/>
        <v>#NAME?</v>
      </c>
      <c r="R612" s="28">
        <v>0.38566067791543901</v>
      </c>
      <c r="S612" s="28">
        <v>0.10213945945724845</v>
      </c>
      <c r="T612" s="28">
        <v>0.44039665628224611</v>
      </c>
      <c r="U612" s="28">
        <v>0.61482102330774069</v>
      </c>
      <c r="V612" s="28">
        <v>0.5130039060022682</v>
      </c>
      <c r="W612" s="28">
        <v>0.48177572339773178</v>
      </c>
      <c r="X612" s="28">
        <v>0.1844943652395159</v>
      </c>
    </row>
    <row r="613" spans="1:24" ht="13.9">
      <c r="A613" s="1">
        <v>612</v>
      </c>
      <c r="B613" s="23" t="e">
        <f ca="1">_xludf.BETA.INV(R613,'04_PSA_INPUTS'!H5,'04_PSA_INPUTS'!I5)</f>
        <v>#NAME?</v>
      </c>
      <c r="C613" s="23" t="e">
        <f ca="1">_xludf.BETA.INV(S613,'04_PSA_INPUTS'!H6,'04_PSA_INPUTS'!I6)</f>
        <v>#NAME?</v>
      </c>
      <c r="D613" s="27" t="e">
        <f ca="1">_xludf.GAMMA.INV(T613,'04_PSA_INPUTS'!H7,'04_PSA_INPUTS'!I7)</f>
        <v>#NAME?</v>
      </c>
      <c r="E613" s="27" t="e">
        <f ca="1">_xludf.GAMMA.INV(U613,'04_PSA_INPUTS'!H8,'04_PSA_INPUTS'!I8)</f>
        <v>#NAME?</v>
      </c>
      <c r="F613" s="27" t="e">
        <f ca="1">_xludf.GAMMA.INV(V613,'04_PSA_INPUTS'!H9,'04_PSA_INPUTS'!I9)</f>
        <v>#NAME?</v>
      </c>
      <c r="G613" s="23" t="e">
        <f ca="1">_xludf.BETA.INV(W613,'04_PSA_INPUTS'!H10,'04_PSA_INPUTS'!I10)</f>
        <v>#NAME?</v>
      </c>
      <c r="H613" s="23" t="e">
        <f ca="1">_xludf.BETA.INV(X613,'04_PSA_INPUTS'!H11,'04_PSA_INPUTS'!I11)</f>
        <v>#NAME?</v>
      </c>
      <c r="I613" s="27" t="e">
        <f ca="1">D613+B613*F613+'01_INPUTS'!B20</f>
        <v>#NAME?</v>
      </c>
      <c r="J613" s="27" t="e">
        <f ca="1">E613+C613*F613+'01_INPUTS'!B21</f>
        <v>#NAME?</v>
      </c>
      <c r="K613" s="27" t="e">
        <f t="shared" ca="1" si="54"/>
        <v>#NAME?</v>
      </c>
      <c r="L613" s="23" t="e">
        <f t="shared" ca="1" si="55"/>
        <v>#NAME?</v>
      </c>
      <c r="M613" s="23" t="e">
        <f t="shared" ca="1" si="56"/>
        <v>#NAME?</v>
      </c>
      <c r="N613" s="23" t="e">
        <f t="shared" ca="1" si="57"/>
        <v>#NAME?</v>
      </c>
      <c r="O613" s="27" t="e">
        <f t="shared" ca="1" si="58"/>
        <v>#NAME?</v>
      </c>
      <c r="P613" s="27" t="e">
        <f ca="1">'01_INPUTS'!B9*N613-K613</f>
        <v>#NAME?</v>
      </c>
      <c r="Q613" s="1" t="e">
        <f t="shared" ca="1" si="59"/>
        <v>#NAME?</v>
      </c>
      <c r="R613" s="28">
        <v>0.74742267094552517</v>
      </c>
      <c r="S613" s="28">
        <v>0.62301200325600803</v>
      </c>
      <c r="T613" s="28">
        <v>0.58567068842239678</v>
      </c>
      <c r="U613" s="28">
        <v>0.23357165209017694</v>
      </c>
      <c r="V613" s="28">
        <v>0.67532180692069232</v>
      </c>
      <c r="W613" s="28">
        <v>0.24543913244269788</v>
      </c>
      <c r="X613" s="28">
        <v>0.359952453058213</v>
      </c>
    </row>
    <row r="614" spans="1:24" ht="13.9">
      <c r="A614" s="1">
        <v>613</v>
      </c>
      <c r="B614" s="23" t="e">
        <f ca="1">_xludf.BETA.INV(R614,'04_PSA_INPUTS'!H5,'04_PSA_INPUTS'!I5)</f>
        <v>#NAME?</v>
      </c>
      <c r="C614" s="23" t="e">
        <f ca="1">_xludf.BETA.INV(S614,'04_PSA_INPUTS'!H6,'04_PSA_INPUTS'!I6)</f>
        <v>#NAME?</v>
      </c>
      <c r="D614" s="27" t="e">
        <f ca="1">_xludf.GAMMA.INV(T614,'04_PSA_INPUTS'!H7,'04_PSA_INPUTS'!I7)</f>
        <v>#NAME?</v>
      </c>
      <c r="E614" s="27" t="e">
        <f ca="1">_xludf.GAMMA.INV(U614,'04_PSA_INPUTS'!H8,'04_PSA_INPUTS'!I8)</f>
        <v>#NAME?</v>
      </c>
      <c r="F614" s="27" t="e">
        <f ca="1">_xludf.GAMMA.INV(V614,'04_PSA_INPUTS'!H9,'04_PSA_INPUTS'!I9)</f>
        <v>#NAME?</v>
      </c>
      <c r="G614" s="23" t="e">
        <f ca="1">_xludf.BETA.INV(W614,'04_PSA_INPUTS'!H10,'04_PSA_INPUTS'!I10)</f>
        <v>#NAME?</v>
      </c>
      <c r="H614" s="23" t="e">
        <f ca="1">_xludf.BETA.INV(X614,'04_PSA_INPUTS'!H11,'04_PSA_INPUTS'!I11)</f>
        <v>#NAME?</v>
      </c>
      <c r="I614" s="27" t="e">
        <f ca="1">D614+B614*F614+'01_INPUTS'!B20</f>
        <v>#NAME?</v>
      </c>
      <c r="J614" s="27" t="e">
        <f ca="1">E614+C614*F614+'01_INPUTS'!B21</f>
        <v>#NAME?</v>
      </c>
      <c r="K614" s="27" t="e">
        <f t="shared" ca="1" si="54"/>
        <v>#NAME?</v>
      </c>
      <c r="L614" s="23" t="e">
        <f t="shared" ca="1" si="55"/>
        <v>#NAME?</v>
      </c>
      <c r="M614" s="23" t="e">
        <f t="shared" ca="1" si="56"/>
        <v>#NAME?</v>
      </c>
      <c r="N614" s="23" t="e">
        <f t="shared" ca="1" si="57"/>
        <v>#NAME?</v>
      </c>
      <c r="O614" s="27" t="e">
        <f t="shared" ca="1" si="58"/>
        <v>#NAME?</v>
      </c>
      <c r="P614" s="27" t="e">
        <f ca="1">'01_INPUTS'!B9*N614-K614</f>
        <v>#NAME?</v>
      </c>
      <c r="Q614" s="1" t="e">
        <f t="shared" ca="1" si="59"/>
        <v>#NAME?</v>
      </c>
      <c r="R614" s="28">
        <v>0.36041067959740758</v>
      </c>
      <c r="S614" s="28">
        <v>0.65698712412267923</v>
      </c>
      <c r="T614" s="28">
        <v>0.35406237072311342</v>
      </c>
      <c r="U614" s="28">
        <v>0.47259279014542699</v>
      </c>
      <c r="V614" s="28">
        <v>0.78084284090436995</v>
      </c>
      <c r="W614" s="28">
        <v>0.81253880425356328</v>
      </c>
      <c r="X614" s="28">
        <v>0.42695209034718573</v>
      </c>
    </row>
    <row r="615" spans="1:24" ht="13.9">
      <c r="A615" s="1">
        <v>614</v>
      </c>
      <c r="B615" s="23" t="e">
        <f ca="1">_xludf.BETA.INV(R615,'04_PSA_INPUTS'!H5,'04_PSA_INPUTS'!I5)</f>
        <v>#NAME?</v>
      </c>
      <c r="C615" s="23" t="e">
        <f ca="1">_xludf.BETA.INV(S615,'04_PSA_INPUTS'!H6,'04_PSA_INPUTS'!I6)</f>
        <v>#NAME?</v>
      </c>
      <c r="D615" s="27" t="e">
        <f ca="1">_xludf.GAMMA.INV(T615,'04_PSA_INPUTS'!H7,'04_PSA_INPUTS'!I7)</f>
        <v>#NAME?</v>
      </c>
      <c r="E615" s="27" t="e">
        <f ca="1">_xludf.GAMMA.INV(U615,'04_PSA_INPUTS'!H8,'04_PSA_INPUTS'!I8)</f>
        <v>#NAME?</v>
      </c>
      <c r="F615" s="27" t="e">
        <f ca="1">_xludf.GAMMA.INV(V615,'04_PSA_INPUTS'!H9,'04_PSA_INPUTS'!I9)</f>
        <v>#NAME?</v>
      </c>
      <c r="G615" s="23" t="e">
        <f ca="1">_xludf.BETA.INV(W615,'04_PSA_INPUTS'!H10,'04_PSA_INPUTS'!I10)</f>
        <v>#NAME?</v>
      </c>
      <c r="H615" s="23" t="e">
        <f ca="1">_xludf.BETA.INV(X615,'04_PSA_INPUTS'!H11,'04_PSA_INPUTS'!I11)</f>
        <v>#NAME?</v>
      </c>
      <c r="I615" s="27" t="e">
        <f ca="1">D615+B615*F615+'01_INPUTS'!B20</f>
        <v>#NAME?</v>
      </c>
      <c r="J615" s="27" t="e">
        <f ca="1">E615+C615*F615+'01_INPUTS'!B21</f>
        <v>#NAME?</v>
      </c>
      <c r="K615" s="27" t="e">
        <f t="shared" ca="1" si="54"/>
        <v>#NAME?</v>
      </c>
      <c r="L615" s="23" t="e">
        <f t="shared" ca="1" si="55"/>
        <v>#NAME?</v>
      </c>
      <c r="M615" s="23" t="e">
        <f t="shared" ca="1" si="56"/>
        <v>#NAME?</v>
      </c>
      <c r="N615" s="23" t="e">
        <f t="shared" ca="1" si="57"/>
        <v>#NAME?</v>
      </c>
      <c r="O615" s="27" t="e">
        <f t="shared" ca="1" si="58"/>
        <v>#NAME?</v>
      </c>
      <c r="P615" s="27" t="e">
        <f ca="1">'01_INPUTS'!B9*N615-K615</f>
        <v>#NAME?</v>
      </c>
      <c r="Q615" s="1" t="e">
        <f t="shared" ca="1" si="59"/>
        <v>#NAME?</v>
      </c>
      <c r="R615" s="28">
        <v>0.2280123324599117</v>
      </c>
      <c r="S615" s="28">
        <v>0.98841871856711805</v>
      </c>
      <c r="T615" s="28">
        <v>0.52971817646175623</v>
      </c>
      <c r="U615" s="28">
        <v>0.82417057827115059</v>
      </c>
      <c r="V615" s="28">
        <v>0.88810798106715083</v>
      </c>
      <c r="W615" s="28">
        <v>0.22374831652268767</v>
      </c>
      <c r="X615" s="28">
        <v>0.74588892864994705</v>
      </c>
    </row>
    <row r="616" spans="1:24" ht="13.9">
      <c r="A616" s="1">
        <v>615</v>
      </c>
      <c r="B616" s="23" t="e">
        <f ca="1">_xludf.BETA.INV(R616,'04_PSA_INPUTS'!H5,'04_PSA_INPUTS'!I5)</f>
        <v>#NAME?</v>
      </c>
      <c r="C616" s="23" t="e">
        <f ca="1">_xludf.BETA.INV(S616,'04_PSA_INPUTS'!H6,'04_PSA_INPUTS'!I6)</f>
        <v>#NAME?</v>
      </c>
      <c r="D616" s="27" t="e">
        <f ca="1">_xludf.GAMMA.INV(T616,'04_PSA_INPUTS'!H7,'04_PSA_INPUTS'!I7)</f>
        <v>#NAME?</v>
      </c>
      <c r="E616" s="27" t="e">
        <f ca="1">_xludf.GAMMA.INV(U616,'04_PSA_INPUTS'!H8,'04_PSA_INPUTS'!I8)</f>
        <v>#NAME?</v>
      </c>
      <c r="F616" s="27" t="e">
        <f ca="1">_xludf.GAMMA.INV(V616,'04_PSA_INPUTS'!H9,'04_PSA_INPUTS'!I9)</f>
        <v>#NAME?</v>
      </c>
      <c r="G616" s="23" t="e">
        <f ca="1">_xludf.BETA.INV(W616,'04_PSA_INPUTS'!H10,'04_PSA_INPUTS'!I10)</f>
        <v>#NAME?</v>
      </c>
      <c r="H616" s="23" t="e">
        <f ca="1">_xludf.BETA.INV(X616,'04_PSA_INPUTS'!H11,'04_PSA_INPUTS'!I11)</f>
        <v>#NAME?</v>
      </c>
      <c r="I616" s="27" t="e">
        <f ca="1">D616+B616*F616+'01_INPUTS'!B20</f>
        <v>#NAME?</v>
      </c>
      <c r="J616" s="27" t="e">
        <f ca="1">E616+C616*F616+'01_INPUTS'!B21</f>
        <v>#NAME?</v>
      </c>
      <c r="K616" s="27" t="e">
        <f t="shared" ca="1" si="54"/>
        <v>#NAME?</v>
      </c>
      <c r="L616" s="23" t="e">
        <f t="shared" ca="1" si="55"/>
        <v>#NAME?</v>
      </c>
      <c r="M616" s="23" t="e">
        <f t="shared" ca="1" si="56"/>
        <v>#NAME?</v>
      </c>
      <c r="N616" s="23" t="e">
        <f t="shared" ca="1" si="57"/>
        <v>#NAME?</v>
      </c>
      <c r="O616" s="27" t="e">
        <f t="shared" ca="1" si="58"/>
        <v>#NAME?</v>
      </c>
      <c r="P616" s="27" t="e">
        <f ca="1">'01_INPUTS'!B9*N616-K616</f>
        <v>#NAME?</v>
      </c>
      <c r="Q616" s="1" t="e">
        <f t="shared" ca="1" si="59"/>
        <v>#NAME?</v>
      </c>
      <c r="R616" s="28">
        <v>0.53929952462203801</v>
      </c>
      <c r="S616" s="28">
        <v>0.61834675935097039</v>
      </c>
      <c r="T616" s="28">
        <v>0.2309014496859163</v>
      </c>
      <c r="U616" s="28">
        <v>0.41826809011399746</v>
      </c>
      <c r="V616" s="28">
        <v>0.38300469820387661</v>
      </c>
      <c r="W616" s="28">
        <v>0.37038068962283432</v>
      </c>
      <c r="X616" s="28">
        <v>0.68382749846205115</v>
      </c>
    </row>
    <row r="617" spans="1:24" ht="13.9">
      <c r="A617" s="1">
        <v>616</v>
      </c>
      <c r="B617" s="23" t="e">
        <f ca="1">_xludf.BETA.INV(R617,'04_PSA_INPUTS'!H5,'04_PSA_INPUTS'!I5)</f>
        <v>#NAME?</v>
      </c>
      <c r="C617" s="23" t="e">
        <f ca="1">_xludf.BETA.INV(S617,'04_PSA_INPUTS'!H6,'04_PSA_INPUTS'!I6)</f>
        <v>#NAME?</v>
      </c>
      <c r="D617" s="27" t="e">
        <f ca="1">_xludf.GAMMA.INV(T617,'04_PSA_INPUTS'!H7,'04_PSA_INPUTS'!I7)</f>
        <v>#NAME?</v>
      </c>
      <c r="E617" s="27" t="e">
        <f ca="1">_xludf.GAMMA.INV(U617,'04_PSA_INPUTS'!H8,'04_PSA_INPUTS'!I8)</f>
        <v>#NAME?</v>
      </c>
      <c r="F617" s="27" t="e">
        <f ca="1">_xludf.GAMMA.INV(V617,'04_PSA_INPUTS'!H9,'04_PSA_INPUTS'!I9)</f>
        <v>#NAME?</v>
      </c>
      <c r="G617" s="23" t="e">
        <f ca="1">_xludf.BETA.INV(W617,'04_PSA_INPUTS'!H10,'04_PSA_INPUTS'!I10)</f>
        <v>#NAME?</v>
      </c>
      <c r="H617" s="23" t="e">
        <f ca="1">_xludf.BETA.INV(X617,'04_PSA_INPUTS'!H11,'04_PSA_INPUTS'!I11)</f>
        <v>#NAME?</v>
      </c>
      <c r="I617" s="27" t="e">
        <f ca="1">D617+B617*F617+'01_INPUTS'!B20</f>
        <v>#NAME?</v>
      </c>
      <c r="J617" s="27" t="e">
        <f ca="1">E617+C617*F617+'01_INPUTS'!B21</f>
        <v>#NAME?</v>
      </c>
      <c r="K617" s="27" t="e">
        <f t="shared" ca="1" si="54"/>
        <v>#NAME?</v>
      </c>
      <c r="L617" s="23" t="e">
        <f t="shared" ca="1" si="55"/>
        <v>#NAME?</v>
      </c>
      <c r="M617" s="23" t="e">
        <f t="shared" ca="1" si="56"/>
        <v>#NAME?</v>
      </c>
      <c r="N617" s="23" t="e">
        <f t="shared" ca="1" si="57"/>
        <v>#NAME?</v>
      </c>
      <c r="O617" s="27" t="e">
        <f t="shared" ca="1" si="58"/>
        <v>#NAME?</v>
      </c>
      <c r="P617" s="27" t="e">
        <f ca="1">'01_INPUTS'!B9*N617-K617</f>
        <v>#NAME?</v>
      </c>
      <c r="Q617" s="1" t="e">
        <f t="shared" ca="1" si="59"/>
        <v>#NAME?</v>
      </c>
      <c r="R617" s="28">
        <v>0.98927896842360497</v>
      </c>
      <c r="S617" s="28">
        <v>0.46332427416928113</v>
      </c>
      <c r="T617" s="28">
        <v>0.17228210251778364</v>
      </c>
      <c r="U617" s="28">
        <v>0.80760242720134556</v>
      </c>
      <c r="V617" s="28">
        <v>0.65060395933687687</v>
      </c>
      <c r="W617" s="28">
        <v>0.37404121365398169</v>
      </c>
      <c r="X617" s="28">
        <v>0.11970073194243014</v>
      </c>
    </row>
    <row r="618" spans="1:24" ht="13.9">
      <c r="A618" s="1">
        <v>617</v>
      </c>
      <c r="B618" s="23" t="e">
        <f ca="1">_xludf.BETA.INV(R618,'04_PSA_INPUTS'!H5,'04_PSA_INPUTS'!I5)</f>
        <v>#NAME?</v>
      </c>
      <c r="C618" s="23" t="e">
        <f ca="1">_xludf.BETA.INV(S618,'04_PSA_INPUTS'!H6,'04_PSA_INPUTS'!I6)</f>
        <v>#NAME?</v>
      </c>
      <c r="D618" s="27" t="e">
        <f ca="1">_xludf.GAMMA.INV(T618,'04_PSA_INPUTS'!H7,'04_PSA_INPUTS'!I7)</f>
        <v>#NAME?</v>
      </c>
      <c r="E618" s="27" t="e">
        <f ca="1">_xludf.GAMMA.INV(U618,'04_PSA_INPUTS'!H8,'04_PSA_INPUTS'!I8)</f>
        <v>#NAME?</v>
      </c>
      <c r="F618" s="27" t="e">
        <f ca="1">_xludf.GAMMA.INV(V618,'04_PSA_INPUTS'!H9,'04_PSA_INPUTS'!I9)</f>
        <v>#NAME?</v>
      </c>
      <c r="G618" s="23" t="e">
        <f ca="1">_xludf.BETA.INV(W618,'04_PSA_INPUTS'!H10,'04_PSA_INPUTS'!I10)</f>
        <v>#NAME?</v>
      </c>
      <c r="H618" s="23" t="e">
        <f ca="1">_xludf.BETA.INV(X618,'04_PSA_INPUTS'!H11,'04_PSA_INPUTS'!I11)</f>
        <v>#NAME?</v>
      </c>
      <c r="I618" s="27" t="e">
        <f ca="1">D618+B618*F618+'01_INPUTS'!B20</f>
        <v>#NAME?</v>
      </c>
      <c r="J618" s="27" t="e">
        <f ca="1">E618+C618*F618+'01_INPUTS'!B21</f>
        <v>#NAME?</v>
      </c>
      <c r="K618" s="27" t="e">
        <f t="shared" ca="1" si="54"/>
        <v>#NAME?</v>
      </c>
      <c r="L618" s="23" t="e">
        <f t="shared" ca="1" si="55"/>
        <v>#NAME?</v>
      </c>
      <c r="M618" s="23" t="e">
        <f t="shared" ca="1" si="56"/>
        <v>#NAME?</v>
      </c>
      <c r="N618" s="23" t="e">
        <f t="shared" ca="1" si="57"/>
        <v>#NAME?</v>
      </c>
      <c r="O618" s="27" t="e">
        <f t="shared" ca="1" si="58"/>
        <v>#NAME?</v>
      </c>
      <c r="P618" s="27" t="e">
        <f ca="1">'01_INPUTS'!B9*N618-K618</f>
        <v>#NAME?</v>
      </c>
      <c r="Q618" s="1" t="e">
        <f t="shared" ca="1" si="59"/>
        <v>#NAME?</v>
      </c>
      <c r="R618" s="28">
        <v>0.78068176424130797</v>
      </c>
      <c r="S618" s="28">
        <v>0.54034401848912239</v>
      </c>
      <c r="T618" s="28">
        <v>0.82888206071220338</v>
      </c>
      <c r="U618" s="28">
        <v>0.40913162077777088</v>
      </c>
      <c r="V618" s="28">
        <v>0.60197069519199431</v>
      </c>
      <c r="W618" s="28">
        <v>0.78178448975086212</v>
      </c>
      <c r="X618" s="28">
        <v>0.92064734362065792</v>
      </c>
    </row>
    <row r="619" spans="1:24" ht="13.9">
      <c r="A619" s="1">
        <v>618</v>
      </c>
      <c r="B619" s="23" t="e">
        <f ca="1">_xludf.BETA.INV(R619,'04_PSA_INPUTS'!H5,'04_PSA_INPUTS'!I5)</f>
        <v>#NAME?</v>
      </c>
      <c r="C619" s="23" t="e">
        <f ca="1">_xludf.BETA.INV(S619,'04_PSA_INPUTS'!H6,'04_PSA_INPUTS'!I6)</f>
        <v>#NAME?</v>
      </c>
      <c r="D619" s="27" t="e">
        <f ca="1">_xludf.GAMMA.INV(T619,'04_PSA_INPUTS'!H7,'04_PSA_INPUTS'!I7)</f>
        <v>#NAME?</v>
      </c>
      <c r="E619" s="27" t="e">
        <f ca="1">_xludf.GAMMA.INV(U619,'04_PSA_INPUTS'!H8,'04_PSA_INPUTS'!I8)</f>
        <v>#NAME?</v>
      </c>
      <c r="F619" s="27" t="e">
        <f ca="1">_xludf.GAMMA.INV(V619,'04_PSA_INPUTS'!H9,'04_PSA_INPUTS'!I9)</f>
        <v>#NAME?</v>
      </c>
      <c r="G619" s="23" t="e">
        <f ca="1">_xludf.BETA.INV(W619,'04_PSA_INPUTS'!H10,'04_PSA_INPUTS'!I10)</f>
        <v>#NAME?</v>
      </c>
      <c r="H619" s="23" t="e">
        <f ca="1">_xludf.BETA.INV(X619,'04_PSA_INPUTS'!H11,'04_PSA_INPUTS'!I11)</f>
        <v>#NAME?</v>
      </c>
      <c r="I619" s="27" t="e">
        <f ca="1">D619+B619*F619+'01_INPUTS'!B20</f>
        <v>#NAME?</v>
      </c>
      <c r="J619" s="27" t="e">
        <f ca="1">E619+C619*F619+'01_INPUTS'!B21</f>
        <v>#NAME?</v>
      </c>
      <c r="K619" s="27" t="e">
        <f t="shared" ca="1" si="54"/>
        <v>#NAME?</v>
      </c>
      <c r="L619" s="23" t="e">
        <f t="shared" ca="1" si="55"/>
        <v>#NAME?</v>
      </c>
      <c r="M619" s="23" t="e">
        <f t="shared" ca="1" si="56"/>
        <v>#NAME?</v>
      </c>
      <c r="N619" s="23" t="e">
        <f t="shared" ca="1" si="57"/>
        <v>#NAME?</v>
      </c>
      <c r="O619" s="27" t="e">
        <f t="shared" ca="1" si="58"/>
        <v>#NAME?</v>
      </c>
      <c r="P619" s="27" t="e">
        <f ca="1">'01_INPUTS'!B9*N619-K619</f>
        <v>#NAME?</v>
      </c>
      <c r="Q619" s="1" t="e">
        <f t="shared" ca="1" si="59"/>
        <v>#NAME?</v>
      </c>
      <c r="R619" s="28">
        <v>0.76549228630028665</v>
      </c>
      <c r="S619" s="28">
        <v>0.60867383284494281</v>
      </c>
      <c r="T619" s="28">
        <v>0.48124910518527031</v>
      </c>
      <c r="U619" s="28">
        <v>0.49674334074370563</v>
      </c>
      <c r="V619" s="28">
        <v>0.341432751622051</v>
      </c>
      <c r="W619" s="28">
        <v>8.2510583335533738E-2</v>
      </c>
      <c r="X619" s="28">
        <v>0.20302378688938916</v>
      </c>
    </row>
    <row r="620" spans="1:24" ht="13.9">
      <c r="A620" s="1">
        <v>619</v>
      </c>
      <c r="B620" s="23" t="e">
        <f ca="1">_xludf.BETA.INV(R620,'04_PSA_INPUTS'!H5,'04_PSA_INPUTS'!I5)</f>
        <v>#NAME?</v>
      </c>
      <c r="C620" s="23" t="e">
        <f ca="1">_xludf.BETA.INV(S620,'04_PSA_INPUTS'!H6,'04_PSA_INPUTS'!I6)</f>
        <v>#NAME?</v>
      </c>
      <c r="D620" s="27" t="e">
        <f ca="1">_xludf.GAMMA.INV(T620,'04_PSA_INPUTS'!H7,'04_PSA_INPUTS'!I7)</f>
        <v>#NAME?</v>
      </c>
      <c r="E620" s="27" t="e">
        <f ca="1">_xludf.GAMMA.INV(U620,'04_PSA_INPUTS'!H8,'04_PSA_INPUTS'!I8)</f>
        <v>#NAME?</v>
      </c>
      <c r="F620" s="27" t="e">
        <f ca="1">_xludf.GAMMA.INV(V620,'04_PSA_INPUTS'!H9,'04_PSA_INPUTS'!I9)</f>
        <v>#NAME?</v>
      </c>
      <c r="G620" s="23" t="e">
        <f ca="1">_xludf.BETA.INV(W620,'04_PSA_INPUTS'!H10,'04_PSA_INPUTS'!I10)</f>
        <v>#NAME?</v>
      </c>
      <c r="H620" s="23" t="e">
        <f ca="1">_xludf.BETA.INV(X620,'04_PSA_INPUTS'!H11,'04_PSA_INPUTS'!I11)</f>
        <v>#NAME?</v>
      </c>
      <c r="I620" s="27" t="e">
        <f ca="1">D620+B620*F620+'01_INPUTS'!B20</f>
        <v>#NAME?</v>
      </c>
      <c r="J620" s="27" t="e">
        <f ca="1">E620+C620*F620+'01_INPUTS'!B21</f>
        <v>#NAME?</v>
      </c>
      <c r="K620" s="27" t="e">
        <f t="shared" ca="1" si="54"/>
        <v>#NAME?</v>
      </c>
      <c r="L620" s="23" t="e">
        <f t="shared" ca="1" si="55"/>
        <v>#NAME?</v>
      </c>
      <c r="M620" s="23" t="e">
        <f t="shared" ca="1" si="56"/>
        <v>#NAME?</v>
      </c>
      <c r="N620" s="23" t="e">
        <f t="shared" ca="1" si="57"/>
        <v>#NAME?</v>
      </c>
      <c r="O620" s="27" t="e">
        <f t="shared" ca="1" si="58"/>
        <v>#NAME?</v>
      </c>
      <c r="P620" s="27" t="e">
        <f ca="1">'01_INPUTS'!B9*N620-K620</f>
        <v>#NAME?</v>
      </c>
      <c r="Q620" s="1" t="e">
        <f t="shared" ca="1" si="59"/>
        <v>#NAME?</v>
      </c>
      <c r="R620" s="28">
        <v>0.71067619090899825</v>
      </c>
      <c r="S620" s="28">
        <v>0.62761686742305756</v>
      </c>
      <c r="T620" s="28">
        <v>0.4082208841573447</v>
      </c>
      <c r="U620" s="28">
        <v>6.796952011063695E-2</v>
      </c>
      <c r="V620" s="28">
        <v>0.87259966903366148</v>
      </c>
      <c r="W620" s="28">
        <v>0.30816257372498512</v>
      </c>
      <c r="X620" s="28">
        <v>3.8567903218790889E-2</v>
      </c>
    </row>
    <row r="621" spans="1:24" ht="13.9">
      <c r="A621" s="1">
        <v>620</v>
      </c>
      <c r="B621" s="23" t="e">
        <f ca="1">_xludf.BETA.INV(R621,'04_PSA_INPUTS'!H5,'04_PSA_INPUTS'!I5)</f>
        <v>#NAME?</v>
      </c>
      <c r="C621" s="23" t="e">
        <f ca="1">_xludf.BETA.INV(S621,'04_PSA_INPUTS'!H6,'04_PSA_INPUTS'!I6)</f>
        <v>#NAME?</v>
      </c>
      <c r="D621" s="27" t="e">
        <f ca="1">_xludf.GAMMA.INV(T621,'04_PSA_INPUTS'!H7,'04_PSA_INPUTS'!I7)</f>
        <v>#NAME?</v>
      </c>
      <c r="E621" s="27" t="e">
        <f ca="1">_xludf.GAMMA.INV(U621,'04_PSA_INPUTS'!H8,'04_PSA_INPUTS'!I8)</f>
        <v>#NAME?</v>
      </c>
      <c r="F621" s="27" t="e">
        <f ca="1">_xludf.GAMMA.INV(V621,'04_PSA_INPUTS'!H9,'04_PSA_INPUTS'!I9)</f>
        <v>#NAME?</v>
      </c>
      <c r="G621" s="23" t="e">
        <f ca="1">_xludf.BETA.INV(W621,'04_PSA_INPUTS'!H10,'04_PSA_INPUTS'!I10)</f>
        <v>#NAME?</v>
      </c>
      <c r="H621" s="23" t="e">
        <f ca="1">_xludf.BETA.INV(X621,'04_PSA_INPUTS'!H11,'04_PSA_INPUTS'!I11)</f>
        <v>#NAME?</v>
      </c>
      <c r="I621" s="27" t="e">
        <f ca="1">D621+B621*F621+'01_INPUTS'!B20</f>
        <v>#NAME?</v>
      </c>
      <c r="J621" s="27" t="e">
        <f ca="1">E621+C621*F621+'01_INPUTS'!B21</f>
        <v>#NAME?</v>
      </c>
      <c r="K621" s="27" t="e">
        <f t="shared" ca="1" si="54"/>
        <v>#NAME?</v>
      </c>
      <c r="L621" s="23" t="e">
        <f t="shared" ca="1" si="55"/>
        <v>#NAME?</v>
      </c>
      <c r="M621" s="23" t="e">
        <f t="shared" ca="1" si="56"/>
        <v>#NAME?</v>
      </c>
      <c r="N621" s="23" t="e">
        <f t="shared" ca="1" si="57"/>
        <v>#NAME?</v>
      </c>
      <c r="O621" s="27" t="e">
        <f t="shared" ca="1" si="58"/>
        <v>#NAME?</v>
      </c>
      <c r="P621" s="27" t="e">
        <f ca="1">'01_INPUTS'!B9*N621-K621</f>
        <v>#NAME?</v>
      </c>
      <c r="Q621" s="1" t="e">
        <f t="shared" ca="1" si="59"/>
        <v>#NAME?</v>
      </c>
      <c r="R621" s="28">
        <v>0.812027289532125</v>
      </c>
      <c r="S621" s="28">
        <v>0.84088706970214844</v>
      </c>
      <c r="T621" s="28">
        <v>0.12029022327624261</v>
      </c>
      <c r="U621" s="28">
        <v>0.20978747168555856</v>
      </c>
      <c r="V621" s="28">
        <v>0.18289461708627641</v>
      </c>
      <c r="W621" s="28">
        <v>0.9133089822717011</v>
      </c>
      <c r="X621" s="28">
        <v>0.58483844343572855</v>
      </c>
    </row>
    <row r="622" spans="1:24" ht="13.9">
      <c r="A622" s="1">
        <v>621</v>
      </c>
      <c r="B622" s="23" t="e">
        <f ca="1">_xludf.BETA.INV(R622,'04_PSA_INPUTS'!H5,'04_PSA_INPUTS'!I5)</f>
        <v>#NAME?</v>
      </c>
      <c r="C622" s="23" t="e">
        <f ca="1">_xludf.BETA.INV(S622,'04_PSA_INPUTS'!H6,'04_PSA_INPUTS'!I6)</f>
        <v>#NAME?</v>
      </c>
      <c r="D622" s="27" t="e">
        <f ca="1">_xludf.GAMMA.INV(T622,'04_PSA_INPUTS'!H7,'04_PSA_INPUTS'!I7)</f>
        <v>#NAME?</v>
      </c>
      <c r="E622" s="27" t="e">
        <f ca="1">_xludf.GAMMA.INV(U622,'04_PSA_INPUTS'!H8,'04_PSA_INPUTS'!I8)</f>
        <v>#NAME?</v>
      </c>
      <c r="F622" s="27" t="e">
        <f ca="1">_xludf.GAMMA.INV(V622,'04_PSA_INPUTS'!H9,'04_PSA_INPUTS'!I9)</f>
        <v>#NAME?</v>
      </c>
      <c r="G622" s="23" t="e">
        <f ca="1">_xludf.BETA.INV(W622,'04_PSA_INPUTS'!H10,'04_PSA_INPUTS'!I10)</f>
        <v>#NAME?</v>
      </c>
      <c r="H622" s="23" t="e">
        <f ca="1">_xludf.BETA.INV(X622,'04_PSA_INPUTS'!H11,'04_PSA_INPUTS'!I11)</f>
        <v>#NAME?</v>
      </c>
      <c r="I622" s="27" t="e">
        <f ca="1">D622+B622*F622+'01_INPUTS'!B20</f>
        <v>#NAME?</v>
      </c>
      <c r="J622" s="27" t="e">
        <f ca="1">E622+C622*F622+'01_INPUTS'!B21</f>
        <v>#NAME?</v>
      </c>
      <c r="K622" s="27" t="e">
        <f t="shared" ca="1" si="54"/>
        <v>#NAME?</v>
      </c>
      <c r="L622" s="23" t="e">
        <f t="shared" ca="1" si="55"/>
        <v>#NAME?</v>
      </c>
      <c r="M622" s="23" t="e">
        <f t="shared" ca="1" si="56"/>
        <v>#NAME?</v>
      </c>
      <c r="N622" s="23" t="e">
        <f t="shared" ca="1" si="57"/>
        <v>#NAME?</v>
      </c>
      <c r="O622" s="27" t="e">
        <f t="shared" ca="1" si="58"/>
        <v>#NAME?</v>
      </c>
      <c r="P622" s="27" t="e">
        <f ca="1">'01_INPUTS'!B9*N622-K622</f>
        <v>#NAME?</v>
      </c>
      <c r="Q622" s="1" t="e">
        <f t="shared" ca="1" si="59"/>
        <v>#NAME?</v>
      </c>
      <c r="R622" s="28">
        <v>0.96636995021253824</v>
      </c>
      <c r="S622" s="28">
        <v>0.61994808772578835</v>
      </c>
      <c r="T622" s="28">
        <v>0.84429277735762298</v>
      </c>
      <c r="U622" s="28">
        <v>0.532306341920048</v>
      </c>
      <c r="V622" s="28">
        <v>0.97283539385534823</v>
      </c>
      <c r="W622" s="28">
        <v>0.74505804665386677</v>
      </c>
      <c r="X622" s="28">
        <v>5.6438734289258718E-2</v>
      </c>
    </row>
    <row r="623" spans="1:24" ht="13.9">
      <c r="A623" s="1">
        <v>622</v>
      </c>
      <c r="B623" s="23" t="e">
        <f ca="1">_xludf.BETA.INV(R623,'04_PSA_INPUTS'!H5,'04_PSA_INPUTS'!I5)</f>
        <v>#NAME?</v>
      </c>
      <c r="C623" s="23" t="e">
        <f ca="1">_xludf.BETA.INV(S623,'04_PSA_INPUTS'!H6,'04_PSA_INPUTS'!I6)</f>
        <v>#NAME?</v>
      </c>
      <c r="D623" s="27" t="e">
        <f ca="1">_xludf.GAMMA.INV(T623,'04_PSA_INPUTS'!H7,'04_PSA_INPUTS'!I7)</f>
        <v>#NAME?</v>
      </c>
      <c r="E623" s="27" t="e">
        <f ca="1">_xludf.GAMMA.INV(U623,'04_PSA_INPUTS'!H8,'04_PSA_INPUTS'!I8)</f>
        <v>#NAME?</v>
      </c>
      <c r="F623" s="27" t="e">
        <f ca="1">_xludf.GAMMA.INV(V623,'04_PSA_INPUTS'!H9,'04_PSA_INPUTS'!I9)</f>
        <v>#NAME?</v>
      </c>
      <c r="G623" s="23" t="e">
        <f ca="1">_xludf.BETA.INV(W623,'04_PSA_INPUTS'!H10,'04_PSA_INPUTS'!I10)</f>
        <v>#NAME?</v>
      </c>
      <c r="H623" s="23" t="e">
        <f ca="1">_xludf.BETA.INV(X623,'04_PSA_INPUTS'!H11,'04_PSA_INPUTS'!I11)</f>
        <v>#NAME?</v>
      </c>
      <c r="I623" s="27" t="e">
        <f ca="1">D623+B623*F623+'01_INPUTS'!B20</f>
        <v>#NAME?</v>
      </c>
      <c r="J623" s="27" t="e">
        <f ca="1">E623+C623*F623+'01_INPUTS'!B21</f>
        <v>#NAME?</v>
      </c>
      <c r="K623" s="27" t="e">
        <f t="shared" ca="1" si="54"/>
        <v>#NAME?</v>
      </c>
      <c r="L623" s="23" t="e">
        <f t="shared" ca="1" si="55"/>
        <v>#NAME?</v>
      </c>
      <c r="M623" s="23" t="e">
        <f t="shared" ca="1" si="56"/>
        <v>#NAME?</v>
      </c>
      <c r="N623" s="23" t="e">
        <f t="shared" ca="1" si="57"/>
        <v>#NAME?</v>
      </c>
      <c r="O623" s="27" t="e">
        <f t="shared" ca="1" si="58"/>
        <v>#NAME?</v>
      </c>
      <c r="P623" s="27" t="e">
        <f ca="1">'01_INPUTS'!B9*N623-K623</f>
        <v>#NAME?</v>
      </c>
      <c r="Q623" s="1" t="e">
        <f t="shared" ca="1" si="59"/>
        <v>#NAME?</v>
      </c>
      <c r="R623" s="28">
        <v>0.6257931285072118</v>
      </c>
      <c r="S623" s="28">
        <v>0.22536026244051754</v>
      </c>
      <c r="T623" s="28">
        <v>6.1409277841448784E-2</v>
      </c>
      <c r="U623" s="28">
        <v>0.90104152006097138</v>
      </c>
      <c r="V623" s="28">
        <v>0.45480776438489556</v>
      </c>
      <c r="W623" s="28">
        <v>0.49086736841127276</v>
      </c>
      <c r="X623" s="28">
        <v>7.6536995824426413E-2</v>
      </c>
    </row>
    <row r="624" spans="1:24" ht="13.9">
      <c r="A624" s="1">
        <v>623</v>
      </c>
      <c r="B624" s="23" t="e">
        <f ca="1">_xludf.BETA.INV(R624,'04_PSA_INPUTS'!H5,'04_PSA_INPUTS'!I5)</f>
        <v>#NAME?</v>
      </c>
      <c r="C624" s="23" t="e">
        <f ca="1">_xludf.BETA.INV(S624,'04_PSA_INPUTS'!H6,'04_PSA_INPUTS'!I6)</f>
        <v>#NAME?</v>
      </c>
      <c r="D624" s="27" t="e">
        <f ca="1">_xludf.GAMMA.INV(T624,'04_PSA_INPUTS'!H7,'04_PSA_INPUTS'!I7)</f>
        <v>#NAME?</v>
      </c>
      <c r="E624" s="27" t="e">
        <f ca="1">_xludf.GAMMA.INV(U624,'04_PSA_INPUTS'!H8,'04_PSA_INPUTS'!I8)</f>
        <v>#NAME?</v>
      </c>
      <c r="F624" s="27" t="e">
        <f ca="1">_xludf.GAMMA.INV(V624,'04_PSA_INPUTS'!H9,'04_PSA_INPUTS'!I9)</f>
        <v>#NAME?</v>
      </c>
      <c r="G624" s="23" t="e">
        <f ca="1">_xludf.BETA.INV(W624,'04_PSA_INPUTS'!H10,'04_PSA_INPUTS'!I10)</f>
        <v>#NAME?</v>
      </c>
      <c r="H624" s="23" t="e">
        <f ca="1">_xludf.BETA.INV(X624,'04_PSA_INPUTS'!H11,'04_PSA_INPUTS'!I11)</f>
        <v>#NAME?</v>
      </c>
      <c r="I624" s="27" t="e">
        <f ca="1">D624+B624*F624+'01_INPUTS'!B20</f>
        <v>#NAME?</v>
      </c>
      <c r="J624" s="27" t="e">
        <f ca="1">E624+C624*F624+'01_INPUTS'!B21</f>
        <v>#NAME?</v>
      </c>
      <c r="K624" s="27" t="e">
        <f t="shared" ca="1" si="54"/>
        <v>#NAME?</v>
      </c>
      <c r="L624" s="23" t="e">
        <f t="shared" ca="1" si="55"/>
        <v>#NAME?</v>
      </c>
      <c r="M624" s="23" t="e">
        <f t="shared" ca="1" si="56"/>
        <v>#NAME?</v>
      </c>
      <c r="N624" s="23" t="e">
        <f t="shared" ca="1" si="57"/>
        <v>#NAME?</v>
      </c>
      <c r="O624" s="27" t="e">
        <f t="shared" ca="1" si="58"/>
        <v>#NAME?</v>
      </c>
      <c r="P624" s="27" t="e">
        <f ca="1">'01_INPUTS'!B9*N624-K624</f>
        <v>#NAME?</v>
      </c>
      <c r="Q624" s="1" t="e">
        <f t="shared" ca="1" si="59"/>
        <v>#NAME?</v>
      </c>
      <c r="R624" s="28">
        <v>0.92632435355335474</v>
      </c>
      <c r="S624" s="28">
        <v>0.73723304644227028</v>
      </c>
      <c r="T624" s="28">
        <v>0.76783462031744421</v>
      </c>
      <c r="U624" s="28">
        <v>7.1273976704105735E-2</v>
      </c>
      <c r="V624" s="28">
        <v>5.5828741518780589E-2</v>
      </c>
      <c r="W624" s="28">
        <v>0.22698818007484078</v>
      </c>
      <c r="X624" s="28">
        <v>2.4458795553073287E-2</v>
      </c>
    </row>
    <row r="625" spans="1:24" ht="13.9">
      <c r="A625" s="1">
        <v>624</v>
      </c>
      <c r="B625" s="23" t="e">
        <f ca="1">_xludf.BETA.INV(R625,'04_PSA_INPUTS'!H5,'04_PSA_INPUTS'!I5)</f>
        <v>#NAME?</v>
      </c>
      <c r="C625" s="23" t="e">
        <f ca="1">_xludf.BETA.INV(S625,'04_PSA_INPUTS'!H6,'04_PSA_INPUTS'!I6)</f>
        <v>#NAME?</v>
      </c>
      <c r="D625" s="27" t="e">
        <f ca="1">_xludf.GAMMA.INV(T625,'04_PSA_INPUTS'!H7,'04_PSA_INPUTS'!I7)</f>
        <v>#NAME?</v>
      </c>
      <c r="E625" s="27" t="e">
        <f ca="1">_xludf.GAMMA.INV(U625,'04_PSA_INPUTS'!H8,'04_PSA_INPUTS'!I8)</f>
        <v>#NAME?</v>
      </c>
      <c r="F625" s="27" t="e">
        <f ca="1">_xludf.GAMMA.INV(V625,'04_PSA_INPUTS'!H9,'04_PSA_INPUTS'!I9)</f>
        <v>#NAME?</v>
      </c>
      <c r="G625" s="23" t="e">
        <f ca="1">_xludf.BETA.INV(W625,'04_PSA_INPUTS'!H10,'04_PSA_INPUTS'!I10)</f>
        <v>#NAME?</v>
      </c>
      <c r="H625" s="23" t="e">
        <f ca="1">_xludf.BETA.INV(X625,'04_PSA_INPUTS'!H11,'04_PSA_INPUTS'!I11)</f>
        <v>#NAME?</v>
      </c>
      <c r="I625" s="27" t="e">
        <f ca="1">D625+B625*F625+'01_INPUTS'!B20</f>
        <v>#NAME?</v>
      </c>
      <c r="J625" s="27" t="e">
        <f ca="1">E625+C625*F625+'01_INPUTS'!B21</f>
        <v>#NAME?</v>
      </c>
      <c r="K625" s="27" t="e">
        <f t="shared" ca="1" si="54"/>
        <v>#NAME?</v>
      </c>
      <c r="L625" s="23" t="e">
        <f t="shared" ca="1" si="55"/>
        <v>#NAME?</v>
      </c>
      <c r="M625" s="23" t="e">
        <f t="shared" ca="1" si="56"/>
        <v>#NAME?</v>
      </c>
      <c r="N625" s="23" t="e">
        <f t="shared" ca="1" si="57"/>
        <v>#NAME?</v>
      </c>
      <c r="O625" s="27" t="e">
        <f t="shared" ca="1" si="58"/>
        <v>#NAME?</v>
      </c>
      <c r="P625" s="27" t="e">
        <f ca="1">'01_INPUTS'!B9*N625-K625</f>
        <v>#NAME?</v>
      </c>
      <c r="Q625" s="1" t="e">
        <f t="shared" ca="1" si="59"/>
        <v>#NAME?</v>
      </c>
      <c r="R625" s="28">
        <v>0.2864974623080343</v>
      </c>
      <c r="S625" s="28">
        <v>0.26461608055979013</v>
      </c>
      <c r="T625" s="28">
        <v>0.27398574468679726</v>
      </c>
      <c r="U625" s="28">
        <v>0.79796252003870904</v>
      </c>
      <c r="V625" s="28">
        <v>0.48082320345565677</v>
      </c>
      <c r="W625" s="28">
        <v>0.61229431652463973</v>
      </c>
      <c r="X625" s="28">
        <v>0.24349567573517561</v>
      </c>
    </row>
    <row r="626" spans="1:24" ht="13.9">
      <c r="A626" s="1">
        <v>625</v>
      </c>
      <c r="B626" s="23" t="e">
        <f ca="1">_xludf.BETA.INV(R626,'04_PSA_INPUTS'!H5,'04_PSA_INPUTS'!I5)</f>
        <v>#NAME?</v>
      </c>
      <c r="C626" s="23" t="e">
        <f ca="1">_xludf.BETA.INV(S626,'04_PSA_INPUTS'!H6,'04_PSA_INPUTS'!I6)</f>
        <v>#NAME?</v>
      </c>
      <c r="D626" s="27" t="e">
        <f ca="1">_xludf.GAMMA.INV(T626,'04_PSA_INPUTS'!H7,'04_PSA_INPUTS'!I7)</f>
        <v>#NAME?</v>
      </c>
      <c r="E626" s="27" t="e">
        <f ca="1">_xludf.GAMMA.INV(U626,'04_PSA_INPUTS'!H8,'04_PSA_INPUTS'!I8)</f>
        <v>#NAME?</v>
      </c>
      <c r="F626" s="27" t="e">
        <f ca="1">_xludf.GAMMA.INV(V626,'04_PSA_INPUTS'!H9,'04_PSA_INPUTS'!I9)</f>
        <v>#NAME?</v>
      </c>
      <c r="G626" s="23" t="e">
        <f ca="1">_xludf.BETA.INV(W626,'04_PSA_INPUTS'!H10,'04_PSA_INPUTS'!I10)</f>
        <v>#NAME?</v>
      </c>
      <c r="H626" s="23" t="e">
        <f ca="1">_xludf.BETA.INV(X626,'04_PSA_INPUTS'!H11,'04_PSA_INPUTS'!I11)</f>
        <v>#NAME?</v>
      </c>
      <c r="I626" s="27" t="e">
        <f ca="1">D626+B626*F626+'01_INPUTS'!B20</f>
        <v>#NAME?</v>
      </c>
      <c r="J626" s="27" t="e">
        <f ca="1">E626+C626*F626+'01_INPUTS'!B21</f>
        <v>#NAME?</v>
      </c>
      <c r="K626" s="27" t="e">
        <f t="shared" ca="1" si="54"/>
        <v>#NAME?</v>
      </c>
      <c r="L626" s="23" t="e">
        <f t="shared" ca="1" si="55"/>
        <v>#NAME?</v>
      </c>
      <c r="M626" s="23" t="e">
        <f t="shared" ca="1" si="56"/>
        <v>#NAME?</v>
      </c>
      <c r="N626" s="23" t="e">
        <f t="shared" ca="1" si="57"/>
        <v>#NAME?</v>
      </c>
      <c r="O626" s="27" t="e">
        <f t="shared" ca="1" si="58"/>
        <v>#NAME?</v>
      </c>
      <c r="P626" s="27" t="e">
        <f ca="1">'01_INPUTS'!B9*N626-K626</f>
        <v>#NAME?</v>
      </c>
      <c r="Q626" s="1" t="e">
        <f t="shared" ca="1" si="59"/>
        <v>#NAME?</v>
      </c>
      <c r="R626" s="28">
        <v>0.67760581360198557</v>
      </c>
      <c r="S626" s="28">
        <v>0.68093155929818749</v>
      </c>
      <c r="T626" s="28">
        <v>0.77169945370405912</v>
      </c>
      <c r="U626" s="28">
        <v>0.55940973944962025</v>
      </c>
      <c r="V626" s="28">
        <v>1.6323375981301069E-2</v>
      </c>
      <c r="W626" s="28">
        <v>0.24833221547305584</v>
      </c>
      <c r="X626" s="28">
        <v>0.11851641000248492</v>
      </c>
    </row>
    <row r="627" spans="1:24" ht="13.9">
      <c r="A627" s="1">
        <v>626</v>
      </c>
      <c r="B627" s="23" t="e">
        <f ca="1">_xludf.BETA.INV(R627,'04_PSA_INPUTS'!H5,'04_PSA_INPUTS'!I5)</f>
        <v>#NAME?</v>
      </c>
      <c r="C627" s="23" t="e">
        <f ca="1">_xludf.BETA.INV(S627,'04_PSA_INPUTS'!H6,'04_PSA_INPUTS'!I6)</f>
        <v>#NAME?</v>
      </c>
      <c r="D627" s="27" t="e">
        <f ca="1">_xludf.GAMMA.INV(T627,'04_PSA_INPUTS'!H7,'04_PSA_INPUTS'!I7)</f>
        <v>#NAME?</v>
      </c>
      <c r="E627" s="27" t="e">
        <f ca="1">_xludf.GAMMA.INV(U627,'04_PSA_INPUTS'!H8,'04_PSA_INPUTS'!I8)</f>
        <v>#NAME?</v>
      </c>
      <c r="F627" s="27" t="e">
        <f ca="1">_xludf.GAMMA.INV(V627,'04_PSA_INPUTS'!H9,'04_PSA_INPUTS'!I9)</f>
        <v>#NAME?</v>
      </c>
      <c r="G627" s="23" t="e">
        <f ca="1">_xludf.BETA.INV(W627,'04_PSA_INPUTS'!H10,'04_PSA_INPUTS'!I10)</f>
        <v>#NAME?</v>
      </c>
      <c r="H627" s="23" t="e">
        <f ca="1">_xludf.BETA.INV(X627,'04_PSA_INPUTS'!H11,'04_PSA_INPUTS'!I11)</f>
        <v>#NAME?</v>
      </c>
      <c r="I627" s="27" t="e">
        <f ca="1">D627+B627*F627+'01_INPUTS'!B20</f>
        <v>#NAME?</v>
      </c>
      <c r="J627" s="27" t="e">
        <f ca="1">E627+C627*F627+'01_INPUTS'!B21</f>
        <v>#NAME?</v>
      </c>
      <c r="K627" s="27" t="e">
        <f t="shared" ca="1" si="54"/>
        <v>#NAME?</v>
      </c>
      <c r="L627" s="23" t="e">
        <f t="shared" ca="1" si="55"/>
        <v>#NAME?</v>
      </c>
      <c r="M627" s="23" t="e">
        <f t="shared" ca="1" si="56"/>
        <v>#NAME?</v>
      </c>
      <c r="N627" s="23" t="e">
        <f t="shared" ca="1" si="57"/>
        <v>#NAME?</v>
      </c>
      <c r="O627" s="27" t="e">
        <f t="shared" ca="1" si="58"/>
        <v>#NAME?</v>
      </c>
      <c r="P627" s="27" t="e">
        <f ca="1">'01_INPUTS'!B9*N627-K627</f>
        <v>#NAME?</v>
      </c>
      <c r="Q627" s="1" t="e">
        <f t="shared" ca="1" si="59"/>
        <v>#NAME?</v>
      </c>
      <c r="R627" s="28">
        <v>0.97072822204791009</v>
      </c>
      <c r="S627" s="28">
        <v>0.26837292686104774</v>
      </c>
      <c r="T627" s="28">
        <v>0.60464628553017974</v>
      </c>
      <c r="U627" s="28">
        <v>0.88061153795570135</v>
      </c>
      <c r="V627" s="28">
        <v>0.93606544518843293</v>
      </c>
      <c r="W627" s="28">
        <v>0.41697175800800323</v>
      </c>
      <c r="X627" s="28">
        <v>0.24587783496826887</v>
      </c>
    </row>
    <row r="628" spans="1:24" ht="13.9">
      <c r="A628" s="1">
        <v>627</v>
      </c>
      <c r="B628" s="23" t="e">
        <f ca="1">_xludf.BETA.INV(R628,'04_PSA_INPUTS'!H5,'04_PSA_INPUTS'!I5)</f>
        <v>#NAME?</v>
      </c>
      <c r="C628" s="23" t="e">
        <f ca="1">_xludf.BETA.INV(S628,'04_PSA_INPUTS'!H6,'04_PSA_INPUTS'!I6)</f>
        <v>#NAME?</v>
      </c>
      <c r="D628" s="27" t="e">
        <f ca="1">_xludf.GAMMA.INV(T628,'04_PSA_INPUTS'!H7,'04_PSA_INPUTS'!I7)</f>
        <v>#NAME?</v>
      </c>
      <c r="E628" s="27" t="e">
        <f ca="1">_xludf.GAMMA.INV(U628,'04_PSA_INPUTS'!H8,'04_PSA_INPUTS'!I8)</f>
        <v>#NAME?</v>
      </c>
      <c r="F628" s="27" t="e">
        <f ca="1">_xludf.GAMMA.INV(V628,'04_PSA_INPUTS'!H9,'04_PSA_INPUTS'!I9)</f>
        <v>#NAME?</v>
      </c>
      <c r="G628" s="23" t="e">
        <f ca="1">_xludf.BETA.INV(W628,'04_PSA_INPUTS'!H10,'04_PSA_INPUTS'!I10)</f>
        <v>#NAME?</v>
      </c>
      <c r="H628" s="23" t="e">
        <f ca="1">_xludf.BETA.INV(X628,'04_PSA_INPUTS'!H11,'04_PSA_INPUTS'!I11)</f>
        <v>#NAME?</v>
      </c>
      <c r="I628" s="27" t="e">
        <f ca="1">D628+B628*F628+'01_INPUTS'!B20</f>
        <v>#NAME?</v>
      </c>
      <c r="J628" s="27" t="e">
        <f ca="1">E628+C628*F628+'01_INPUTS'!B21</f>
        <v>#NAME?</v>
      </c>
      <c r="K628" s="27" t="e">
        <f t="shared" ca="1" si="54"/>
        <v>#NAME?</v>
      </c>
      <c r="L628" s="23" t="e">
        <f t="shared" ca="1" si="55"/>
        <v>#NAME?</v>
      </c>
      <c r="M628" s="23" t="e">
        <f t="shared" ca="1" si="56"/>
        <v>#NAME?</v>
      </c>
      <c r="N628" s="23" t="e">
        <f t="shared" ca="1" si="57"/>
        <v>#NAME?</v>
      </c>
      <c r="O628" s="27" t="e">
        <f t="shared" ca="1" si="58"/>
        <v>#NAME?</v>
      </c>
      <c r="P628" s="27" t="e">
        <f ca="1">'01_INPUTS'!B9*N628-K628</f>
        <v>#NAME?</v>
      </c>
      <c r="Q628" s="1" t="e">
        <f t="shared" ca="1" si="59"/>
        <v>#NAME?</v>
      </c>
      <c r="R628" s="28">
        <v>0.71642731945030391</v>
      </c>
      <c r="S628" s="28">
        <v>0.168804497923702</v>
      </c>
      <c r="T628" s="28">
        <v>0.11557839740999043</v>
      </c>
      <c r="U628" s="28">
        <v>5.1877838559448719E-2</v>
      </c>
      <c r="V628" s="28">
        <v>0.57384058088064194</v>
      </c>
      <c r="W628" s="28">
        <v>0.56658354634419084</v>
      </c>
      <c r="X628" s="28">
        <v>0.27504719025455415</v>
      </c>
    </row>
    <row r="629" spans="1:24" ht="13.9">
      <c r="A629" s="1">
        <v>628</v>
      </c>
      <c r="B629" s="23" t="e">
        <f ca="1">_xludf.BETA.INV(R629,'04_PSA_INPUTS'!H5,'04_PSA_INPUTS'!I5)</f>
        <v>#NAME?</v>
      </c>
      <c r="C629" s="23" t="e">
        <f ca="1">_xludf.BETA.INV(S629,'04_PSA_INPUTS'!H6,'04_PSA_INPUTS'!I6)</f>
        <v>#NAME?</v>
      </c>
      <c r="D629" s="27" t="e">
        <f ca="1">_xludf.GAMMA.INV(T629,'04_PSA_INPUTS'!H7,'04_PSA_INPUTS'!I7)</f>
        <v>#NAME?</v>
      </c>
      <c r="E629" s="27" t="e">
        <f ca="1">_xludf.GAMMA.INV(U629,'04_PSA_INPUTS'!H8,'04_PSA_INPUTS'!I8)</f>
        <v>#NAME?</v>
      </c>
      <c r="F629" s="27" t="e">
        <f ca="1">_xludf.GAMMA.INV(V629,'04_PSA_INPUTS'!H9,'04_PSA_INPUTS'!I9)</f>
        <v>#NAME?</v>
      </c>
      <c r="G629" s="23" t="e">
        <f ca="1">_xludf.BETA.INV(W629,'04_PSA_INPUTS'!H10,'04_PSA_INPUTS'!I10)</f>
        <v>#NAME?</v>
      </c>
      <c r="H629" s="23" t="e">
        <f ca="1">_xludf.BETA.INV(X629,'04_PSA_INPUTS'!H11,'04_PSA_INPUTS'!I11)</f>
        <v>#NAME?</v>
      </c>
      <c r="I629" s="27" t="e">
        <f ca="1">D629+B629*F629+'01_INPUTS'!B20</f>
        <v>#NAME?</v>
      </c>
      <c r="J629" s="27" t="e">
        <f ca="1">E629+C629*F629+'01_INPUTS'!B21</f>
        <v>#NAME?</v>
      </c>
      <c r="K629" s="27" t="e">
        <f t="shared" ca="1" si="54"/>
        <v>#NAME?</v>
      </c>
      <c r="L629" s="23" t="e">
        <f t="shared" ca="1" si="55"/>
        <v>#NAME?</v>
      </c>
      <c r="M629" s="23" t="e">
        <f t="shared" ca="1" si="56"/>
        <v>#NAME?</v>
      </c>
      <c r="N629" s="23" t="e">
        <f t="shared" ca="1" si="57"/>
        <v>#NAME?</v>
      </c>
      <c r="O629" s="27" t="e">
        <f t="shared" ca="1" si="58"/>
        <v>#NAME?</v>
      </c>
      <c r="P629" s="27" t="e">
        <f ca="1">'01_INPUTS'!B9*N629-K629</f>
        <v>#NAME?</v>
      </c>
      <c r="Q629" s="1" t="e">
        <f t="shared" ca="1" si="59"/>
        <v>#NAME?</v>
      </c>
      <c r="R629" s="28">
        <v>0.12359028845094144</v>
      </c>
      <c r="S629" s="28">
        <v>0.71311962814070284</v>
      </c>
      <c r="T629" s="28">
        <v>0.24822923657484353</v>
      </c>
      <c r="U629" s="28">
        <v>0.12316520302556455</v>
      </c>
      <c r="V629" s="28">
        <v>3.3441926585510373E-2</v>
      </c>
      <c r="W629" s="28">
        <v>0.67977084149606526</v>
      </c>
      <c r="X629" s="28">
        <v>0.22456789598800242</v>
      </c>
    </row>
    <row r="630" spans="1:24" ht="13.9">
      <c r="A630" s="1">
        <v>629</v>
      </c>
      <c r="B630" s="23" t="e">
        <f ca="1">_xludf.BETA.INV(R630,'04_PSA_INPUTS'!H5,'04_PSA_INPUTS'!I5)</f>
        <v>#NAME?</v>
      </c>
      <c r="C630" s="23" t="e">
        <f ca="1">_xludf.BETA.INV(S630,'04_PSA_INPUTS'!H6,'04_PSA_INPUTS'!I6)</f>
        <v>#NAME?</v>
      </c>
      <c r="D630" s="27" t="e">
        <f ca="1">_xludf.GAMMA.INV(T630,'04_PSA_INPUTS'!H7,'04_PSA_INPUTS'!I7)</f>
        <v>#NAME?</v>
      </c>
      <c r="E630" s="27" t="e">
        <f ca="1">_xludf.GAMMA.INV(U630,'04_PSA_INPUTS'!H8,'04_PSA_INPUTS'!I8)</f>
        <v>#NAME?</v>
      </c>
      <c r="F630" s="27" t="e">
        <f ca="1">_xludf.GAMMA.INV(V630,'04_PSA_INPUTS'!H9,'04_PSA_INPUTS'!I9)</f>
        <v>#NAME?</v>
      </c>
      <c r="G630" s="23" t="e">
        <f ca="1">_xludf.BETA.INV(W630,'04_PSA_INPUTS'!H10,'04_PSA_INPUTS'!I10)</f>
        <v>#NAME?</v>
      </c>
      <c r="H630" s="23" t="e">
        <f ca="1">_xludf.BETA.INV(X630,'04_PSA_INPUTS'!H11,'04_PSA_INPUTS'!I11)</f>
        <v>#NAME?</v>
      </c>
      <c r="I630" s="27" t="e">
        <f ca="1">D630+B630*F630+'01_INPUTS'!B20</f>
        <v>#NAME?</v>
      </c>
      <c r="J630" s="27" t="e">
        <f ca="1">E630+C630*F630+'01_INPUTS'!B21</f>
        <v>#NAME?</v>
      </c>
      <c r="K630" s="27" t="e">
        <f t="shared" ca="1" si="54"/>
        <v>#NAME?</v>
      </c>
      <c r="L630" s="23" t="e">
        <f t="shared" ca="1" si="55"/>
        <v>#NAME?</v>
      </c>
      <c r="M630" s="23" t="e">
        <f t="shared" ca="1" si="56"/>
        <v>#NAME?</v>
      </c>
      <c r="N630" s="23" t="e">
        <f t="shared" ca="1" si="57"/>
        <v>#NAME?</v>
      </c>
      <c r="O630" s="27" t="e">
        <f t="shared" ca="1" si="58"/>
        <v>#NAME?</v>
      </c>
      <c r="P630" s="27" t="e">
        <f ca="1">'01_INPUTS'!B9*N630-K630</f>
        <v>#NAME?</v>
      </c>
      <c r="Q630" s="1" t="e">
        <f t="shared" ca="1" si="59"/>
        <v>#NAME?</v>
      </c>
      <c r="R630" s="28">
        <v>0.46874569170176983</v>
      </c>
      <c r="S630" s="28">
        <v>0.72911403141915798</v>
      </c>
      <c r="T630" s="28">
        <v>0.24352696863934398</v>
      </c>
      <c r="U630" s="28">
        <v>0.65946783381514251</v>
      </c>
      <c r="V630" s="28">
        <v>0.36607894813641906</v>
      </c>
      <c r="W630" s="28">
        <v>0.43453707662411034</v>
      </c>
      <c r="X630" s="28">
        <v>0.82489886484108865</v>
      </c>
    </row>
    <row r="631" spans="1:24" ht="13.9">
      <c r="A631" s="1">
        <v>630</v>
      </c>
      <c r="B631" s="23" t="e">
        <f ca="1">_xludf.BETA.INV(R631,'04_PSA_INPUTS'!H5,'04_PSA_INPUTS'!I5)</f>
        <v>#NAME?</v>
      </c>
      <c r="C631" s="23" t="e">
        <f ca="1">_xludf.BETA.INV(S631,'04_PSA_INPUTS'!H6,'04_PSA_INPUTS'!I6)</f>
        <v>#NAME?</v>
      </c>
      <c r="D631" s="27" t="e">
        <f ca="1">_xludf.GAMMA.INV(T631,'04_PSA_INPUTS'!H7,'04_PSA_INPUTS'!I7)</f>
        <v>#NAME?</v>
      </c>
      <c r="E631" s="27" t="e">
        <f ca="1">_xludf.GAMMA.INV(U631,'04_PSA_INPUTS'!H8,'04_PSA_INPUTS'!I8)</f>
        <v>#NAME?</v>
      </c>
      <c r="F631" s="27" t="e">
        <f ca="1">_xludf.GAMMA.INV(V631,'04_PSA_INPUTS'!H9,'04_PSA_INPUTS'!I9)</f>
        <v>#NAME?</v>
      </c>
      <c r="G631" s="23" t="e">
        <f ca="1">_xludf.BETA.INV(W631,'04_PSA_INPUTS'!H10,'04_PSA_INPUTS'!I10)</f>
        <v>#NAME?</v>
      </c>
      <c r="H631" s="23" t="e">
        <f ca="1">_xludf.BETA.INV(X631,'04_PSA_INPUTS'!H11,'04_PSA_INPUTS'!I11)</f>
        <v>#NAME?</v>
      </c>
      <c r="I631" s="27" t="e">
        <f ca="1">D631+B631*F631+'01_INPUTS'!B20</f>
        <v>#NAME?</v>
      </c>
      <c r="J631" s="27" t="e">
        <f ca="1">E631+C631*F631+'01_INPUTS'!B21</f>
        <v>#NAME?</v>
      </c>
      <c r="K631" s="27" t="e">
        <f t="shared" ca="1" si="54"/>
        <v>#NAME?</v>
      </c>
      <c r="L631" s="23" t="e">
        <f t="shared" ca="1" si="55"/>
        <v>#NAME?</v>
      </c>
      <c r="M631" s="23" t="e">
        <f t="shared" ca="1" si="56"/>
        <v>#NAME?</v>
      </c>
      <c r="N631" s="23" t="e">
        <f t="shared" ca="1" si="57"/>
        <v>#NAME?</v>
      </c>
      <c r="O631" s="27" t="e">
        <f t="shared" ca="1" si="58"/>
        <v>#NAME?</v>
      </c>
      <c r="P631" s="27" t="e">
        <f ca="1">'01_INPUTS'!B9*N631-K631</f>
        <v>#NAME?</v>
      </c>
      <c r="Q631" s="1" t="e">
        <f t="shared" ca="1" si="59"/>
        <v>#NAME?</v>
      </c>
      <c r="R631" s="28">
        <v>0.79774356284178793</v>
      </c>
      <c r="S631" s="28">
        <v>0.16649102582596242</v>
      </c>
      <c r="T631" s="28">
        <v>0.66309937299229205</v>
      </c>
      <c r="U631" s="28">
        <v>8.4751708898693323E-2</v>
      </c>
      <c r="V631" s="28">
        <v>0.89941208204254508</v>
      </c>
      <c r="W631" s="28">
        <v>0.88951663952320814</v>
      </c>
      <c r="X631" s="28">
        <v>0.51424694946035743</v>
      </c>
    </row>
    <row r="632" spans="1:24" ht="13.9">
      <c r="A632" s="1">
        <v>631</v>
      </c>
      <c r="B632" s="23" t="e">
        <f ca="1">_xludf.BETA.INV(R632,'04_PSA_INPUTS'!H5,'04_PSA_INPUTS'!I5)</f>
        <v>#NAME?</v>
      </c>
      <c r="C632" s="23" t="e">
        <f ca="1">_xludf.BETA.INV(S632,'04_PSA_INPUTS'!H6,'04_PSA_INPUTS'!I6)</f>
        <v>#NAME?</v>
      </c>
      <c r="D632" s="27" t="e">
        <f ca="1">_xludf.GAMMA.INV(T632,'04_PSA_INPUTS'!H7,'04_PSA_INPUTS'!I7)</f>
        <v>#NAME?</v>
      </c>
      <c r="E632" s="27" t="e">
        <f ca="1">_xludf.GAMMA.INV(U632,'04_PSA_INPUTS'!H8,'04_PSA_INPUTS'!I8)</f>
        <v>#NAME?</v>
      </c>
      <c r="F632" s="27" t="e">
        <f ca="1">_xludf.GAMMA.INV(V632,'04_PSA_INPUTS'!H9,'04_PSA_INPUTS'!I9)</f>
        <v>#NAME?</v>
      </c>
      <c r="G632" s="23" t="e">
        <f ca="1">_xludf.BETA.INV(W632,'04_PSA_INPUTS'!H10,'04_PSA_INPUTS'!I10)</f>
        <v>#NAME?</v>
      </c>
      <c r="H632" s="23" t="e">
        <f ca="1">_xludf.BETA.INV(X632,'04_PSA_INPUTS'!H11,'04_PSA_INPUTS'!I11)</f>
        <v>#NAME?</v>
      </c>
      <c r="I632" s="27" t="e">
        <f ca="1">D632+B632*F632+'01_INPUTS'!B20</f>
        <v>#NAME?</v>
      </c>
      <c r="J632" s="27" t="e">
        <f ca="1">E632+C632*F632+'01_INPUTS'!B21</f>
        <v>#NAME?</v>
      </c>
      <c r="K632" s="27" t="e">
        <f t="shared" ca="1" si="54"/>
        <v>#NAME?</v>
      </c>
      <c r="L632" s="23" t="e">
        <f t="shared" ca="1" si="55"/>
        <v>#NAME?</v>
      </c>
      <c r="M632" s="23" t="e">
        <f t="shared" ca="1" si="56"/>
        <v>#NAME?</v>
      </c>
      <c r="N632" s="23" t="e">
        <f t="shared" ca="1" si="57"/>
        <v>#NAME?</v>
      </c>
      <c r="O632" s="27" t="e">
        <f t="shared" ca="1" si="58"/>
        <v>#NAME?</v>
      </c>
      <c r="P632" s="27" t="e">
        <f ca="1">'01_INPUTS'!B9*N632-K632</f>
        <v>#NAME?</v>
      </c>
      <c r="Q632" s="1" t="e">
        <f t="shared" ca="1" si="59"/>
        <v>#NAME?</v>
      </c>
      <c r="R632" s="28">
        <v>0.2940135570243001</v>
      </c>
      <c r="S632" s="28">
        <v>0.18136942340061069</v>
      </c>
      <c r="T632" s="28">
        <v>1.849964028224349E-2</v>
      </c>
      <c r="U632" s="28">
        <v>0.39031353034079075</v>
      </c>
      <c r="V632" s="28">
        <v>0.480738690122962</v>
      </c>
      <c r="W632" s="28">
        <v>0.59404138172976673</v>
      </c>
      <c r="X632" s="28">
        <v>0.34568162704817951</v>
      </c>
    </row>
    <row r="633" spans="1:24" ht="13.9">
      <c r="A633" s="1">
        <v>632</v>
      </c>
      <c r="B633" s="23" t="e">
        <f ca="1">_xludf.BETA.INV(R633,'04_PSA_INPUTS'!H5,'04_PSA_INPUTS'!I5)</f>
        <v>#NAME?</v>
      </c>
      <c r="C633" s="23" t="e">
        <f ca="1">_xludf.BETA.INV(S633,'04_PSA_INPUTS'!H6,'04_PSA_INPUTS'!I6)</f>
        <v>#NAME?</v>
      </c>
      <c r="D633" s="27" t="e">
        <f ca="1">_xludf.GAMMA.INV(T633,'04_PSA_INPUTS'!H7,'04_PSA_INPUTS'!I7)</f>
        <v>#NAME?</v>
      </c>
      <c r="E633" s="27" t="e">
        <f ca="1">_xludf.GAMMA.INV(U633,'04_PSA_INPUTS'!H8,'04_PSA_INPUTS'!I8)</f>
        <v>#NAME?</v>
      </c>
      <c r="F633" s="27" t="e">
        <f ca="1">_xludf.GAMMA.INV(V633,'04_PSA_INPUTS'!H9,'04_PSA_INPUTS'!I9)</f>
        <v>#NAME?</v>
      </c>
      <c r="G633" s="23" t="e">
        <f ca="1">_xludf.BETA.INV(W633,'04_PSA_INPUTS'!H10,'04_PSA_INPUTS'!I10)</f>
        <v>#NAME?</v>
      </c>
      <c r="H633" s="23" t="e">
        <f ca="1">_xludf.BETA.INV(X633,'04_PSA_INPUTS'!H11,'04_PSA_INPUTS'!I11)</f>
        <v>#NAME?</v>
      </c>
      <c r="I633" s="27" t="e">
        <f ca="1">D633+B633*F633+'01_INPUTS'!B20</f>
        <v>#NAME?</v>
      </c>
      <c r="J633" s="27" t="e">
        <f ca="1">E633+C633*F633+'01_INPUTS'!B21</f>
        <v>#NAME?</v>
      </c>
      <c r="K633" s="27" t="e">
        <f t="shared" ca="1" si="54"/>
        <v>#NAME?</v>
      </c>
      <c r="L633" s="23" t="e">
        <f t="shared" ca="1" si="55"/>
        <v>#NAME?</v>
      </c>
      <c r="M633" s="23" t="e">
        <f t="shared" ca="1" si="56"/>
        <v>#NAME?</v>
      </c>
      <c r="N633" s="23" t="e">
        <f t="shared" ca="1" si="57"/>
        <v>#NAME?</v>
      </c>
      <c r="O633" s="27" t="e">
        <f t="shared" ca="1" si="58"/>
        <v>#NAME?</v>
      </c>
      <c r="P633" s="27" t="e">
        <f ca="1">'01_INPUTS'!B9*N633-K633</f>
        <v>#NAME?</v>
      </c>
      <c r="Q633" s="1" t="e">
        <f t="shared" ca="1" si="59"/>
        <v>#NAME?</v>
      </c>
      <c r="R633" s="28">
        <v>0.98329347744584084</v>
      </c>
      <c r="S633" s="28">
        <v>4.600378149189055E-2</v>
      </c>
      <c r="T633" s="28">
        <v>0.90410308376885951</v>
      </c>
      <c r="U633" s="28">
        <v>0.89093521749600768</v>
      </c>
      <c r="V633" s="28">
        <v>0.64276297716423869</v>
      </c>
      <c r="W633" s="28">
        <v>0.34052381315268576</v>
      </c>
      <c r="X633" s="28">
        <v>0.12908934545703232</v>
      </c>
    </row>
    <row r="634" spans="1:24" ht="13.9">
      <c r="A634" s="1">
        <v>633</v>
      </c>
      <c r="B634" s="23" t="e">
        <f ca="1">_xludf.BETA.INV(R634,'04_PSA_INPUTS'!H5,'04_PSA_INPUTS'!I5)</f>
        <v>#NAME?</v>
      </c>
      <c r="C634" s="23" t="e">
        <f ca="1">_xludf.BETA.INV(S634,'04_PSA_INPUTS'!H6,'04_PSA_INPUTS'!I6)</f>
        <v>#NAME?</v>
      </c>
      <c r="D634" s="27" t="e">
        <f ca="1">_xludf.GAMMA.INV(T634,'04_PSA_INPUTS'!H7,'04_PSA_INPUTS'!I7)</f>
        <v>#NAME?</v>
      </c>
      <c r="E634" s="27" t="e">
        <f ca="1">_xludf.GAMMA.INV(U634,'04_PSA_INPUTS'!H8,'04_PSA_INPUTS'!I8)</f>
        <v>#NAME?</v>
      </c>
      <c r="F634" s="27" t="e">
        <f ca="1">_xludf.GAMMA.INV(V634,'04_PSA_INPUTS'!H9,'04_PSA_INPUTS'!I9)</f>
        <v>#NAME?</v>
      </c>
      <c r="G634" s="23" t="e">
        <f ca="1">_xludf.BETA.INV(W634,'04_PSA_INPUTS'!H10,'04_PSA_INPUTS'!I10)</f>
        <v>#NAME?</v>
      </c>
      <c r="H634" s="23" t="e">
        <f ca="1">_xludf.BETA.INV(X634,'04_PSA_INPUTS'!H11,'04_PSA_INPUTS'!I11)</f>
        <v>#NAME?</v>
      </c>
      <c r="I634" s="27" t="e">
        <f ca="1">D634+B634*F634+'01_INPUTS'!B20</f>
        <v>#NAME?</v>
      </c>
      <c r="J634" s="27" t="e">
        <f ca="1">E634+C634*F634+'01_INPUTS'!B21</f>
        <v>#NAME?</v>
      </c>
      <c r="K634" s="27" t="e">
        <f t="shared" ca="1" si="54"/>
        <v>#NAME?</v>
      </c>
      <c r="L634" s="23" t="e">
        <f t="shared" ca="1" si="55"/>
        <v>#NAME?</v>
      </c>
      <c r="M634" s="23" t="e">
        <f t="shared" ca="1" si="56"/>
        <v>#NAME?</v>
      </c>
      <c r="N634" s="23" t="e">
        <f t="shared" ca="1" si="57"/>
        <v>#NAME?</v>
      </c>
      <c r="O634" s="27" t="e">
        <f t="shared" ca="1" si="58"/>
        <v>#NAME?</v>
      </c>
      <c r="P634" s="27" t="e">
        <f ca="1">'01_INPUTS'!B9*N634-K634</f>
        <v>#NAME?</v>
      </c>
      <c r="Q634" s="1" t="e">
        <f t="shared" ca="1" si="59"/>
        <v>#NAME?</v>
      </c>
      <c r="R634" s="28">
        <v>0.43688948825001717</v>
      </c>
      <c r="S634" s="28">
        <v>0.28554783225990832</v>
      </c>
      <c r="T634" s="28">
        <v>0.19838945521041751</v>
      </c>
      <c r="U634" s="28">
        <v>0.62064302666112781</v>
      </c>
      <c r="V634" s="28">
        <v>0.28608458465896547</v>
      </c>
      <c r="W634" s="28">
        <v>0.31269086571410298</v>
      </c>
      <c r="X634" s="28">
        <v>0.3190581037197262</v>
      </c>
    </row>
    <row r="635" spans="1:24" ht="13.9">
      <c r="A635" s="1">
        <v>634</v>
      </c>
      <c r="B635" s="23" t="e">
        <f ca="1">_xludf.BETA.INV(R635,'04_PSA_INPUTS'!H5,'04_PSA_INPUTS'!I5)</f>
        <v>#NAME?</v>
      </c>
      <c r="C635" s="23" t="e">
        <f ca="1">_xludf.BETA.INV(S635,'04_PSA_INPUTS'!H6,'04_PSA_INPUTS'!I6)</f>
        <v>#NAME?</v>
      </c>
      <c r="D635" s="27" t="e">
        <f ca="1">_xludf.GAMMA.INV(T635,'04_PSA_INPUTS'!H7,'04_PSA_INPUTS'!I7)</f>
        <v>#NAME?</v>
      </c>
      <c r="E635" s="27" t="e">
        <f ca="1">_xludf.GAMMA.INV(U635,'04_PSA_INPUTS'!H8,'04_PSA_INPUTS'!I8)</f>
        <v>#NAME?</v>
      </c>
      <c r="F635" s="27" t="e">
        <f ca="1">_xludf.GAMMA.INV(V635,'04_PSA_INPUTS'!H9,'04_PSA_INPUTS'!I9)</f>
        <v>#NAME?</v>
      </c>
      <c r="G635" s="23" t="e">
        <f ca="1">_xludf.BETA.INV(W635,'04_PSA_INPUTS'!H10,'04_PSA_INPUTS'!I10)</f>
        <v>#NAME?</v>
      </c>
      <c r="H635" s="23" t="e">
        <f ca="1">_xludf.BETA.INV(X635,'04_PSA_INPUTS'!H11,'04_PSA_INPUTS'!I11)</f>
        <v>#NAME?</v>
      </c>
      <c r="I635" s="27" t="e">
        <f ca="1">D635+B635*F635+'01_INPUTS'!B20</f>
        <v>#NAME?</v>
      </c>
      <c r="J635" s="27" t="e">
        <f ca="1">E635+C635*F635+'01_INPUTS'!B21</f>
        <v>#NAME?</v>
      </c>
      <c r="K635" s="27" t="e">
        <f t="shared" ca="1" si="54"/>
        <v>#NAME?</v>
      </c>
      <c r="L635" s="23" t="e">
        <f t="shared" ca="1" si="55"/>
        <v>#NAME?</v>
      </c>
      <c r="M635" s="23" t="e">
        <f t="shared" ca="1" si="56"/>
        <v>#NAME?</v>
      </c>
      <c r="N635" s="23" t="e">
        <f t="shared" ca="1" si="57"/>
        <v>#NAME?</v>
      </c>
      <c r="O635" s="27" t="e">
        <f t="shared" ca="1" si="58"/>
        <v>#NAME?</v>
      </c>
      <c r="P635" s="27" t="e">
        <f ca="1">'01_INPUTS'!B9*N635-K635</f>
        <v>#NAME?</v>
      </c>
      <c r="Q635" s="1" t="e">
        <f t="shared" ca="1" si="59"/>
        <v>#NAME?</v>
      </c>
      <c r="R635" s="28">
        <v>0.72491856827400625</v>
      </c>
      <c r="S635" s="28">
        <v>0.8835058924742043</v>
      </c>
      <c r="T635" s="28">
        <v>0.37231090036220849</v>
      </c>
      <c r="U635" s="28">
        <v>0.35772004304453731</v>
      </c>
      <c r="V635" s="28">
        <v>0.84465733100660145</v>
      </c>
      <c r="W635" s="28">
        <v>0.98665716033428907</v>
      </c>
      <c r="X635" s="28">
        <v>0.66919025126844645</v>
      </c>
    </row>
    <row r="636" spans="1:24" ht="13.9">
      <c r="A636" s="1">
        <v>635</v>
      </c>
      <c r="B636" s="23" t="e">
        <f ca="1">_xludf.BETA.INV(R636,'04_PSA_INPUTS'!H5,'04_PSA_INPUTS'!I5)</f>
        <v>#NAME?</v>
      </c>
      <c r="C636" s="23" t="e">
        <f ca="1">_xludf.BETA.INV(S636,'04_PSA_INPUTS'!H6,'04_PSA_INPUTS'!I6)</f>
        <v>#NAME?</v>
      </c>
      <c r="D636" s="27" t="e">
        <f ca="1">_xludf.GAMMA.INV(T636,'04_PSA_INPUTS'!H7,'04_PSA_INPUTS'!I7)</f>
        <v>#NAME?</v>
      </c>
      <c r="E636" s="27" t="e">
        <f ca="1">_xludf.GAMMA.INV(U636,'04_PSA_INPUTS'!H8,'04_PSA_INPUTS'!I8)</f>
        <v>#NAME?</v>
      </c>
      <c r="F636" s="27" t="e">
        <f ca="1">_xludf.GAMMA.INV(V636,'04_PSA_INPUTS'!H9,'04_PSA_INPUTS'!I9)</f>
        <v>#NAME?</v>
      </c>
      <c r="G636" s="23" t="e">
        <f ca="1">_xludf.BETA.INV(W636,'04_PSA_INPUTS'!H10,'04_PSA_INPUTS'!I10)</f>
        <v>#NAME?</v>
      </c>
      <c r="H636" s="23" t="e">
        <f ca="1">_xludf.BETA.INV(X636,'04_PSA_INPUTS'!H11,'04_PSA_INPUTS'!I11)</f>
        <v>#NAME?</v>
      </c>
      <c r="I636" s="27" t="e">
        <f ca="1">D636+B636*F636+'01_INPUTS'!B20</f>
        <v>#NAME?</v>
      </c>
      <c r="J636" s="27" t="e">
        <f ca="1">E636+C636*F636+'01_INPUTS'!B21</f>
        <v>#NAME?</v>
      </c>
      <c r="K636" s="27" t="e">
        <f t="shared" ca="1" si="54"/>
        <v>#NAME?</v>
      </c>
      <c r="L636" s="23" t="e">
        <f t="shared" ca="1" si="55"/>
        <v>#NAME?</v>
      </c>
      <c r="M636" s="23" t="e">
        <f t="shared" ca="1" si="56"/>
        <v>#NAME?</v>
      </c>
      <c r="N636" s="23" t="e">
        <f t="shared" ca="1" si="57"/>
        <v>#NAME?</v>
      </c>
      <c r="O636" s="27" t="e">
        <f t="shared" ca="1" si="58"/>
        <v>#NAME?</v>
      </c>
      <c r="P636" s="27" t="e">
        <f ca="1">'01_INPUTS'!B9*N636-K636</f>
        <v>#NAME?</v>
      </c>
      <c r="Q636" s="1" t="e">
        <f t="shared" ca="1" si="59"/>
        <v>#NAME?</v>
      </c>
      <c r="R636" s="28">
        <v>0.2291581709869206</v>
      </c>
      <c r="S636" s="28">
        <v>0.63819035049527884</v>
      </c>
      <c r="T636" s="28">
        <v>0.34675307944417</v>
      </c>
      <c r="U636" s="28">
        <v>0.35654666088521481</v>
      </c>
      <c r="V636" s="28">
        <v>0.15480903745628893</v>
      </c>
      <c r="W636" s="28">
        <v>0.55476451152935624</v>
      </c>
      <c r="X636" s="28">
        <v>0.53303826390765607</v>
      </c>
    </row>
    <row r="637" spans="1:24" ht="13.9">
      <c r="A637" s="1">
        <v>636</v>
      </c>
      <c r="B637" s="23" t="e">
        <f ca="1">_xludf.BETA.INV(R637,'04_PSA_INPUTS'!H5,'04_PSA_INPUTS'!I5)</f>
        <v>#NAME?</v>
      </c>
      <c r="C637" s="23" t="e">
        <f ca="1">_xludf.BETA.INV(S637,'04_PSA_INPUTS'!H6,'04_PSA_INPUTS'!I6)</f>
        <v>#NAME?</v>
      </c>
      <c r="D637" s="27" t="e">
        <f ca="1">_xludf.GAMMA.INV(T637,'04_PSA_INPUTS'!H7,'04_PSA_INPUTS'!I7)</f>
        <v>#NAME?</v>
      </c>
      <c r="E637" s="27" t="e">
        <f ca="1">_xludf.GAMMA.INV(U637,'04_PSA_INPUTS'!H8,'04_PSA_INPUTS'!I8)</f>
        <v>#NAME?</v>
      </c>
      <c r="F637" s="27" t="e">
        <f ca="1">_xludf.GAMMA.INV(V637,'04_PSA_INPUTS'!H9,'04_PSA_INPUTS'!I9)</f>
        <v>#NAME?</v>
      </c>
      <c r="G637" s="23" t="e">
        <f ca="1">_xludf.BETA.INV(W637,'04_PSA_INPUTS'!H10,'04_PSA_INPUTS'!I10)</f>
        <v>#NAME?</v>
      </c>
      <c r="H637" s="23" t="e">
        <f ca="1">_xludf.BETA.INV(X637,'04_PSA_INPUTS'!H11,'04_PSA_INPUTS'!I11)</f>
        <v>#NAME?</v>
      </c>
      <c r="I637" s="27" t="e">
        <f ca="1">D637+B637*F637+'01_INPUTS'!B20</f>
        <v>#NAME?</v>
      </c>
      <c r="J637" s="27" t="e">
        <f ca="1">E637+C637*F637+'01_INPUTS'!B21</f>
        <v>#NAME?</v>
      </c>
      <c r="K637" s="27" t="e">
        <f t="shared" ca="1" si="54"/>
        <v>#NAME?</v>
      </c>
      <c r="L637" s="23" t="e">
        <f t="shared" ca="1" si="55"/>
        <v>#NAME?</v>
      </c>
      <c r="M637" s="23" t="e">
        <f t="shared" ca="1" si="56"/>
        <v>#NAME?</v>
      </c>
      <c r="N637" s="23" t="e">
        <f t="shared" ca="1" si="57"/>
        <v>#NAME?</v>
      </c>
      <c r="O637" s="27" t="e">
        <f t="shared" ca="1" si="58"/>
        <v>#NAME?</v>
      </c>
      <c r="P637" s="27" t="e">
        <f ca="1">'01_INPUTS'!B9*N637-K637</f>
        <v>#NAME?</v>
      </c>
      <c r="Q637" s="1" t="e">
        <f t="shared" ca="1" si="59"/>
        <v>#NAME?</v>
      </c>
      <c r="R637" s="28">
        <v>0.62246923474594951</v>
      </c>
      <c r="S637" s="28">
        <v>0.87608019914478064</v>
      </c>
      <c r="T637" s="28">
        <v>0.21912867785431445</v>
      </c>
      <c r="U637" s="28">
        <v>0.93021996156312525</v>
      </c>
      <c r="V637" s="28">
        <v>0.94852273305878043</v>
      </c>
      <c r="W637" s="28">
        <v>0.82880036742426455</v>
      </c>
      <c r="X637" s="28">
        <v>0.87631052290089428</v>
      </c>
    </row>
    <row r="638" spans="1:24" ht="13.9">
      <c r="A638" s="1">
        <v>637</v>
      </c>
      <c r="B638" s="23" t="e">
        <f ca="1">_xludf.BETA.INV(R638,'04_PSA_INPUTS'!H5,'04_PSA_INPUTS'!I5)</f>
        <v>#NAME?</v>
      </c>
      <c r="C638" s="23" t="e">
        <f ca="1">_xludf.BETA.INV(S638,'04_PSA_INPUTS'!H6,'04_PSA_INPUTS'!I6)</f>
        <v>#NAME?</v>
      </c>
      <c r="D638" s="27" t="e">
        <f ca="1">_xludf.GAMMA.INV(T638,'04_PSA_INPUTS'!H7,'04_PSA_INPUTS'!I7)</f>
        <v>#NAME?</v>
      </c>
      <c r="E638" s="27" t="e">
        <f ca="1">_xludf.GAMMA.INV(U638,'04_PSA_INPUTS'!H8,'04_PSA_INPUTS'!I8)</f>
        <v>#NAME?</v>
      </c>
      <c r="F638" s="27" t="e">
        <f ca="1">_xludf.GAMMA.INV(V638,'04_PSA_INPUTS'!H9,'04_PSA_INPUTS'!I9)</f>
        <v>#NAME?</v>
      </c>
      <c r="G638" s="23" t="e">
        <f ca="1">_xludf.BETA.INV(W638,'04_PSA_INPUTS'!H10,'04_PSA_INPUTS'!I10)</f>
        <v>#NAME?</v>
      </c>
      <c r="H638" s="23" t="e">
        <f ca="1">_xludf.BETA.INV(X638,'04_PSA_INPUTS'!H11,'04_PSA_INPUTS'!I11)</f>
        <v>#NAME?</v>
      </c>
      <c r="I638" s="27" t="e">
        <f ca="1">D638+B638*F638+'01_INPUTS'!B20</f>
        <v>#NAME?</v>
      </c>
      <c r="J638" s="27" t="e">
        <f ca="1">E638+C638*F638+'01_INPUTS'!B21</f>
        <v>#NAME?</v>
      </c>
      <c r="K638" s="27" t="e">
        <f t="shared" ca="1" si="54"/>
        <v>#NAME?</v>
      </c>
      <c r="L638" s="23" t="e">
        <f t="shared" ca="1" si="55"/>
        <v>#NAME?</v>
      </c>
      <c r="M638" s="23" t="e">
        <f t="shared" ca="1" si="56"/>
        <v>#NAME?</v>
      </c>
      <c r="N638" s="23" t="e">
        <f t="shared" ca="1" si="57"/>
        <v>#NAME?</v>
      </c>
      <c r="O638" s="27" t="e">
        <f t="shared" ca="1" si="58"/>
        <v>#NAME?</v>
      </c>
      <c r="P638" s="27" t="e">
        <f ca="1">'01_INPUTS'!B9*N638-K638</f>
        <v>#NAME?</v>
      </c>
      <c r="Q638" s="1" t="e">
        <f t="shared" ca="1" si="59"/>
        <v>#NAME?</v>
      </c>
      <c r="R638" s="28">
        <v>0.8086006254889071</v>
      </c>
      <c r="S638" s="28">
        <v>0.51285294257104397</v>
      </c>
      <c r="T638" s="28">
        <v>0.10886347410269082</v>
      </c>
      <c r="U638" s="28">
        <v>0.27762782899662852</v>
      </c>
      <c r="V638" s="28">
        <v>0.12190777971409261</v>
      </c>
      <c r="W638" s="28">
        <v>0.13479144684970379</v>
      </c>
      <c r="X638" s="28">
        <v>0.10793578345328569</v>
      </c>
    </row>
    <row r="639" spans="1:24" ht="13.9">
      <c r="A639" s="1">
        <v>638</v>
      </c>
      <c r="B639" s="23" t="e">
        <f ca="1">_xludf.BETA.INV(R639,'04_PSA_INPUTS'!H5,'04_PSA_INPUTS'!I5)</f>
        <v>#NAME?</v>
      </c>
      <c r="C639" s="23" t="e">
        <f ca="1">_xludf.BETA.INV(S639,'04_PSA_INPUTS'!H6,'04_PSA_INPUTS'!I6)</f>
        <v>#NAME?</v>
      </c>
      <c r="D639" s="27" t="e">
        <f ca="1">_xludf.GAMMA.INV(T639,'04_PSA_INPUTS'!H7,'04_PSA_INPUTS'!I7)</f>
        <v>#NAME?</v>
      </c>
      <c r="E639" s="27" t="e">
        <f ca="1">_xludf.GAMMA.INV(U639,'04_PSA_INPUTS'!H8,'04_PSA_INPUTS'!I8)</f>
        <v>#NAME?</v>
      </c>
      <c r="F639" s="27" t="e">
        <f ca="1">_xludf.GAMMA.INV(V639,'04_PSA_INPUTS'!H9,'04_PSA_INPUTS'!I9)</f>
        <v>#NAME?</v>
      </c>
      <c r="G639" s="23" t="e">
        <f ca="1">_xludf.BETA.INV(W639,'04_PSA_INPUTS'!H10,'04_PSA_INPUTS'!I10)</f>
        <v>#NAME?</v>
      </c>
      <c r="H639" s="23" t="e">
        <f ca="1">_xludf.BETA.INV(X639,'04_PSA_INPUTS'!H11,'04_PSA_INPUTS'!I11)</f>
        <v>#NAME?</v>
      </c>
      <c r="I639" s="27" t="e">
        <f ca="1">D639+B639*F639+'01_INPUTS'!B20</f>
        <v>#NAME?</v>
      </c>
      <c r="J639" s="27" t="e">
        <f ca="1">E639+C639*F639+'01_INPUTS'!B21</f>
        <v>#NAME?</v>
      </c>
      <c r="K639" s="27" t="e">
        <f t="shared" ca="1" si="54"/>
        <v>#NAME?</v>
      </c>
      <c r="L639" s="23" t="e">
        <f t="shared" ca="1" si="55"/>
        <v>#NAME?</v>
      </c>
      <c r="M639" s="23" t="e">
        <f t="shared" ca="1" si="56"/>
        <v>#NAME?</v>
      </c>
      <c r="N639" s="23" t="e">
        <f t="shared" ca="1" si="57"/>
        <v>#NAME?</v>
      </c>
      <c r="O639" s="27" t="e">
        <f t="shared" ca="1" si="58"/>
        <v>#NAME?</v>
      </c>
      <c r="P639" s="27" t="e">
        <f ca="1">'01_INPUTS'!B9*N639-K639</f>
        <v>#NAME?</v>
      </c>
      <c r="Q639" s="1" t="e">
        <f t="shared" ca="1" si="59"/>
        <v>#NAME?</v>
      </c>
      <c r="R639" s="28">
        <v>0.3486580743920058</v>
      </c>
      <c r="S639" s="28">
        <v>0.23845977475866675</v>
      </c>
      <c r="T639" s="28">
        <v>0.77913551009260118</v>
      </c>
      <c r="U639" s="28">
        <v>0.75122983404435217</v>
      </c>
      <c r="V639" s="28">
        <v>0.67233817907981575</v>
      </c>
      <c r="W639" s="28">
        <v>0.91459892829880118</v>
      </c>
      <c r="X639" s="28">
        <v>0.32114529004320502</v>
      </c>
    </row>
    <row r="640" spans="1:24" ht="13.9">
      <c r="A640" s="1">
        <v>639</v>
      </c>
      <c r="B640" s="23" t="e">
        <f ca="1">_xludf.BETA.INV(R640,'04_PSA_INPUTS'!H5,'04_PSA_INPUTS'!I5)</f>
        <v>#NAME?</v>
      </c>
      <c r="C640" s="23" t="e">
        <f ca="1">_xludf.BETA.INV(S640,'04_PSA_INPUTS'!H6,'04_PSA_INPUTS'!I6)</f>
        <v>#NAME?</v>
      </c>
      <c r="D640" s="27" t="e">
        <f ca="1">_xludf.GAMMA.INV(T640,'04_PSA_INPUTS'!H7,'04_PSA_INPUTS'!I7)</f>
        <v>#NAME?</v>
      </c>
      <c r="E640" s="27" t="e">
        <f ca="1">_xludf.GAMMA.INV(U640,'04_PSA_INPUTS'!H8,'04_PSA_INPUTS'!I8)</f>
        <v>#NAME?</v>
      </c>
      <c r="F640" s="27" t="e">
        <f ca="1">_xludf.GAMMA.INV(V640,'04_PSA_INPUTS'!H9,'04_PSA_INPUTS'!I9)</f>
        <v>#NAME?</v>
      </c>
      <c r="G640" s="23" t="e">
        <f ca="1">_xludf.BETA.INV(W640,'04_PSA_INPUTS'!H10,'04_PSA_INPUTS'!I10)</f>
        <v>#NAME?</v>
      </c>
      <c r="H640" s="23" t="e">
        <f ca="1">_xludf.BETA.INV(X640,'04_PSA_INPUTS'!H11,'04_PSA_INPUTS'!I11)</f>
        <v>#NAME?</v>
      </c>
      <c r="I640" s="27" t="e">
        <f ca="1">D640+B640*F640+'01_INPUTS'!B20</f>
        <v>#NAME?</v>
      </c>
      <c r="J640" s="27" t="e">
        <f ca="1">E640+C640*F640+'01_INPUTS'!B21</f>
        <v>#NAME?</v>
      </c>
      <c r="K640" s="27" t="e">
        <f t="shared" ca="1" si="54"/>
        <v>#NAME?</v>
      </c>
      <c r="L640" s="23" t="e">
        <f t="shared" ca="1" si="55"/>
        <v>#NAME?</v>
      </c>
      <c r="M640" s="23" t="e">
        <f t="shared" ca="1" si="56"/>
        <v>#NAME?</v>
      </c>
      <c r="N640" s="23" t="e">
        <f t="shared" ca="1" si="57"/>
        <v>#NAME?</v>
      </c>
      <c r="O640" s="27" t="e">
        <f t="shared" ca="1" si="58"/>
        <v>#NAME?</v>
      </c>
      <c r="P640" s="27" t="e">
        <f ca="1">'01_INPUTS'!B9*N640-K640</f>
        <v>#NAME?</v>
      </c>
      <c r="Q640" s="1" t="e">
        <f t="shared" ca="1" si="59"/>
        <v>#NAME?</v>
      </c>
      <c r="R640" s="28">
        <v>0.23331711255013943</v>
      </c>
      <c r="S640" s="28">
        <v>0.91152776358649135</v>
      </c>
      <c r="T640" s="28">
        <v>0.6951518205460161</v>
      </c>
      <c r="U640" s="28">
        <v>0.1382435045670718</v>
      </c>
      <c r="V640" s="28">
        <v>0.71601610840298235</v>
      </c>
      <c r="W640" s="28">
        <v>0.35942300013266504</v>
      </c>
      <c r="X640" s="28">
        <v>0.5033911932259798</v>
      </c>
    </row>
    <row r="641" spans="1:24" ht="13.9">
      <c r="A641" s="1">
        <v>640</v>
      </c>
      <c r="B641" s="23" t="e">
        <f ca="1">_xludf.BETA.INV(R641,'04_PSA_INPUTS'!H5,'04_PSA_INPUTS'!I5)</f>
        <v>#NAME?</v>
      </c>
      <c r="C641" s="23" t="e">
        <f ca="1">_xludf.BETA.INV(S641,'04_PSA_INPUTS'!H6,'04_PSA_INPUTS'!I6)</f>
        <v>#NAME?</v>
      </c>
      <c r="D641" s="27" t="e">
        <f ca="1">_xludf.GAMMA.INV(T641,'04_PSA_INPUTS'!H7,'04_PSA_INPUTS'!I7)</f>
        <v>#NAME?</v>
      </c>
      <c r="E641" s="27" t="e">
        <f ca="1">_xludf.GAMMA.INV(U641,'04_PSA_INPUTS'!H8,'04_PSA_INPUTS'!I8)</f>
        <v>#NAME?</v>
      </c>
      <c r="F641" s="27" t="e">
        <f ca="1">_xludf.GAMMA.INV(V641,'04_PSA_INPUTS'!H9,'04_PSA_INPUTS'!I9)</f>
        <v>#NAME?</v>
      </c>
      <c r="G641" s="23" t="e">
        <f ca="1">_xludf.BETA.INV(W641,'04_PSA_INPUTS'!H10,'04_PSA_INPUTS'!I10)</f>
        <v>#NAME?</v>
      </c>
      <c r="H641" s="23" t="e">
        <f ca="1">_xludf.BETA.INV(X641,'04_PSA_INPUTS'!H11,'04_PSA_INPUTS'!I11)</f>
        <v>#NAME?</v>
      </c>
      <c r="I641" s="27" t="e">
        <f ca="1">D641+B641*F641+'01_INPUTS'!B20</f>
        <v>#NAME?</v>
      </c>
      <c r="J641" s="27" t="e">
        <f ca="1">E641+C641*F641+'01_INPUTS'!B21</f>
        <v>#NAME?</v>
      </c>
      <c r="K641" s="27" t="e">
        <f t="shared" ca="1" si="54"/>
        <v>#NAME?</v>
      </c>
      <c r="L641" s="23" t="e">
        <f t="shared" ca="1" si="55"/>
        <v>#NAME?</v>
      </c>
      <c r="M641" s="23" t="e">
        <f t="shared" ca="1" si="56"/>
        <v>#NAME?</v>
      </c>
      <c r="N641" s="23" t="e">
        <f t="shared" ca="1" si="57"/>
        <v>#NAME?</v>
      </c>
      <c r="O641" s="27" t="e">
        <f t="shared" ca="1" si="58"/>
        <v>#NAME?</v>
      </c>
      <c r="P641" s="27" t="e">
        <f ca="1">'01_INPUTS'!B9*N641-K641</f>
        <v>#NAME?</v>
      </c>
      <c r="Q641" s="1" t="e">
        <f t="shared" ca="1" si="59"/>
        <v>#NAME?</v>
      </c>
      <c r="R641" s="28">
        <v>0.1472779787145555</v>
      </c>
      <c r="S641" s="28">
        <v>0.32420689798891544</v>
      </c>
      <c r="T641" s="28">
        <v>0.71726821199990809</v>
      </c>
      <c r="U641" s="28">
        <v>0.22633988643065095</v>
      </c>
      <c r="V641" s="28">
        <v>0.15397128881886601</v>
      </c>
      <c r="W641" s="28">
        <v>0.39687576168216765</v>
      </c>
      <c r="X641" s="28">
        <v>0.12408128753304482</v>
      </c>
    </row>
    <row r="642" spans="1:24" ht="13.9">
      <c r="A642" s="1">
        <v>641</v>
      </c>
      <c r="B642" s="23" t="e">
        <f ca="1">_xludf.BETA.INV(R642,'04_PSA_INPUTS'!H5,'04_PSA_INPUTS'!I5)</f>
        <v>#NAME?</v>
      </c>
      <c r="C642" s="23" t="e">
        <f ca="1">_xludf.BETA.INV(S642,'04_PSA_INPUTS'!H6,'04_PSA_INPUTS'!I6)</f>
        <v>#NAME?</v>
      </c>
      <c r="D642" s="27" t="e">
        <f ca="1">_xludf.GAMMA.INV(T642,'04_PSA_INPUTS'!H7,'04_PSA_INPUTS'!I7)</f>
        <v>#NAME?</v>
      </c>
      <c r="E642" s="27" t="e">
        <f ca="1">_xludf.GAMMA.INV(U642,'04_PSA_INPUTS'!H8,'04_PSA_INPUTS'!I8)</f>
        <v>#NAME?</v>
      </c>
      <c r="F642" s="27" t="e">
        <f ca="1">_xludf.GAMMA.INV(V642,'04_PSA_INPUTS'!H9,'04_PSA_INPUTS'!I9)</f>
        <v>#NAME?</v>
      </c>
      <c r="G642" s="23" t="e">
        <f ca="1">_xludf.BETA.INV(W642,'04_PSA_INPUTS'!H10,'04_PSA_INPUTS'!I10)</f>
        <v>#NAME?</v>
      </c>
      <c r="H642" s="23" t="e">
        <f ca="1">_xludf.BETA.INV(X642,'04_PSA_INPUTS'!H11,'04_PSA_INPUTS'!I11)</f>
        <v>#NAME?</v>
      </c>
      <c r="I642" s="27" t="e">
        <f ca="1">D642+B642*F642+'01_INPUTS'!B20</f>
        <v>#NAME?</v>
      </c>
      <c r="J642" s="27" t="e">
        <f ca="1">E642+C642*F642+'01_INPUTS'!B21</f>
        <v>#NAME?</v>
      </c>
      <c r="K642" s="27" t="e">
        <f t="shared" ref="K642:K705" ca="1" si="60">I642-J642</f>
        <v>#NAME?</v>
      </c>
      <c r="L642" s="23" t="e">
        <f t="shared" ref="L642:L705" ca="1" si="61">G642-B642*H642</f>
        <v>#NAME?</v>
      </c>
      <c r="M642" s="23" t="e">
        <f t="shared" ref="M642:M705" ca="1" si="62">G642-C642*H642</f>
        <v>#NAME?</v>
      </c>
      <c r="N642" s="23" t="e">
        <f t="shared" ref="N642:N705" ca="1" si="63">L642-M642</f>
        <v>#NAME?</v>
      </c>
      <c r="O642" s="27" t="e">
        <f t="shared" ref="O642:O705" ca="1" si="64">IF(N642=0,"",K642/N642)</f>
        <v>#NAME?</v>
      </c>
      <c r="P642" s="27" t="e">
        <f ca="1">'01_INPUTS'!B9*N642-K642</f>
        <v>#NAME?</v>
      </c>
      <c r="Q642" s="1" t="e">
        <f t="shared" ref="Q642:Q705" ca="1" si="65">IF(P642&gt;0,1,0)</f>
        <v>#NAME?</v>
      </c>
      <c r="R642" s="28">
        <v>0.14132780255749822</v>
      </c>
      <c r="S642" s="28">
        <v>0.19818875077180564</v>
      </c>
      <c r="T642" s="28">
        <v>0.87906436063349247</v>
      </c>
      <c r="U642" s="28">
        <v>0.74745320319198072</v>
      </c>
      <c r="V642" s="28">
        <v>0.76709442120045424</v>
      </c>
      <c r="W642" s="28">
        <v>0.78264044271782041</v>
      </c>
      <c r="X642" s="28">
        <v>0.15224370453506708</v>
      </c>
    </row>
    <row r="643" spans="1:24" ht="13.9">
      <c r="A643" s="1">
        <v>642</v>
      </c>
      <c r="B643" s="23" t="e">
        <f ca="1">_xludf.BETA.INV(R643,'04_PSA_INPUTS'!H5,'04_PSA_INPUTS'!I5)</f>
        <v>#NAME?</v>
      </c>
      <c r="C643" s="23" t="e">
        <f ca="1">_xludf.BETA.INV(S643,'04_PSA_INPUTS'!H6,'04_PSA_INPUTS'!I6)</f>
        <v>#NAME?</v>
      </c>
      <c r="D643" s="27" t="e">
        <f ca="1">_xludf.GAMMA.INV(T643,'04_PSA_INPUTS'!H7,'04_PSA_INPUTS'!I7)</f>
        <v>#NAME?</v>
      </c>
      <c r="E643" s="27" t="e">
        <f ca="1">_xludf.GAMMA.INV(U643,'04_PSA_INPUTS'!H8,'04_PSA_INPUTS'!I8)</f>
        <v>#NAME?</v>
      </c>
      <c r="F643" s="27" t="e">
        <f ca="1">_xludf.GAMMA.INV(V643,'04_PSA_INPUTS'!H9,'04_PSA_INPUTS'!I9)</f>
        <v>#NAME?</v>
      </c>
      <c r="G643" s="23" t="e">
        <f ca="1">_xludf.BETA.INV(W643,'04_PSA_INPUTS'!H10,'04_PSA_INPUTS'!I10)</f>
        <v>#NAME?</v>
      </c>
      <c r="H643" s="23" t="e">
        <f ca="1">_xludf.BETA.INV(X643,'04_PSA_INPUTS'!H11,'04_PSA_INPUTS'!I11)</f>
        <v>#NAME?</v>
      </c>
      <c r="I643" s="27" t="e">
        <f ca="1">D643+B643*F643+'01_INPUTS'!B20</f>
        <v>#NAME?</v>
      </c>
      <c r="J643" s="27" t="e">
        <f ca="1">E643+C643*F643+'01_INPUTS'!B21</f>
        <v>#NAME?</v>
      </c>
      <c r="K643" s="27" t="e">
        <f t="shared" ca="1" si="60"/>
        <v>#NAME?</v>
      </c>
      <c r="L643" s="23" t="e">
        <f t="shared" ca="1" si="61"/>
        <v>#NAME?</v>
      </c>
      <c r="M643" s="23" t="e">
        <f t="shared" ca="1" si="62"/>
        <v>#NAME?</v>
      </c>
      <c r="N643" s="23" t="e">
        <f t="shared" ca="1" si="63"/>
        <v>#NAME?</v>
      </c>
      <c r="O643" s="27" t="e">
        <f t="shared" ca="1" si="64"/>
        <v>#NAME?</v>
      </c>
      <c r="P643" s="27" t="e">
        <f ca="1">'01_INPUTS'!B9*N643-K643</f>
        <v>#NAME?</v>
      </c>
      <c r="Q643" s="1" t="e">
        <f t="shared" ca="1" si="65"/>
        <v>#NAME?</v>
      </c>
      <c r="R643" s="28">
        <v>0.87234194297343493</v>
      </c>
      <c r="S643" s="28">
        <v>0.64056399627588689</v>
      </c>
      <c r="T643" s="28">
        <v>4.1874832473695278E-2</v>
      </c>
      <c r="U643" s="28">
        <v>0.83399356808513403</v>
      </c>
      <c r="V643" s="28">
        <v>8.7391437729820609E-2</v>
      </c>
      <c r="W643" s="28">
        <v>0.35496160038746893</v>
      </c>
      <c r="X643" s="28">
        <v>0.65430925949476659</v>
      </c>
    </row>
    <row r="644" spans="1:24" ht="13.9">
      <c r="A644" s="1">
        <v>643</v>
      </c>
      <c r="B644" s="23" t="e">
        <f ca="1">_xludf.BETA.INV(R644,'04_PSA_INPUTS'!H5,'04_PSA_INPUTS'!I5)</f>
        <v>#NAME?</v>
      </c>
      <c r="C644" s="23" t="e">
        <f ca="1">_xludf.BETA.INV(S644,'04_PSA_INPUTS'!H6,'04_PSA_INPUTS'!I6)</f>
        <v>#NAME?</v>
      </c>
      <c r="D644" s="27" t="e">
        <f ca="1">_xludf.GAMMA.INV(T644,'04_PSA_INPUTS'!H7,'04_PSA_INPUTS'!I7)</f>
        <v>#NAME?</v>
      </c>
      <c r="E644" s="27" t="e">
        <f ca="1">_xludf.GAMMA.INV(U644,'04_PSA_INPUTS'!H8,'04_PSA_INPUTS'!I8)</f>
        <v>#NAME?</v>
      </c>
      <c r="F644" s="27" t="e">
        <f ca="1">_xludf.GAMMA.INV(V644,'04_PSA_INPUTS'!H9,'04_PSA_INPUTS'!I9)</f>
        <v>#NAME?</v>
      </c>
      <c r="G644" s="23" t="e">
        <f ca="1">_xludf.BETA.INV(W644,'04_PSA_INPUTS'!H10,'04_PSA_INPUTS'!I10)</f>
        <v>#NAME?</v>
      </c>
      <c r="H644" s="23" t="e">
        <f ca="1">_xludf.BETA.INV(X644,'04_PSA_INPUTS'!H11,'04_PSA_INPUTS'!I11)</f>
        <v>#NAME?</v>
      </c>
      <c r="I644" s="27" t="e">
        <f ca="1">D644+B644*F644+'01_INPUTS'!B20</f>
        <v>#NAME?</v>
      </c>
      <c r="J644" s="27" t="e">
        <f ca="1">E644+C644*F644+'01_INPUTS'!B21</f>
        <v>#NAME?</v>
      </c>
      <c r="K644" s="27" t="e">
        <f t="shared" ca="1" si="60"/>
        <v>#NAME?</v>
      </c>
      <c r="L644" s="23" t="e">
        <f t="shared" ca="1" si="61"/>
        <v>#NAME?</v>
      </c>
      <c r="M644" s="23" t="e">
        <f t="shared" ca="1" si="62"/>
        <v>#NAME?</v>
      </c>
      <c r="N644" s="23" t="e">
        <f t="shared" ca="1" si="63"/>
        <v>#NAME?</v>
      </c>
      <c r="O644" s="27" t="e">
        <f t="shared" ca="1" si="64"/>
        <v>#NAME?</v>
      </c>
      <c r="P644" s="27" t="e">
        <f ca="1">'01_INPUTS'!B9*N644-K644</f>
        <v>#NAME?</v>
      </c>
      <c r="Q644" s="1" t="e">
        <f t="shared" ca="1" si="65"/>
        <v>#NAME?</v>
      </c>
      <c r="R644" s="28">
        <v>6.8139124196022749E-3</v>
      </c>
      <c r="S644" s="28">
        <v>0.60978590836748481</v>
      </c>
      <c r="T644" s="28">
        <v>0.53318748250603676</v>
      </c>
      <c r="U644" s="28">
        <v>0.83304580510593951</v>
      </c>
      <c r="V644" s="28">
        <v>0.93867551302537322</v>
      </c>
      <c r="W644" s="28">
        <v>0.6476572141982615</v>
      </c>
      <c r="X644" s="28">
        <v>0.18794477568008006</v>
      </c>
    </row>
    <row r="645" spans="1:24" ht="13.9">
      <c r="A645" s="1">
        <v>644</v>
      </c>
      <c r="B645" s="23" t="e">
        <f ca="1">_xludf.BETA.INV(R645,'04_PSA_INPUTS'!H5,'04_PSA_INPUTS'!I5)</f>
        <v>#NAME?</v>
      </c>
      <c r="C645" s="23" t="e">
        <f ca="1">_xludf.BETA.INV(S645,'04_PSA_INPUTS'!H6,'04_PSA_INPUTS'!I6)</f>
        <v>#NAME?</v>
      </c>
      <c r="D645" s="27" t="e">
        <f ca="1">_xludf.GAMMA.INV(T645,'04_PSA_INPUTS'!H7,'04_PSA_INPUTS'!I7)</f>
        <v>#NAME?</v>
      </c>
      <c r="E645" s="27" t="e">
        <f ca="1">_xludf.GAMMA.INV(U645,'04_PSA_INPUTS'!H8,'04_PSA_INPUTS'!I8)</f>
        <v>#NAME?</v>
      </c>
      <c r="F645" s="27" t="e">
        <f ca="1">_xludf.GAMMA.INV(V645,'04_PSA_INPUTS'!H9,'04_PSA_INPUTS'!I9)</f>
        <v>#NAME?</v>
      </c>
      <c r="G645" s="23" t="e">
        <f ca="1">_xludf.BETA.INV(W645,'04_PSA_INPUTS'!H10,'04_PSA_INPUTS'!I10)</f>
        <v>#NAME?</v>
      </c>
      <c r="H645" s="23" t="e">
        <f ca="1">_xludf.BETA.INV(X645,'04_PSA_INPUTS'!H11,'04_PSA_INPUTS'!I11)</f>
        <v>#NAME?</v>
      </c>
      <c r="I645" s="27" t="e">
        <f ca="1">D645+B645*F645+'01_INPUTS'!B20</f>
        <v>#NAME?</v>
      </c>
      <c r="J645" s="27" t="e">
        <f ca="1">E645+C645*F645+'01_INPUTS'!B21</f>
        <v>#NAME?</v>
      </c>
      <c r="K645" s="27" t="e">
        <f t="shared" ca="1" si="60"/>
        <v>#NAME?</v>
      </c>
      <c r="L645" s="23" t="e">
        <f t="shared" ca="1" si="61"/>
        <v>#NAME?</v>
      </c>
      <c r="M645" s="23" t="e">
        <f t="shared" ca="1" si="62"/>
        <v>#NAME?</v>
      </c>
      <c r="N645" s="23" t="e">
        <f t="shared" ca="1" si="63"/>
        <v>#NAME?</v>
      </c>
      <c r="O645" s="27" t="e">
        <f t="shared" ca="1" si="64"/>
        <v>#NAME?</v>
      </c>
      <c r="P645" s="27" t="e">
        <f ca="1">'01_INPUTS'!B9*N645-K645</f>
        <v>#NAME?</v>
      </c>
      <c r="Q645" s="1" t="e">
        <f t="shared" ca="1" si="65"/>
        <v>#NAME?</v>
      </c>
      <c r="R645" s="28">
        <v>0.15454657026566565</v>
      </c>
      <c r="S645" s="28">
        <v>0.18533356091938913</v>
      </c>
      <c r="T645" s="28">
        <v>0.95771910110488534</v>
      </c>
      <c r="U645" s="28">
        <v>0.69880960113368928</v>
      </c>
      <c r="V645" s="28">
        <v>0.22354323184117675</v>
      </c>
      <c r="W645" s="28">
        <v>0.53576693963259459</v>
      </c>
      <c r="X645" s="28">
        <v>0.83810483710840344</v>
      </c>
    </row>
    <row r="646" spans="1:24" ht="13.9">
      <c r="A646" s="1">
        <v>645</v>
      </c>
      <c r="B646" s="23" t="e">
        <f ca="1">_xludf.BETA.INV(R646,'04_PSA_INPUTS'!H5,'04_PSA_INPUTS'!I5)</f>
        <v>#NAME?</v>
      </c>
      <c r="C646" s="23" t="e">
        <f ca="1">_xludf.BETA.INV(S646,'04_PSA_INPUTS'!H6,'04_PSA_INPUTS'!I6)</f>
        <v>#NAME?</v>
      </c>
      <c r="D646" s="27" t="e">
        <f ca="1">_xludf.GAMMA.INV(T646,'04_PSA_INPUTS'!H7,'04_PSA_INPUTS'!I7)</f>
        <v>#NAME?</v>
      </c>
      <c r="E646" s="27" t="e">
        <f ca="1">_xludf.GAMMA.INV(U646,'04_PSA_INPUTS'!H8,'04_PSA_INPUTS'!I8)</f>
        <v>#NAME?</v>
      </c>
      <c r="F646" s="27" t="e">
        <f ca="1">_xludf.GAMMA.INV(V646,'04_PSA_INPUTS'!H9,'04_PSA_INPUTS'!I9)</f>
        <v>#NAME?</v>
      </c>
      <c r="G646" s="23" t="e">
        <f ca="1">_xludf.BETA.INV(W646,'04_PSA_INPUTS'!H10,'04_PSA_INPUTS'!I10)</f>
        <v>#NAME?</v>
      </c>
      <c r="H646" s="23" t="e">
        <f ca="1">_xludf.BETA.INV(X646,'04_PSA_INPUTS'!H11,'04_PSA_INPUTS'!I11)</f>
        <v>#NAME?</v>
      </c>
      <c r="I646" s="27" t="e">
        <f ca="1">D646+B646*F646+'01_INPUTS'!B20</f>
        <v>#NAME?</v>
      </c>
      <c r="J646" s="27" t="e">
        <f ca="1">E646+C646*F646+'01_INPUTS'!B21</f>
        <v>#NAME?</v>
      </c>
      <c r="K646" s="27" t="e">
        <f t="shared" ca="1" si="60"/>
        <v>#NAME?</v>
      </c>
      <c r="L646" s="23" t="e">
        <f t="shared" ca="1" si="61"/>
        <v>#NAME?</v>
      </c>
      <c r="M646" s="23" t="e">
        <f t="shared" ca="1" si="62"/>
        <v>#NAME?</v>
      </c>
      <c r="N646" s="23" t="e">
        <f t="shared" ca="1" si="63"/>
        <v>#NAME?</v>
      </c>
      <c r="O646" s="27" t="e">
        <f t="shared" ca="1" si="64"/>
        <v>#NAME?</v>
      </c>
      <c r="P646" s="27" t="e">
        <f ca="1">'01_INPUTS'!B9*N646-K646</f>
        <v>#NAME?</v>
      </c>
      <c r="Q646" s="1" t="e">
        <f t="shared" ca="1" si="65"/>
        <v>#NAME?</v>
      </c>
      <c r="R646" s="28">
        <v>0.49910931824706495</v>
      </c>
      <c r="S646" s="28">
        <v>0.62563983583822846</v>
      </c>
      <c r="T646" s="28">
        <v>0.62674351898021996</v>
      </c>
      <c r="U646" s="28">
        <v>0.86548412754200399</v>
      </c>
      <c r="V646" s="28">
        <v>0.42764440947212279</v>
      </c>
      <c r="W646" s="28">
        <v>0.97105833142995834</v>
      </c>
      <c r="X646" s="28">
        <v>0.55175544344820082</v>
      </c>
    </row>
    <row r="647" spans="1:24" ht="13.9">
      <c r="A647" s="1">
        <v>646</v>
      </c>
      <c r="B647" s="23" t="e">
        <f ca="1">_xludf.BETA.INV(R647,'04_PSA_INPUTS'!H5,'04_PSA_INPUTS'!I5)</f>
        <v>#NAME?</v>
      </c>
      <c r="C647" s="23" t="e">
        <f ca="1">_xludf.BETA.INV(S647,'04_PSA_INPUTS'!H6,'04_PSA_INPUTS'!I6)</f>
        <v>#NAME?</v>
      </c>
      <c r="D647" s="27" t="e">
        <f ca="1">_xludf.GAMMA.INV(T647,'04_PSA_INPUTS'!H7,'04_PSA_INPUTS'!I7)</f>
        <v>#NAME?</v>
      </c>
      <c r="E647" s="27" t="e">
        <f ca="1">_xludf.GAMMA.INV(U647,'04_PSA_INPUTS'!H8,'04_PSA_INPUTS'!I8)</f>
        <v>#NAME?</v>
      </c>
      <c r="F647" s="27" t="e">
        <f ca="1">_xludf.GAMMA.INV(V647,'04_PSA_INPUTS'!H9,'04_PSA_INPUTS'!I9)</f>
        <v>#NAME?</v>
      </c>
      <c r="G647" s="23" t="e">
        <f ca="1">_xludf.BETA.INV(W647,'04_PSA_INPUTS'!H10,'04_PSA_INPUTS'!I10)</f>
        <v>#NAME?</v>
      </c>
      <c r="H647" s="23" t="e">
        <f ca="1">_xludf.BETA.INV(X647,'04_PSA_INPUTS'!H11,'04_PSA_INPUTS'!I11)</f>
        <v>#NAME?</v>
      </c>
      <c r="I647" s="27" t="e">
        <f ca="1">D647+B647*F647+'01_INPUTS'!B20</f>
        <v>#NAME?</v>
      </c>
      <c r="J647" s="27" t="e">
        <f ca="1">E647+C647*F647+'01_INPUTS'!B21</f>
        <v>#NAME?</v>
      </c>
      <c r="K647" s="27" t="e">
        <f t="shared" ca="1" si="60"/>
        <v>#NAME?</v>
      </c>
      <c r="L647" s="23" t="e">
        <f t="shared" ca="1" si="61"/>
        <v>#NAME?</v>
      </c>
      <c r="M647" s="23" t="e">
        <f t="shared" ca="1" si="62"/>
        <v>#NAME?</v>
      </c>
      <c r="N647" s="23" t="e">
        <f t="shared" ca="1" si="63"/>
        <v>#NAME?</v>
      </c>
      <c r="O647" s="27" t="e">
        <f t="shared" ca="1" si="64"/>
        <v>#NAME?</v>
      </c>
      <c r="P647" s="27" t="e">
        <f ca="1">'01_INPUTS'!B9*N647-K647</f>
        <v>#NAME?</v>
      </c>
      <c r="Q647" s="1" t="e">
        <f t="shared" ca="1" si="65"/>
        <v>#NAME?</v>
      </c>
      <c r="R647" s="28">
        <v>0.11332846526056528</v>
      </c>
      <c r="S647" s="28">
        <v>0.12216267175972462</v>
      </c>
      <c r="T647" s="28">
        <v>0.49000716861337423</v>
      </c>
      <c r="U647" s="28">
        <v>0.86930523137561977</v>
      </c>
      <c r="V647" s="28">
        <v>0.48530781990848482</v>
      </c>
      <c r="W647" s="28">
        <v>0.96016135113313794</v>
      </c>
      <c r="X647" s="28">
        <v>0.38306248933076859</v>
      </c>
    </row>
    <row r="648" spans="1:24" ht="13.9">
      <c r="A648" s="1">
        <v>647</v>
      </c>
      <c r="B648" s="23" t="e">
        <f ca="1">_xludf.BETA.INV(R648,'04_PSA_INPUTS'!H5,'04_PSA_INPUTS'!I5)</f>
        <v>#NAME?</v>
      </c>
      <c r="C648" s="23" t="e">
        <f ca="1">_xludf.BETA.INV(S648,'04_PSA_INPUTS'!H6,'04_PSA_INPUTS'!I6)</f>
        <v>#NAME?</v>
      </c>
      <c r="D648" s="27" t="e">
        <f ca="1">_xludf.GAMMA.INV(T648,'04_PSA_INPUTS'!H7,'04_PSA_INPUTS'!I7)</f>
        <v>#NAME?</v>
      </c>
      <c r="E648" s="27" t="e">
        <f ca="1">_xludf.GAMMA.INV(U648,'04_PSA_INPUTS'!H8,'04_PSA_INPUTS'!I8)</f>
        <v>#NAME?</v>
      </c>
      <c r="F648" s="27" t="e">
        <f ca="1">_xludf.GAMMA.INV(V648,'04_PSA_INPUTS'!H9,'04_PSA_INPUTS'!I9)</f>
        <v>#NAME?</v>
      </c>
      <c r="G648" s="23" t="e">
        <f ca="1">_xludf.BETA.INV(W648,'04_PSA_INPUTS'!H10,'04_PSA_INPUTS'!I10)</f>
        <v>#NAME?</v>
      </c>
      <c r="H648" s="23" t="e">
        <f ca="1">_xludf.BETA.INV(X648,'04_PSA_INPUTS'!H11,'04_PSA_INPUTS'!I11)</f>
        <v>#NAME?</v>
      </c>
      <c r="I648" s="27" t="e">
        <f ca="1">D648+B648*F648+'01_INPUTS'!B20</f>
        <v>#NAME?</v>
      </c>
      <c r="J648" s="27" t="e">
        <f ca="1">E648+C648*F648+'01_INPUTS'!B21</f>
        <v>#NAME?</v>
      </c>
      <c r="K648" s="27" t="e">
        <f t="shared" ca="1" si="60"/>
        <v>#NAME?</v>
      </c>
      <c r="L648" s="23" t="e">
        <f t="shared" ca="1" si="61"/>
        <v>#NAME?</v>
      </c>
      <c r="M648" s="23" t="e">
        <f t="shared" ca="1" si="62"/>
        <v>#NAME?</v>
      </c>
      <c r="N648" s="23" t="e">
        <f t="shared" ca="1" si="63"/>
        <v>#NAME?</v>
      </c>
      <c r="O648" s="27" t="e">
        <f t="shared" ca="1" si="64"/>
        <v>#NAME?</v>
      </c>
      <c r="P648" s="27" t="e">
        <f ca="1">'01_INPUTS'!B9*N648-K648</f>
        <v>#NAME?</v>
      </c>
      <c r="Q648" s="1" t="e">
        <f t="shared" ca="1" si="65"/>
        <v>#NAME?</v>
      </c>
      <c r="R648" s="28">
        <v>0.52409583074040711</v>
      </c>
      <c r="S648" s="28">
        <v>0.17281695059500635</v>
      </c>
      <c r="T648" s="28">
        <v>0.48211086774244905</v>
      </c>
      <c r="U648" s="28">
        <v>0.64070018706843257</v>
      </c>
      <c r="V648" s="28">
        <v>0.48056514072231948</v>
      </c>
      <c r="W648" s="28">
        <v>0.12765296641737223</v>
      </c>
      <c r="X648" s="28">
        <v>0.49658134113997221</v>
      </c>
    </row>
    <row r="649" spans="1:24" ht="13.9">
      <c r="A649" s="1">
        <v>648</v>
      </c>
      <c r="B649" s="23" t="e">
        <f ca="1">_xludf.BETA.INV(R649,'04_PSA_INPUTS'!H5,'04_PSA_INPUTS'!I5)</f>
        <v>#NAME?</v>
      </c>
      <c r="C649" s="23" t="e">
        <f ca="1">_xludf.BETA.INV(S649,'04_PSA_INPUTS'!H6,'04_PSA_INPUTS'!I6)</f>
        <v>#NAME?</v>
      </c>
      <c r="D649" s="27" t="e">
        <f ca="1">_xludf.GAMMA.INV(T649,'04_PSA_INPUTS'!H7,'04_PSA_INPUTS'!I7)</f>
        <v>#NAME?</v>
      </c>
      <c r="E649" s="27" t="e">
        <f ca="1">_xludf.GAMMA.INV(U649,'04_PSA_INPUTS'!H8,'04_PSA_INPUTS'!I8)</f>
        <v>#NAME?</v>
      </c>
      <c r="F649" s="27" t="e">
        <f ca="1">_xludf.GAMMA.INV(V649,'04_PSA_INPUTS'!H9,'04_PSA_INPUTS'!I9)</f>
        <v>#NAME?</v>
      </c>
      <c r="G649" s="23" t="e">
        <f ca="1">_xludf.BETA.INV(W649,'04_PSA_INPUTS'!H10,'04_PSA_INPUTS'!I10)</f>
        <v>#NAME?</v>
      </c>
      <c r="H649" s="23" t="e">
        <f ca="1">_xludf.BETA.INV(X649,'04_PSA_INPUTS'!H11,'04_PSA_INPUTS'!I11)</f>
        <v>#NAME?</v>
      </c>
      <c r="I649" s="27" t="e">
        <f ca="1">D649+B649*F649+'01_INPUTS'!B20</f>
        <v>#NAME?</v>
      </c>
      <c r="J649" s="27" t="e">
        <f ca="1">E649+C649*F649+'01_INPUTS'!B21</f>
        <v>#NAME?</v>
      </c>
      <c r="K649" s="27" t="e">
        <f t="shared" ca="1" si="60"/>
        <v>#NAME?</v>
      </c>
      <c r="L649" s="23" t="e">
        <f t="shared" ca="1" si="61"/>
        <v>#NAME?</v>
      </c>
      <c r="M649" s="23" t="e">
        <f t="shared" ca="1" si="62"/>
        <v>#NAME?</v>
      </c>
      <c r="N649" s="23" t="e">
        <f t="shared" ca="1" si="63"/>
        <v>#NAME?</v>
      </c>
      <c r="O649" s="27" t="e">
        <f t="shared" ca="1" si="64"/>
        <v>#NAME?</v>
      </c>
      <c r="P649" s="27" t="e">
        <f ca="1">'01_INPUTS'!B9*N649-K649</f>
        <v>#NAME?</v>
      </c>
      <c r="Q649" s="1" t="e">
        <f t="shared" ca="1" si="65"/>
        <v>#NAME?</v>
      </c>
      <c r="R649" s="28">
        <v>8.0711093964055181E-2</v>
      </c>
      <c r="S649" s="28">
        <v>0.59479624521918595</v>
      </c>
      <c r="T649" s="28">
        <v>0.55292692803777754</v>
      </c>
      <c r="U649" s="28">
        <v>0.78656113403849304</v>
      </c>
      <c r="V649" s="28">
        <v>7.7544294530525804E-2</v>
      </c>
      <c r="W649" s="28">
        <v>0.71539374277926981</v>
      </c>
      <c r="X649" s="28">
        <v>0.14296087110415101</v>
      </c>
    </row>
    <row r="650" spans="1:24" ht="13.9">
      <c r="A650" s="1">
        <v>649</v>
      </c>
      <c r="B650" s="23" t="e">
        <f ca="1">_xludf.BETA.INV(R650,'04_PSA_INPUTS'!H5,'04_PSA_INPUTS'!I5)</f>
        <v>#NAME?</v>
      </c>
      <c r="C650" s="23" t="e">
        <f ca="1">_xludf.BETA.INV(S650,'04_PSA_INPUTS'!H6,'04_PSA_INPUTS'!I6)</f>
        <v>#NAME?</v>
      </c>
      <c r="D650" s="27" t="e">
        <f ca="1">_xludf.GAMMA.INV(T650,'04_PSA_INPUTS'!H7,'04_PSA_INPUTS'!I7)</f>
        <v>#NAME?</v>
      </c>
      <c r="E650" s="27" t="e">
        <f ca="1">_xludf.GAMMA.INV(U650,'04_PSA_INPUTS'!H8,'04_PSA_INPUTS'!I8)</f>
        <v>#NAME?</v>
      </c>
      <c r="F650" s="27" t="e">
        <f ca="1">_xludf.GAMMA.INV(V650,'04_PSA_INPUTS'!H9,'04_PSA_INPUTS'!I9)</f>
        <v>#NAME?</v>
      </c>
      <c r="G650" s="23" t="e">
        <f ca="1">_xludf.BETA.INV(W650,'04_PSA_INPUTS'!H10,'04_PSA_INPUTS'!I10)</f>
        <v>#NAME?</v>
      </c>
      <c r="H650" s="23" t="e">
        <f ca="1">_xludf.BETA.INV(X650,'04_PSA_INPUTS'!H11,'04_PSA_INPUTS'!I11)</f>
        <v>#NAME?</v>
      </c>
      <c r="I650" s="27" t="e">
        <f ca="1">D650+B650*F650+'01_INPUTS'!B20</f>
        <v>#NAME?</v>
      </c>
      <c r="J650" s="27" t="e">
        <f ca="1">E650+C650*F650+'01_INPUTS'!B21</f>
        <v>#NAME?</v>
      </c>
      <c r="K650" s="27" t="e">
        <f t="shared" ca="1" si="60"/>
        <v>#NAME?</v>
      </c>
      <c r="L650" s="23" t="e">
        <f t="shared" ca="1" si="61"/>
        <v>#NAME?</v>
      </c>
      <c r="M650" s="23" t="e">
        <f t="shared" ca="1" si="62"/>
        <v>#NAME?</v>
      </c>
      <c r="N650" s="23" t="e">
        <f t="shared" ca="1" si="63"/>
        <v>#NAME?</v>
      </c>
      <c r="O650" s="27" t="e">
        <f t="shared" ca="1" si="64"/>
        <v>#NAME?</v>
      </c>
      <c r="P650" s="27" t="e">
        <f ca="1">'01_INPUTS'!B9*N650-K650</f>
        <v>#NAME?</v>
      </c>
      <c r="Q650" s="1" t="e">
        <f t="shared" ca="1" si="65"/>
        <v>#NAME?</v>
      </c>
      <c r="R650" s="28">
        <v>0.9532851732801646</v>
      </c>
      <c r="S650" s="28">
        <v>0.75470189191401005</v>
      </c>
      <c r="T650" s="28">
        <v>0.30223724525421858</v>
      </c>
      <c r="U650" s="28">
        <v>0.85571363079361618</v>
      </c>
      <c r="V650" s="28">
        <v>0.55971238575875759</v>
      </c>
      <c r="W650" s="28">
        <v>0.58426258782856166</v>
      </c>
      <c r="X650" s="28">
        <v>0.63653066963888705</v>
      </c>
    </row>
    <row r="651" spans="1:24" ht="13.9">
      <c r="A651" s="1">
        <v>650</v>
      </c>
      <c r="B651" s="23" t="e">
        <f ca="1">_xludf.BETA.INV(R651,'04_PSA_INPUTS'!H5,'04_PSA_INPUTS'!I5)</f>
        <v>#NAME?</v>
      </c>
      <c r="C651" s="23" t="e">
        <f ca="1">_xludf.BETA.INV(S651,'04_PSA_INPUTS'!H6,'04_PSA_INPUTS'!I6)</f>
        <v>#NAME?</v>
      </c>
      <c r="D651" s="27" t="e">
        <f ca="1">_xludf.GAMMA.INV(T651,'04_PSA_INPUTS'!H7,'04_PSA_INPUTS'!I7)</f>
        <v>#NAME?</v>
      </c>
      <c r="E651" s="27" t="e">
        <f ca="1">_xludf.GAMMA.INV(U651,'04_PSA_INPUTS'!H8,'04_PSA_INPUTS'!I8)</f>
        <v>#NAME?</v>
      </c>
      <c r="F651" s="27" t="e">
        <f ca="1">_xludf.GAMMA.INV(V651,'04_PSA_INPUTS'!H9,'04_PSA_INPUTS'!I9)</f>
        <v>#NAME?</v>
      </c>
      <c r="G651" s="23" t="e">
        <f ca="1">_xludf.BETA.INV(W651,'04_PSA_INPUTS'!H10,'04_PSA_INPUTS'!I10)</f>
        <v>#NAME?</v>
      </c>
      <c r="H651" s="23" t="e">
        <f ca="1">_xludf.BETA.INV(X651,'04_PSA_INPUTS'!H11,'04_PSA_INPUTS'!I11)</f>
        <v>#NAME?</v>
      </c>
      <c r="I651" s="27" t="e">
        <f ca="1">D651+B651*F651+'01_INPUTS'!B20</f>
        <v>#NAME?</v>
      </c>
      <c r="J651" s="27" t="e">
        <f ca="1">E651+C651*F651+'01_INPUTS'!B21</f>
        <v>#NAME?</v>
      </c>
      <c r="K651" s="27" t="e">
        <f t="shared" ca="1" si="60"/>
        <v>#NAME?</v>
      </c>
      <c r="L651" s="23" t="e">
        <f t="shared" ca="1" si="61"/>
        <v>#NAME?</v>
      </c>
      <c r="M651" s="23" t="e">
        <f t="shared" ca="1" si="62"/>
        <v>#NAME?</v>
      </c>
      <c r="N651" s="23" t="e">
        <f t="shared" ca="1" si="63"/>
        <v>#NAME?</v>
      </c>
      <c r="O651" s="27" t="e">
        <f t="shared" ca="1" si="64"/>
        <v>#NAME?</v>
      </c>
      <c r="P651" s="27" t="e">
        <f ca="1">'01_INPUTS'!B9*N651-K651</f>
        <v>#NAME?</v>
      </c>
      <c r="Q651" s="1" t="e">
        <f t="shared" ca="1" si="65"/>
        <v>#NAME?</v>
      </c>
      <c r="R651" s="28">
        <v>0.8282900070771575</v>
      </c>
      <c r="S651" s="28">
        <v>0.97452788567170501</v>
      </c>
      <c r="T651" s="28">
        <v>0.43711479660123587</v>
      </c>
      <c r="U651" s="28">
        <v>0.72403367585502565</v>
      </c>
      <c r="V651" s="28">
        <v>0.52044520527124405</v>
      </c>
      <c r="W651" s="28">
        <v>0.32074263948015869</v>
      </c>
      <c r="X651" s="28">
        <v>0.51472078915685415</v>
      </c>
    </row>
    <row r="652" spans="1:24" ht="13.9">
      <c r="A652" s="1">
        <v>651</v>
      </c>
      <c r="B652" s="23" t="e">
        <f ca="1">_xludf.BETA.INV(R652,'04_PSA_INPUTS'!H5,'04_PSA_INPUTS'!I5)</f>
        <v>#NAME?</v>
      </c>
      <c r="C652" s="23" t="e">
        <f ca="1">_xludf.BETA.INV(S652,'04_PSA_INPUTS'!H6,'04_PSA_INPUTS'!I6)</f>
        <v>#NAME?</v>
      </c>
      <c r="D652" s="27" t="e">
        <f ca="1">_xludf.GAMMA.INV(T652,'04_PSA_INPUTS'!H7,'04_PSA_INPUTS'!I7)</f>
        <v>#NAME?</v>
      </c>
      <c r="E652" s="27" t="e">
        <f ca="1">_xludf.GAMMA.INV(U652,'04_PSA_INPUTS'!H8,'04_PSA_INPUTS'!I8)</f>
        <v>#NAME?</v>
      </c>
      <c r="F652" s="27" t="e">
        <f ca="1">_xludf.GAMMA.INV(V652,'04_PSA_INPUTS'!H9,'04_PSA_INPUTS'!I9)</f>
        <v>#NAME?</v>
      </c>
      <c r="G652" s="23" t="e">
        <f ca="1">_xludf.BETA.INV(W652,'04_PSA_INPUTS'!H10,'04_PSA_INPUTS'!I10)</f>
        <v>#NAME?</v>
      </c>
      <c r="H652" s="23" t="e">
        <f ca="1">_xludf.BETA.INV(X652,'04_PSA_INPUTS'!H11,'04_PSA_INPUTS'!I11)</f>
        <v>#NAME?</v>
      </c>
      <c r="I652" s="27" t="e">
        <f ca="1">D652+B652*F652+'01_INPUTS'!B20</f>
        <v>#NAME?</v>
      </c>
      <c r="J652" s="27" t="e">
        <f ca="1">E652+C652*F652+'01_INPUTS'!B21</f>
        <v>#NAME?</v>
      </c>
      <c r="K652" s="27" t="e">
        <f t="shared" ca="1" si="60"/>
        <v>#NAME?</v>
      </c>
      <c r="L652" s="23" t="e">
        <f t="shared" ca="1" si="61"/>
        <v>#NAME?</v>
      </c>
      <c r="M652" s="23" t="e">
        <f t="shared" ca="1" si="62"/>
        <v>#NAME?</v>
      </c>
      <c r="N652" s="23" t="e">
        <f t="shared" ca="1" si="63"/>
        <v>#NAME?</v>
      </c>
      <c r="O652" s="27" t="e">
        <f t="shared" ca="1" si="64"/>
        <v>#NAME?</v>
      </c>
      <c r="P652" s="27" t="e">
        <f ca="1">'01_INPUTS'!B9*N652-K652</f>
        <v>#NAME?</v>
      </c>
      <c r="Q652" s="1" t="e">
        <f t="shared" ca="1" si="65"/>
        <v>#NAME?</v>
      </c>
      <c r="R652" s="28">
        <v>0.49936630972661078</v>
      </c>
      <c r="S652" s="28">
        <v>0.97339597600512207</v>
      </c>
      <c r="T652" s="28">
        <v>0.7040700875222683</v>
      </c>
      <c r="U652" s="28">
        <v>0.47727032727561891</v>
      </c>
      <c r="V652" s="28">
        <v>0.33956153783947229</v>
      </c>
      <c r="W652" s="28">
        <v>0.89077773666940629</v>
      </c>
      <c r="X652" s="28">
        <v>0.39505165396258235</v>
      </c>
    </row>
    <row r="653" spans="1:24" ht="13.9">
      <c r="A653" s="1">
        <v>652</v>
      </c>
      <c r="B653" s="23" t="e">
        <f ca="1">_xludf.BETA.INV(R653,'04_PSA_INPUTS'!H5,'04_PSA_INPUTS'!I5)</f>
        <v>#NAME?</v>
      </c>
      <c r="C653" s="23" t="e">
        <f ca="1">_xludf.BETA.INV(S653,'04_PSA_INPUTS'!H6,'04_PSA_INPUTS'!I6)</f>
        <v>#NAME?</v>
      </c>
      <c r="D653" s="27" t="e">
        <f ca="1">_xludf.GAMMA.INV(T653,'04_PSA_INPUTS'!H7,'04_PSA_INPUTS'!I7)</f>
        <v>#NAME?</v>
      </c>
      <c r="E653" s="27" t="e">
        <f ca="1">_xludf.GAMMA.INV(U653,'04_PSA_INPUTS'!H8,'04_PSA_INPUTS'!I8)</f>
        <v>#NAME?</v>
      </c>
      <c r="F653" s="27" t="e">
        <f ca="1">_xludf.GAMMA.INV(V653,'04_PSA_INPUTS'!H9,'04_PSA_INPUTS'!I9)</f>
        <v>#NAME?</v>
      </c>
      <c r="G653" s="23" t="e">
        <f ca="1">_xludf.BETA.INV(W653,'04_PSA_INPUTS'!H10,'04_PSA_INPUTS'!I10)</f>
        <v>#NAME?</v>
      </c>
      <c r="H653" s="23" t="e">
        <f ca="1">_xludf.BETA.INV(X653,'04_PSA_INPUTS'!H11,'04_PSA_INPUTS'!I11)</f>
        <v>#NAME?</v>
      </c>
      <c r="I653" s="27" t="e">
        <f ca="1">D653+B653*F653+'01_INPUTS'!B20</f>
        <v>#NAME?</v>
      </c>
      <c r="J653" s="27" t="e">
        <f ca="1">E653+C653*F653+'01_INPUTS'!B21</f>
        <v>#NAME?</v>
      </c>
      <c r="K653" s="27" t="e">
        <f t="shared" ca="1" si="60"/>
        <v>#NAME?</v>
      </c>
      <c r="L653" s="23" t="e">
        <f t="shared" ca="1" si="61"/>
        <v>#NAME?</v>
      </c>
      <c r="M653" s="23" t="e">
        <f t="shared" ca="1" si="62"/>
        <v>#NAME?</v>
      </c>
      <c r="N653" s="23" t="e">
        <f t="shared" ca="1" si="63"/>
        <v>#NAME?</v>
      </c>
      <c r="O653" s="27" t="e">
        <f t="shared" ca="1" si="64"/>
        <v>#NAME?</v>
      </c>
      <c r="P653" s="27" t="e">
        <f ca="1">'01_INPUTS'!B9*N653-K653</f>
        <v>#NAME?</v>
      </c>
      <c r="Q653" s="1" t="e">
        <f t="shared" ca="1" si="65"/>
        <v>#NAME?</v>
      </c>
      <c r="R653" s="28">
        <v>0.28921992518007755</v>
      </c>
      <c r="S653" s="28">
        <v>1.7818021355196834E-2</v>
      </c>
      <c r="T653" s="28">
        <v>0.59898386290296912</v>
      </c>
      <c r="U653" s="28">
        <v>8.0404757289215922E-2</v>
      </c>
      <c r="V653" s="28">
        <v>0.18886468536220491</v>
      </c>
      <c r="W653" s="28">
        <v>0.44540687138214707</v>
      </c>
      <c r="X653" s="28">
        <v>0.88568986463360488</v>
      </c>
    </row>
    <row r="654" spans="1:24" ht="13.9">
      <c r="A654" s="1">
        <v>653</v>
      </c>
      <c r="B654" s="23" t="e">
        <f ca="1">_xludf.BETA.INV(R654,'04_PSA_INPUTS'!H5,'04_PSA_INPUTS'!I5)</f>
        <v>#NAME?</v>
      </c>
      <c r="C654" s="23" t="e">
        <f ca="1">_xludf.BETA.INV(S654,'04_PSA_INPUTS'!H6,'04_PSA_INPUTS'!I6)</f>
        <v>#NAME?</v>
      </c>
      <c r="D654" s="27" t="e">
        <f ca="1">_xludf.GAMMA.INV(T654,'04_PSA_INPUTS'!H7,'04_PSA_INPUTS'!I7)</f>
        <v>#NAME?</v>
      </c>
      <c r="E654" s="27" t="e">
        <f ca="1">_xludf.GAMMA.INV(U654,'04_PSA_INPUTS'!H8,'04_PSA_INPUTS'!I8)</f>
        <v>#NAME?</v>
      </c>
      <c r="F654" s="27" t="e">
        <f ca="1">_xludf.GAMMA.INV(V654,'04_PSA_INPUTS'!H9,'04_PSA_INPUTS'!I9)</f>
        <v>#NAME?</v>
      </c>
      <c r="G654" s="23" t="e">
        <f ca="1">_xludf.BETA.INV(W654,'04_PSA_INPUTS'!H10,'04_PSA_INPUTS'!I10)</f>
        <v>#NAME?</v>
      </c>
      <c r="H654" s="23" t="e">
        <f ca="1">_xludf.BETA.INV(X654,'04_PSA_INPUTS'!H11,'04_PSA_INPUTS'!I11)</f>
        <v>#NAME?</v>
      </c>
      <c r="I654" s="27" t="e">
        <f ca="1">D654+B654*F654+'01_INPUTS'!B20</f>
        <v>#NAME?</v>
      </c>
      <c r="J654" s="27" t="e">
        <f ca="1">E654+C654*F654+'01_INPUTS'!B21</f>
        <v>#NAME?</v>
      </c>
      <c r="K654" s="27" t="e">
        <f t="shared" ca="1" si="60"/>
        <v>#NAME?</v>
      </c>
      <c r="L654" s="23" t="e">
        <f t="shared" ca="1" si="61"/>
        <v>#NAME?</v>
      </c>
      <c r="M654" s="23" t="e">
        <f t="shared" ca="1" si="62"/>
        <v>#NAME?</v>
      </c>
      <c r="N654" s="23" t="e">
        <f t="shared" ca="1" si="63"/>
        <v>#NAME?</v>
      </c>
      <c r="O654" s="27" t="e">
        <f t="shared" ca="1" si="64"/>
        <v>#NAME?</v>
      </c>
      <c r="P654" s="27" t="e">
        <f ca="1">'01_INPUTS'!B9*N654-K654</f>
        <v>#NAME?</v>
      </c>
      <c r="Q654" s="1" t="e">
        <f t="shared" ca="1" si="65"/>
        <v>#NAME?</v>
      </c>
      <c r="R654" s="28">
        <v>8.2588142715394497E-2</v>
      </c>
      <c r="S654" s="28">
        <v>0.81684638396836817</v>
      </c>
      <c r="T654" s="28">
        <v>0.99941119947470725</v>
      </c>
      <c r="U654" s="28">
        <v>0.50563428993336856</v>
      </c>
      <c r="V654" s="28">
        <v>0.75476503255777061</v>
      </c>
      <c r="W654" s="28">
        <v>0.65164504107087851</v>
      </c>
      <c r="X654" s="28">
        <v>0.10804200475104153</v>
      </c>
    </row>
    <row r="655" spans="1:24" ht="13.9">
      <c r="A655" s="1">
        <v>654</v>
      </c>
      <c r="B655" s="23" t="e">
        <f ca="1">_xludf.BETA.INV(R655,'04_PSA_INPUTS'!H5,'04_PSA_INPUTS'!I5)</f>
        <v>#NAME?</v>
      </c>
      <c r="C655" s="23" t="e">
        <f ca="1">_xludf.BETA.INV(S655,'04_PSA_INPUTS'!H6,'04_PSA_INPUTS'!I6)</f>
        <v>#NAME?</v>
      </c>
      <c r="D655" s="27" t="e">
        <f ca="1">_xludf.GAMMA.INV(T655,'04_PSA_INPUTS'!H7,'04_PSA_INPUTS'!I7)</f>
        <v>#NAME?</v>
      </c>
      <c r="E655" s="27" t="e">
        <f ca="1">_xludf.GAMMA.INV(U655,'04_PSA_INPUTS'!H8,'04_PSA_INPUTS'!I8)</f>
        <v>#NAME?</v>
      </c>
      <c r="F655" s="27" t="e">
        <f ca="1">_xludf.GAMMA.INV(V655,'04_PSA_INPUTS'!H9,'04_PSA_INPUTS'!I9)</f>
        <v>#NAME?</v>
      </c>
      <c r="G655" s="23" t="e">
        <f ca="1">_xludf.BETA.INV(W655,'04_PSA_INPUTS'!H10,'04_PSA_INPUTS'!I10)</f>
        <v>#NAME?</v>
      </c>
      <c r="H655" s="23" t="e">
        <f ca="1">_xludf.BETA.INV(X655,'04_PSA_INPUTS'!H11,'04_PSA_INPUTS'!I11)</f>
        <v>#NAME?</v>
      </c>
      <c r="I655" s="27" t="e">
        <f ca="1">D655+B655*F655+'01_INPUTS'!B20</f>
        <v>#NAME?</v>
      </c>
      <c r="J655" s="27" t="e">
        <f ca="1">E655+C655*F655+'01_INPUTS'!B21</f>
        <v>#NAME?</v>
      </c>
      <c r="K655" s="27" t="e">
        <f t="shared" ca="1" si="60"/>
        <v>#NAME?</v>
      </c>
      <c r="L655" s="23" t="e">
        <f t="shared" ca="1" si="61"/>
        <v>#NAME?</v>
      </c>
      <c r="M655" s="23" t="e">
        <f t="shared" ca="1" si="62"/>
        <v>#NAME?</v>
      </c>
      <c r="N655" s="23" t="e">
        <f t="shared" ca="1" si="63"/>
        <v>#NAME?</v>
      </c>
      <c r="O655" s="27" t="e">
        <f t="shared" ca="1" si="64"/>
        <v>#NAME?</v>
      </c>
      <c r="P655" s="27" t="e">
        <f ca="1">'01_INPUTS'!B9*N655-K655</f>
        <v>#NAME?</v>
      </c>
      <c r="Q655" s="1" t="e">
        <f t="shared" ca="1" si="65"/>
        <v>#NAME?</v>
      </c>
      <c r="R655" s="28">
        <v>0.48336612479761243</v>
      </c>
      <c r="S655" s="28">
        <v>0.84190173167735338</v>
      </c>
      <c r="T655" s="28">
        <v>0.60691404179669917</v>
      </c>
      <c r="U655" s="28">
        <v>0.78941516042686999</v>
      </c>
      <c r="V655" s="28">
        <v>0.97819098085165024</v>
      </c>
      <c r="W655" s="28">
        <v>0.92307488690130413</v>
      </c>
      <c r="X655" s="28">
        <v>1.2538537150248885E-2</v>
      </c>
    </row>
    <row r="656" spans="1:24" ht="13.9">
      <c r="A656" s="1">
        <v>655</v>
      </c>
      <c r="B656" s="23" t="e">
        <f ca="1">_xludf.BETA.INV(R656,'04_PSA_INPUTS'!H5,'04_PSA_INPUTS'!I5)</f>
        <v>#NAME?</v>
      </c>
      <c r="C656" s="23" t="e">
        <f ca="1">_xludf.BETA.INV(S656,'04_PSA_INPUTS'!H6,'04_PSA_INPUTS'!I6)</f>
        <v>#NAME?</v>
      </c>
      <c r="D656" s="27" t="e">
        <f ca="1">_xludf.GAMMA.INV(T656,'04_PSA_INPUTS'!H7,'04_PSA_INPUTS'!I7)</f>
        <v>#NAME?</v>
      </c>
      <c r="E656" s="27" t="e">
        <f ca="1">_xludf.GAMMA.INV(U656,'04_PSA_INPUTS'!H8,'04_PSA_INPUTS'!I8)</f>
        <v>#NAME?</v>
      </c>
      <c r="F656" s="27" t="e">
        <f ca="1">_xludf.GAMMA.INV(V656,'04_PSA_INPUTS'!H9,'04_PSA_INPUTS'!I9)</f>
        <v>#NAME?</v>
      </c>
      <c r="G656" s="23" t="e">
        <f ca="1">_xludf.BETA.INV(W656,'04_PSA_INPUTS'!H10,'04_PSA_INPUTS'!I10)</f>
        <v>#NAME?</v>
      </c>
      <c r="H656" s="23" t="e">
        <f ca="1">_xludf.BETA.INV(X656,'04_PSA_INPUTS'!H11,'04_PSA_INPUTS'!I11)</f>
        <v>#NAME?</v>
      </c>
      <c r="I656" s="27" t="e">
        <f ca="1">D656+B656*F656+'01_INPUTS'!B20</f>
        <v>#NAME?</v>
      </c>
      <c r="J656" s="27" t="e">
        <f ca="1">E656+C656*F656+'01_INPUTS'!B21</f>
        <v>#NAME?</v>
      </c>
      <c r="K656" s="27" t="e">
        <f t="shared" ca="1" si="60"/>
        <v>#NAME?</v>
      </c>
      <c r="L656" s="23" t="e">
        <f t="shared" ca="1" si="61"/>
        <v>#NAME?</v>
      </c>
      <c r="M656" s="23" t="e">
        <f t="shared" ca="1" si="62"/>
        <v>#NAME?</v>
      </c>
      <c r="N656" s="23" t="e">
        <f t="shared" ca="1" si="63"/>
        <v>#NAME?</v>
      </c>
      <c r="O656" s="27" t="e">
        <f t="shared" ca="1" si="64"/>
        <v>#NAME?</v>
      </c>
      <c r="P656" s="27" t="e">
        <f ca="1">'01_INPUTS'!B9*N656-K656</f>
        <v>#NAME?</v>
      </c>
      <c r="Q656" s="1" t="e">
        <f t="shared" ca="1" si="65"/>
        <v>#NAME?</v>
      </c>
      <c r="R656" s="28">
        <v>0.71785045601427555</v>
      </c>
      <c r="S656" s="28">
        <v>0.34743882645852864</v>
      </c>
      <c r="T656" s="28">
        <v>0.26225767866708338</v>
      </c>
      <c r="U656" s="28">
        <v>5.7835102314129472E-2</v>
      </c>
      <c r="V656" s="28">
        <v>0.27656962373293936</v>
      </c>
      <c r="W656" s="28">
        <v>1.7484517302364111E-2</v>
      </c>
      <c r="X656" s="28">
        <v>9.3480299459770322E-2</v>
      </c>
    </row>
    <row r="657" spans="1:24" ht="13.9">
      <c r="A657" s="1">
        <v>656</v>
      </c>
      <c r="B657" s="23" t="e">
        <f ca="1">_xludf.BETA.INV(R657,'04_PSA_INPUTS'!H5,'04_PSA_INPUTS'!I5)</f>
        <v>#NAME?</v>
      </c>
      <c r="C657" s="23" t="e">
        <f ca="1">_xludf.BETA.INV(S657,'04_PSA_INPUTS'!H6,'04_PSA_INPUTS'!I6)</f>
        <v>#NAME?</v>
      </c>
      <c r="D657" s="27" t="e">
        <f ca="1">_xludf.GAMMA.INV(T657,'04_PSA_INPUTS'!H7,'04_PSA_INPUTS'!I7)</f>
        <v>#NAME?</v>
      </c>
      <c r="E657" s="27" t="e">
        <f ca="1">_xludf.GAMMA.INV(U657,'04_PSA_INPUTS'!H8,'04_PSA_INPUTS'!I8)</f>
        <v>#NAME?</v>
      </c>
      <c r="F657" s="27" t="e">
        <f ca="1">_xludf.GAMMA.INV(V657,'04_PSA_INPUTS'!H9,'04_PSA_INPUTS'!I9)</f>
        <v>#NAME?</v>
      </c>
      <c r="G657" s="23" t="e">
        <f ca="1">_xludf.BETA.INV(W657,'04_PSA_INPUTS'!H10,'04_PSA_INPUTS'!I10)</f>
        <v>#NAME?</v>
      </c>
      <c r="H657" s="23" t="e">
        <f ca="1">_xludf.BETA.INV(X657,'04_PSA_INPUTS'!H11,'04_PSA_INPUTS'!I11)</f>
        <v>#NAME?</v>
      </c>
      <c r="I657" s="27" t="e">
        <f ca="1">D657+B657*F657+'01_INPUTS'!B20</f>
        <v>#NAME?</v>
      </c>
      <c r="J657" s="27" t="e">
        <f ca="1">E657+C657*F657+'01_INPUTS'!B21</f>
        <v>#NAME?</v>
      </c>
      <c r="K657" s="27" t="e">
        <f t="shared" ca="1" si="60"/>
        <v>#NAME?</v>
      </c>
      <c r="L657" s="23" t="e">
        <f t="shared" ca="1" si="61"/>
        <v>#NAME?</v>
      </c>
      <c r="M657" s="23" t="e">
        <f t="shared" ca="1" si="62"/>
        <v>#NAME?</v>
      </c>
      <c r="N657" s="23" t="e">
        <f t="shared" ca="1" si="63"/>
        <v>#NAME?</v>
      </c>
      <c r="O657" s="27" t="e">
        <f t="shared" ca="1" si="64"/>
        <v>#NAME?</v>
      </c>
      <c r="P657" s="27" t="e">
        <f ca="1">'01_INPUTS'!B9*N657-K657</f>
        <v>#NAME?</v>
      </c>
      <c r="Q657" s="1" t="e">
        <f t="shared" ca="1" si="65"/>
        <v>#NAME?</v>
      </c>
      <c r="R657" s="28">
        <v>0.49698656983673573</v>
      </c>
      <c r="S657" s="28">
        <v>0.81749494327232242</v>
      </c>
      <c r="T657" s="28">
        <v>0.50436766282655299</v>
      </c>
      <c r="U657" s="28">
        <v>0.30302990064956248</v>
      </c>
      <c r="V657" s="28">
        <v>0.14019096083939075</v>
      </c>
      <c r="W657" s="28">
        <v>0.24291250668466091</v>
      </c>
      <c r="X657" s="28">
        <v>0.46891014697030187</v>
      </c>
    </row>
    <row r="658" spans="1:24" ht="13.9">
      <c r="A658" s="1">
        <v>657</v>
      </c>
      <c r="B658" s="23" t="e">
        <f ca="1">_xludf.BETA.INV(R658,'04_PSA_INPUTS'!H5,'04_PSA_INPUTS'!I5)</f>
        <v>#NAME?</v>
      </c>
      <c r="C658" s="23" t="e">
        <f ca="1">_xludf.BETA.INV(S658,'04_PSA_INPUTS'!H6,'04_PSA_INPUTS'!I6)</f>
        <v>#NAME?</v>
      </c>
      <c r="D658" s="27" t="e">
        <f ca="1">_xludf.GAMMA.INV(T658,'04_PSA_INPUTS'!H7,'04_PSA_INPUTS'!I7)</f>
        <v>#NAME?</v>
      </c>
      <c r="E658" s="27" t="e">
        <f ca="1">_xludf.GAMMA.INV(U658,'04_PSA_INPUTS'!H8,'04_PSA_INPUTS'!I8)</f>
        <v>#NAME?</v>
      </c>
      <c r="F658" s="27" t="e">
        <f ca="1">_xludf.GAMMA.INV(V658,'04_PSA_INPUTS'!H9,'04_PSA_INPUTS'!I9)</f>
        <v>#NAME?</v>
      </c>
      <c r="G658" s="23" t="e">
        <f ca="1">_xludf.BETA.INV(W658,'04_PSA_INPUTS'!H10,'04_PSA_INPUTS'!I10)</f>
        <v>#NAME?</v>
      </c>
      <c r="H658" s="23" t="e">
        <f ca="1">_xludf.BETA.INV(X658,'04_PSA_INPUTS'!H11,'04_PSA_INPUTS'!I11)</f>
        <v>#NAME?</v>
      </c>
      <c r="I658" s="27" t="e">
        <f ca="1">D658+B658*F658+'01_INPUTS'!B20</f>
        <v>#NAME?</v>
      </c>
      <c r="J658" s="27" t="e">
        <f ca="1">E658+C658*F658+'01_INPUTS'!B21</f>
        <v>#NAME?</v>
      </c>
      <c r="K658" s="27" t="e">
        <f t="shared" ca="1" si="60"/>
        <v>#NAME?</v>
      </c>
      <c r="L658" s="23" t="e">
        <f t="shared" ca="1" si="61"/>
        <v>#NAME?</v>
      </c>
      <c r="M658" s="23" t="e">
        <f t="shared" ca="1" si="62"/>
        <v>#NAME?</v>
      </c>
      <c r="N658" s="23" t="e">
        <f t="shared" ca="1" si="63"/>
        <v>#NAME?</v>
      </c>
      <c r="O658" s="27" t="e">
        <f t="shared" ca="1" si="64"/>
        <v>#NAME?</v>
      </c>
      <c r="P658" s="27" t="e">
        <f ca="1">'01_INPUTS'!B9*N658-K658</f>
        <v>#NAME?</v>
      </c>
      <c r="Q658" s="1" t="e">
        <f t="shared" ca="1" si="65"/>
        <v>#NAME?</v>
      </c>
      <c r="R658" s="28">
        <v>0.33775035827420652</v>
      </c>
      <c r="S658" s="28">
        <v>0.63216219143941998</v>
      </c>
      <c r="T658" s="28">
        <v>0.10258644539862871</v>
      </c>
      <c r="U658" s="28">
        <v>0.83415961521677673</v>
      </c>
      <c r="V658" s="28">
        <v>0.52973856893368065</v>
      </c>
      <c r="W658" s="28">
        <v>6.3779186457395554E-3</v>
      </c>
      <c r="X658" s="28">
        <v>0.33125845179893076</v>
      </c>
    </row>
    <row r="659" spans="1:24" ht="13.9">
      <c r="A659" s="1">
        <v>658</v>
      </c>
      <c r="B659" s="23" t="e">
        <f ca="1">_xludf.BETA.INV(R659,'04_PSA_INPUTS'!H5,'04_PSA_INPUTS'!I5)</f>
        <v>#NAME?</v>
      </c>
      <c r="C659" s="23" t="e">
        <f ca="1">_xludf.BETA.INV(S659,'04_PSA_INPUTS'!H6,'04_PSA_INPUTS'!I6)</f>
        <v>#NAME?</v>
      </c>
      <c r="D659" s="27" t="e">
        <f ca="1">_xludf.GAMMA.INV(T659,'04_PSA_INPUTS'!H7,'04_PSA_INPUTS'!I7)</f>
        <v>#NAME?</v>
      </c>
      <c r="E659" s="27" t="e">
        <f ca="1">_xludf.GAMMA.INV(U659,'04_PSA_INPUTS'!H8,'04_PSA_INPUTS'!I8)</f>
        <v>#NAME?</v>
      </c>
      <c r="F659" s="27" t="e">
        <f ca="1">_xludf.GAMMA.INV(V659,'04_PSA_INPUTS'!H9,'04_PSA_INPUTS'!I9)</f>
        <v>#NAME?</v>
      </c>
      <c r="G659" s="23" t="e">
        <f ca="1">_xludf.BETA.INV(W659,'04_PSA_INPUTS'!H10,'04_PSA_INPUTS'!I10)</f>
        <v>#NAME?</v>
      </c>
      <c r="H659" s="23" t="e">
        <f ca="1">_xludf.BETA.INV(X659,'04_PSA_INPUTS'!H11,'04_PSA_INPUTS'!I11)</f>
        <v>#NAME?</v>
      </c>
      <c r="I659" s="27" t="e">
        <f ca="1">D659+B659*F659+'01_INPUTS'!B20</f>
        <v>#NAME?</v>
      </c>
      <c r="J659" s="27" t="e">
        <f ca="1">E659+C659*F659+'01_INPUTS'!B21</f>
        <v>#NAME?</v>
      </c>
      <c r="K659" s="27" t="e">
        <f t="shared" ca="1" si="60"/>
        <v>#NAME?</v>
      </c>
      <c r="L659" s="23" t="e">
        <f t="shared" ca="1" si="61"/>
        <v>#NAME?</v>
      </c>
      <c r="M659" s="23" t="e">
        <f t="shared" ca="1" si="62"/>
        <v>#NAME?</v>
      </c>
      <c r="N659" s="23" t="e">
        <f t="shared" ca="1" si="63"/>
        <v>#NAME?</v>
      </c>
      <c r="O659" s="27" t="e">
        <f t="shared" ca="1" si="64"/>
        <v>#NAME?</v>
      </c>
      <c r="P659" s="27" t="e">
        <f ca="1">'01_INPUTS'!B9*N659-K659</f>
        <v>#NAME?</v>
      </c>
      <c r="Q659" s="1" t="e">
        <f t="shared" ca="1" si="65"/>
        <v>#NAME?</v>
      </c>
      <c r="R659" s="28">
        <v>0.63391389464959502</v>
      </c>
      <c r="S659" s="28">
        <v>0.38673096452839673</v>
      </c>
      <c r="T659" s="28">
        <v>0.9615231326315552</v>
      </c>
      <c r="U659" s="28">
        <v>4.7035115770995617E-2</v>
      </c>
      <c r="V659" s="28">
        <v>0.58017598744481802</v>
      </c>
      <c r="W659" s="28">
        <v>3.4347417065873742E-2</v>
      </c>
      <c r="X659" s="28">
        <v>0.93120516301132739</v>
      </c>
    </row>
    <row r="660" spans="1:24" ht="13.9">
      <c r="A660" s="1">
        <v>659</v>
      </c>
      <c r="B660" s="23" t="e">
        <f ca="1">_xludf.BETA.INV(R660,'04_PSA_INPUTS'!H5,'04_PSA_INPUTS'!I5)</f>
        <v>#NAME?</v>
      </c>
      <c r="C660" s="23" t="e">
        <f ca="1">_xludf.BETA.INV(S660,'04_PSA_INPUTS'!H6,'04_PSA_INPUTS'!I6)</f>
        <v>#NAME?</v>
      </c>
      <c r="D660" s="27" t="e">
        <f ca="1">_xludf.GAMMA.INV(T660,'04_PSA_INPUTS'!H7,'04_PSA_INPUTS'!I7)</f>
        <v>#NAME?</v>
      </c>
      <c r="E660" s="27" t="e">
        <f ca="1">_xludf.GAMMA.INV(U660,'04_PSA_INPUTS'!H8,'04_PSA_INPUTS'!I8)</f>
        <v>#NAME?</v>
      </c>
      <c r="F660" s="27" t="e">
        <f ca="1">_xludf.GAMMA.INV(V660,'04_PSA_INPUTS'!H9,'04_PSA_INPUTS'!I9)</f>
        <v>#NAME?</v>
      </c>
      <c r="G660" s="23" t="e">
        <f ca="1">_xludf.BETA.INV(W660,'04_PSA_INPUTS'!H10,'04_PSA_INPUTS'!I10)</f>
        <v>#NAME?</v>
      </c>
      <c r="H660" s="23" t="e">
        <f ca="1">_xludf.BETA.INV(X660,'04_PSA_INPUTS'!H11,'04_PSA_INPUTS'!I11)</f>
        <v>#NAME?</v>
      </c>
      <c r="I660" s="27" t="e">
        <f ca="1">D660+B660*F660+'01_INPUTS'!B20</f>
        <v>#NAME?</v>
      </c>
      <c r="J660" s="27" t="e">
        <f ca="1">E660+C660*F660+'01_INPUTS'!B21</f>
        <v>#NAME?</v>
      </c>
      <c r="K660" s="27" t="e">
        <f t="shared" ca="1" si="60"/>
        <v>#NAME?</v>
      </c>
      <c r="L660" s="23" t="e">
        <f t="shared" ca="1" si="61"/>
        <v>#NAME?</v>
      </c>
      <c r="M660" s="23" t="e">
        <f t="shared" ca="1" si="62"/>
        <v>#NAME?</v>
      </c>
      <c r="N660" s="23" t="e">
        <f t="shared" ca="1" si="63"/>
        <v>#NAME?</v>
      </c>
      <c r="O660" s="27" t="e">
        <f t="shared" ca="1" si="64"/>
        <v>#NAME?</v>
      </c>
      <c r="P660" s="27" t="e">
        <f ca="1">'01_INPUTS'!B9*N660-K660</f>
        <v>#NAME?</v>
      </c>
      <c r="Q660" s="1" t="e">
        <f t="shared" ca="1" si="65"/>
        <v>#NAME?</v>
      </c>
      <c r="R660" s="28">
        <v>0.42692611250095069</v>
      </c>
      <c r="S660" s="28">
        <v>0.98887680540792644</v>
      </c>
      <c r="T660" s="28">
        <v>0.24091695318929851</v>
      </c>
      <c r="U660" s="28">
        <v>0.23736736224964261</v>
      </c>
      <c r="V660" s="28">
        <v>0.15972972894087434</v>
      </c>
      <c r="W660" s="28">
        <v>0.20498401182703674</v>
      </c>
      <c r="X660" s="28">
        <v>0.30692156287841499</v>
      </c>
    </row>
    <row r="661" spans="1:24" ht="13.9">
      <c r="A661" s="1">
        <v>660</v>
      </c>
      <c r="B661" s="23" t="e">
        <f ca="1">_xludf.BETA.INV(R661,'04_PSA_INPUTS'!H5,'04_PSA_INPUTS'!I5)</f>
        <v>#NAME?</v>
      </c>
      <c r="C661" s="23" t="e">
        <f ca="1">_xludf.BETA.INV(S661,'04_PSA_INPUTS'!H6,'04_PSA_INPUTS'!I6)</f>
        <v>#NAME?</v>
      </c>
      <c r="D661" s="27" t="e">
        <f ca="1">_xludf.GAMMA.INV(T661,'04_PSA_INPUTS'!H7,'04_PSA_INPUTS'!I7)</f>
        <v>#NAME?</v>
      </c>
      <c r="E661" s="27" t="e">
        <f ca="1">_xludf.GAMMA.INV(U661,'04_PSA_INPUTS'!H8,'04_PSA_INPUTS'!I8)</f>
        <v>#NAME?</v>
      </c>
      <c r="F661" s="27" t="e">
        <f ca="1">_xludf.GAMMA.INV(V661,'04_PSA_INPUTS'!H9,'04_PSA_INPUTS'!I9)</f>
        <v>#NAME?</v>
      </c>
      <c r="G661" s="23" t="e">
        <f ca="1">_xludf.BETA.INV(W661,'04_PSA_INPUTS'!H10,'04_PSA_INPUTS'!I10)</f>
        <v>#NAME?</v>
      </c>
      <c r="H661" s="23" t="e">
        <f ca="1">_xludf.BETA.INV(X661,'04_PSA_INPUTS'!H11,'04_PSA_INPUTS'!I11)</f>
        <v>#NAME?</v>
      </c>
      <c r="I661" s="27" t="e">
        <f ca="1">D661+B661*F661+'01_INPUTS'!B20</f>
        <v>#NAME?</v>
      </c>
      <c r="J661" s="27" t="e">
        <f ca="1">E661+C661*F661+'01_INPUTS'!B21</f>
        <v>#NAME?</v>
      </c>
      <c r="K661" s="27" t="e">
        <f t="shared" ca="1" si="60"/>
        <v>#NAME?</v>
      </c>
      <c r="L661" s="23" t="e">
        <f t="shared" ca="1" si="61"/>
        <v>#NAME?</v>
      </c>
      <c r="M661" s="23" t="e">
        <f t="shared" ca="1" si="62"/>
        <v>#NAME?</v>
      </c>
      <c r="N661" s="23" t="e">
        <f t="shared" ca="1" si="63"/>
        <v>#NAME?</v>
      </c>
      <c r="O661" s="27" t="e">
        <f t="shared" ca="1" si="64"/>
        <v>#NAME?</v>
      </c>
      <c r="P661" s="27" t="e">
        <f ca="1">'01_INPUTS'!B9*N661-K661</f>
        <v>#NAME?</v>
      </c>
      <c r="Q661" s="1" t="e">
        <f t="shared" ca="1" si="65"/>
        <v>#NAME?</v>
      </c>
      <c r="R661" s="28">
        <v>0.48640725412406027</v>
      </c>
      <c r="S661" s="28">
        <v>0.8807137100957334</v>
      </c>
      <c r="T661" s="28">
        <v>0.72843933803960681</v>
      </c>
      <c r="U661" s="28">
        <v>0.14954275474883616</v>
      </c>
      <c r="V661" s="28">
        <v>0.43946416256949306</v>
      </c>
      <c r="W661" s="28">
        <v>0.5585237352643162</v>
      </c>
      <c r="X661" s="28">
        <v>0.58929902501404285</v>
      </c>
    </row>
    <row r="662" spans="1:24" ht="13.9">
      <c r="A662" s="1">
        <v>661</v>
      </c>
      <c r="B662" s="23" t="e">
        <f ca="1">_xludf.BETA.INV(R662,'04_PSA_INPUTS'!H5,'04_PSA_INPUTS'!I5)</f>
        <v>#NAME?</v>
      </c>
      <c r="C662" s="23" t="e">
        <f ca="1">_xludf.BETA.INV(S662,'04_PSA_INPUTS'!H6,'04_PSA_INPUTS'!I6)</f>
        <v>#NAME?</v>
      </c>
      <c r="D662" s="27" t="e">
        <f ca="1">_xludf.GAMMA.INV(T662,'04_PSA_INPUTS'!H7,'04_PSA_INPUTS'!I7)</f>
        <v>#NAME?</v>
      </c>
      <c r="E662" s="27" t="e">
        <f ca="1">_xludf.GAMMA.INV(U662,'04_PSA_INPUTS'!H8,'04_PSA_INPUTS'!I8)</f>
        <v>#NAME?</v>
      </c>
      <c r="F662" s="27" t="e">
        <f ca="1">_xludf.GAMMA.INV(V662,'04_PSA_INPUTS'!H9,'04_PSA_INPUTS'!I9)</f>
        <v>#NAME?</v>
      </c>
      <c r="G662" s="23" t="e">
        <f ca="1">_xludf.BETA.INV(W662,'04_PSA_INPUTS'!H10,'04_PSA_INPUTS'!I10)</f>
        <v>#NAME?</v>
      </c>
      <c r="H662" s="23" t="e">
        <f ca="1">_xludf.BETA.INV(X662,'04_PSA_INPUTS'!H11,'04_PSA_INPUTS'!I11)</f>
        <v>#NAME?</v>
      </c>
      <c r="I662" s="27" t="e">
        <f ca="1">D662+B662*F662+'01_INPUTS'!B20</f>
        <v>#NAME?</v>
      </c>
      <c r="J662" s="27" t="e">
        <f ca="1">E662+C662*F662+'01_INPUTS'!B21</f>
        <v>#NAME?</v>
      </c>
      <c r="K662" s="27" t="e">
        <f t="shared" ca="1" si="60"/>
        <v>#NAME?</v>
      </c>
      <c r="L662" s="23" t="e">
        <f t="shared" ca="1" si="61"/>
        <v>#NAME?</v>
      </c>
      <c r="M662" s="23" t="e">
        <f t="shared" ca="1" si="62"/>
        <v>#NAME?</v>
      </c>
      <c r="N662" s="23" t="e">
        <f t="shared" ca="1" si="63"/>
        <v>#NAME?</v>
      </c>
      <c r="O662" s="27" t="e">
        <f t="shared" ca="1" si="64"/>
        <v>#NAME?</v>
      </c>
      <c r="P662" s="27" t="e">
        <f ca="1">'01_INPUTS'!B9*N662-K662</f>
        <v>#NAME?</v>
      </c>
      <c r="Q662" s="1" t="e">
        <f t="shared" ca="1" si="65"/>
        <v>#NAME?</v>
      </c>
      <c r="R662" s="28">
        <v>0.99550654320046306</v>
      </c>
      <c r="S662" s="28">
        <v>0.15897676721215248</v>
      </c>
      <c r="T662" s="28">
        <v>0.42735546361654997</v>
      </c>
      <c r="U662" s="28">
        <v>0.20732907438650727</v>
      </c>
      <c r="V662" s="28">
        <v>0.50028550485149026</v>
      </c>
      <c r="W662" s="28">
        <v>0.6181427757255733</v>
      </c>
      <c r="X662" s="28">
        <v>0.76229795720428228</v>
      </c>
    </row>
    <row r="663" spans="1:24" ht="13.9">
      <c r="A663" s="1">
        <v>662</v>
      </c>
      <c r="B663" s="23" t="e">
        <f ca="1">_xludf.BETA.INV(R663,'04_PSA_INPUTS'!H5,'04_PSA_INPUTS'!I5)</f>
        <v>#NAME?</v>
      </c>
      <c r="C663" s="23" t="e">
        <f ca="1">_xludf.BETA.INV(S663,'04_PSA_INPUTS'!H6,'04_PSA_INPUTS'!I6)</f>
        <v>#NAME?</v>
      </c>
      <c r="D663" s="27" t="e">
        <f ca="1">_xludf.GAMMA.INV(T663,'04_PSA_INPUTS'!H7,'04_PSA_INPUTS'!I7)</f>
        <v>#NAME?</v>
      </c>
      <c r="E663" s="27" t="e">
        <f ca="1">_xludf.GAMMA.INV(U663,'04_PSA_INPUTS'!H8,'04_PSA_INPUTS'!I8)</f>
        <v>#NAME?</v>
      </c>
      <c r="F663" s="27" t="e">
        <f ca="1">_xludf.GAMMA.INV(V663,'04_PSA_INPUTS'!H9,'04_PSA_INPUTS'!I9)</f>
        <v>#NAME?</v>
      </c>
      <c r="G663" s="23" t="e">
        <f ca="1">_xludf.BETA.INV(W663,'04_PSA_INPUTS'!H10,'04_PSA_INPUTS'!I10)</f>
        <v>#NAME?</v>
      </c>
      <c r="H663" s="23" t="e">
        <f ca="1">_xludf.BETA.INV(X663,'04_PSA_INPUTS'!H11,'04_PSA_INPUTS'!I11)</f>
        <v>#NAME?</v>
      </c>
      <c r="I663" s="27" t="e">
        <f ca="1">D663+B663*F663+'01_INPUTS'!B20</f>
        <v>#NAME?</v>
      </c>
      <c r="J663" s="27" t="e">
        <f ca="1">E663+C663*F663+'01_INPUTS'!B21</f>
        <v>#NAME?</v>
      </c>
      <c r="K663" s="27" t="e">
        <f t="shared" ca="1" si="60"/>
        <v>#NAME?</v>
      </c>
      <c r="L663" s="23" t="e">
        <f t="shared" ca="1" si="61"/>
        <v>#NAME?</v>
      </c>
      <c r="M663" s="23" t="e">
        <f t="shared" ca="1" si="62"/>
        <v>#NAME?</v>
      </c>
      <c r="N663" s="23" t="e">
        <f t="shared" ca="1" si="63"/>
        <v>#NAME?</v>
      </c>
      <c r="O663" s="27" t="e">
        <f t="shared" ca="1" si="64"/>
        <v>#NAME?</v>
      </c>
      <c r="P663" s="27" t="e">
        <f ca="1">'01_INPUTS'!B9*N663-K663</f>
        <v>#NAME?</v>
      </c>
      <c r="Q663" s="1" t="e">
        <f t="shared" ca="1" si="65"/>
        <v>#NAME?</v>
      </c>
      <c r="R663" s="28">
        <v>0.3653949408326298</v>
      </c>
      <c r="S663" s="28">
        <v>0.33781077712774277</v>
      </c>
      <c r="T663" s="28">
        <v>2.30399239808321E-3</v>
      </c>
      <c r="U663" s="28">
        <v>0.5821431721560657</v>
      </c>
      <c r="V663" s="28">
        <v>0.41012913384474814</v>
      </c>
      <c r="W663" s="28">
        <v>0.48975583026185632</v>
      </c>
      <c r="X663" s="28">
        <v>0.19135960866697133</v>
      </c>
    </row>
    <row r="664" spans="1:24" ht="13.9">
      <c r="A664" s="1">
        <v>663</v>
      </c>
      <c r="B664" s="23" t="e">
        <f ca="1">_xludf.BETA.INV(R664,'04_PSA_INPUTS'!H5,'04_PSA_INPUTS'!I5)</f>
        <v>#NAME?</v>
      </c>
      <c r="C664" s="23" t="e">
        <f ca="1">_xludf.BETA.INV(S664,'04_PSA_INPUTS'!H6,'04_PSA_INPUTS'!I6)</f>
        <v>#NAME?</v>
      </c>
      <c r="D664" s="27" t="e">
        <f ca="1">_xludf.GAMMA.INV(T664,'04_PSA_INPUTS'!H7,'04_PSA_INPUTS'!I7)</f>
        <v>#NAME?</v>
      </c>
      <c r="E664" s="27" t="e">
        <f ca="1">_xludf.GAMMA.INV(U664,'04_PSA_INPUTS'!H8,'04_PSA_INPUTS'!I8)</f>
        <v>#NAME?</v>
      </c>
      <c r="F664" s="27" t="e">
        <f ca="1">_xludf.GAMMA.INV(V664,'04_PSA_INPUTS'!H9,'04_PSA_INPUTS'!I9)</f>
        <v>#NAME?</v>
      </c>
      <c r="G664" s="23" t="e">
        <f ca="1">_xludf.BETA.INV(W664,'04_PSA_INPUTS'!H10,'04_PSA_INPUTS'!I10)</f>
        <v>#NAME?</v>
      </c>
      <c r="H664" s="23" t="e">
        <f ca="1">_xludf.BETA.INV(X664,'04_PSA_INPUTS'!H11,'04_PSA_INPUTS'!I11)</f>
        <v>#NAME?</v>
      </c>
      <c r="I664" s="27" t="e">
        <f ca="1">D664+B664*F664+'01_INPUTS'!B20</f>
        <v>#NAME?</v>
      </c>
      <c r="J664" s="27" t="e">
        <f ca="1">E664+C664*F664+'01_INPUTS'!B21</f>
        <v>#NAME?</v>
      </c>
      <c r="K664" s="27" t="e">
        <f t="shared" ca="1" si="60"/>
        <v>#NAME?</v>
      </c>
      <c r="L664" s="23" t="e">
        <f t="shared" ca="1" si="61"/>
        <v>#NAME?</v>
      </c>
      <c r="M664" s="23" t="e">
        <f t="shared" ca="1" si="62"/>
        <v>#NAME?</v>
      </c>
      <c r="N664" s="23" t="e">
        <f t="shared" ca="1" si="63"/>
        <v>#NAME?</v>
      </c>
      <c r="O664" s="27" t="e">
        <f t="shared" ca="1" si="64"/>
        <v>#NAME?</v>
      </c>
      <c r="P664" s="27" t="e">
        <f ca="1">'01_INPUTS'!B9*N664-K664</f>
        <v>#NAME?</v>
      </c>
      <c r="Q664" s="1" t="e">
        <f t="shared" ca="1" si="65"/>
        <v>#NAME?</v>
      </c>
      <c r="R664" s="28">
        <v>0.51509211654774845</v>
      </c>
      <c r="S664" s="28">
        <v>0.44704029057174921</v>
      </c>
      <c r="T664" s="28">
        <v>0.66219023638404906</v>
      </c>
      <c r="U664" s="28">
        <v>0.62244522385299206</v>
      </c>
      <c r="V664" s="28">
        <v>9.5996535615995526E-2</v>
      </c>
      <c r="W664" s="28">
        <v>0.1306166194844991</v>
      </c>
      <c r="X664" s="28">
        <v>0.42613350111059844</v>
      </c>
    </row>
    <row r="665" spans="1:24" ht="13.9">
      <c r="A665" s="1">
        <v>664</v>
      </c>
      <c r="B665" s="23" t="e">
        <f ca="1">_xludf.BETA.INV(R665,'04_PSA_INPUTS'!H5,'04_PSA_INPUTS'!I5)</f>
        <v>#NAME?</v>
      </c>
      <c r="C665" s="23" t="e">
        <f ca="1">_xludf.BETA.INV(S665,'04_PSA_INPUTS'!H6,'04_PSA_INPUTS'!I6)</f>
        <v>#NAME?</v>
      </c>
      <c r="D665" s="27" t="e">
        <f ca="1">_xludf.GAMMA.INV(T665,'04_PSA_INPUTS'!H7,'04_PSA_INPUTS'!I7)</f>
        <v>#NAME?</v>
      </c>
      <c r="E665" s="27" t="e">
        <f ca="1">_xludf.GAMMA.INV(U665,'04_PSA_INPUTS'!H8,'04_PSA_INPUTS'!I8)</f>
        <v>#NAME?</v>
      </c>
      <c r="F665" s="27" t="e">
        <f ca="1">_xludf.GAMMA.INV(V665,'04_PSA_INPUTS'!H9,'04_PSA_INPUTS'!I9)</f>
        <v>#NAME?</v>
      </c>
      <c r="G665" s="23" t="e">
        <f ca="1">_xludf.BETA.INV(W665,'04_PSA_INPUTS'!H10,'04_PSA_INPUTS'!I10)</f>
        <v>#NAME?</v>
      </c>
      <c r="H665" s="23" t="e">
        <f ca="1">_xludf.BETA.INV(X665,'04_PSA_INPUTS'!H11,'04_PSA_INPUTS'!I11)</f>
        <v>#NAME?</v>
      </c>
      <c r="I665" s="27" t="e">
        <f ca="1">D665+B665*F665+'01_INPUTS'!B20</f>
        <v>#NAME?</v>
      </c>
      <c r="J665" s="27" t="e">
        <f ca="1">E665+C665*F665+'01_INPUTS'!B21</f>
        <v>#NAME?</v>
      </c>
      <c r="K665" s="27" t="e">
        <f t="shared" ca="1" si="60"/>
        <v>#NAME?</v>
      </c>
      <c r="L665" s="23" t="e">
        <f t="shared" ca="1" si="61"/>
        <v>#NAME?</v>
      </c>
      <c r="M665" s="23" t="e">
        <f t="shared" ca="1" si="62"/>
        <v>#NAME?</v>
      </c>
      <c r="N665" s="23" t="e">
        <f t="shared" ca="1" si="63"/>
        <v>#NAME?</v>
      </c>
      <c r="O665" s="27" t="e">
        <f t="shared" ca="1" si="64"/>
        <v>#NAME?</v>
      </c>
      <c r="P665" s="27" t="e">
        <f ca="1">'01_INPUTS'!B9*N665-K665</f>
        <v>#NAME?</v>
      </c>
      <c r="Q665" s="1" t="e">
        <f t="shared" ca="1" si="65"/>
        <v>#NAME?</v>
      </c>
      <c r="R665" s="28">
        <v>0.96033527795225382</v>
      </c>
      <c r="S665" s="28">
        <v>0.3969112504273653</v>
      </c>
      <c r="T665" s="28">
        <v>0.9632042997982353</v>
      </c>
      <c r="U665" s="28">
        <v>0.4417601590976119</v>
      </c>
      <c r="V665" s="28">
        <v>1.2306839693337679E-2</v>
      </c>
      <c r="W665" s="28">
        <v>5.2593925269320607E-2</v>
      </c>
      <c r="X665" s="28">
        <v>1.3685043901205063E-2</v>
      </c>
    </row>
    <row r="666" spans="1:24" ht="13.9">
      <c r="A666" s="1">
        <v>665</v>
      </c>
      <c r="B666" s="23" t="e">
        <f ca="1">_xludf.BETA.INV(R666,'04_PSA_INPUTS'!H5,'04_PSA_INPUTS'!I5)</f>
        <v>#NAME?</v>
      </c>
      <c r="C666" s="23" t="e">
        <f ca="1">_xludf.BETA.INV(S666,'04_PSA_INPUTS'!H6,'04_PSA_INPUTS'!I6)</f>
        <v>#NAME?</v>
      </c>
      <c r="D666" s="27" t="e">
        <f ca="1">_xludf.GAMMA.INV(T666,'04_PSA_INPUTS'!H7,'04_PSA_INPUTS'!I7)</f>
        <v>#NAME?</v>
      </c>
      <c r="E666" s="27" t="e">
        <f ca="1">_xludf.GAMMA.INV(U666,'04_PSA_INPUTS'!H8,'04_PSA_INPUTS'!I8)</f>
        <v>#NAME?</v>
      </c>
      <c r="F666" s="27" t="e">
        <f ca="1">_xludf.GAMMA.INV(V666,'04_PSA_INPUTS'!H9,'04_PSA_INPUTS'!I9)</f>
        <v>#NAME?</v>
      </c>
      <c r="G666" s="23" t="e">
        <f ca="1">_xludf.BETA.INV(W666,'04_PSA_INPUTS'!H10,'04_PSA_INPUTS'!I10)</f>
        <v>#NAME?</v>
      </c>
      <c r="H666" s="23" t="e">
        <f ca="1">_xludf.BETA.INV(X666,'04_PSA_INPUTS'!H11,'04_PSA_INPUTS'!I11)</f>
        <v>#NAME?</v>
      </c>
      <c r="I666" s="27" t="e">
        <f ca="1">D666+B666*F666+'01_INPUTS'!B20</f>
        <v>#NAME?</v>
      </c>
      <c r="J666" s="27" t="e">
        <f ca="1">E666+C666*F666+'01_INPUTS'!B21</f>
        <v>#NAME?</v>
      </c>
      <c r="K666" s="27" t="e">
        <f t="shared" ca="1" si="60"/>
        <v>#NAME?</v>
      </c>
      <c r="L666" s="23" t="e">
        <f t="shared" ca="1" si="61"/>
        <v>#NAME?</v>
      </c>
      <c r="M666" s="23" t="e">
        <f t="shared" ca="1" si="62"/>
        <v>#NAME?</v>
      </c>
      <c r="N666" s="23" t="e">
        <f t="shared" ca="1" si="63"/>
        <v>#NAME?</v>
      </c>
      <c r="O666" s="27" t="e">
        <f t="shared" ca="1" si="64"/>
        <v>#NAME?</v>
      </c>
      <c r="P666" s="27" t="e">
        <f ca="1">'01_INPUTS'!B9*N666-K666</f>
        <v>#NAME?</v>
      </c>
      <c r="Q666" s="1" t="e">
        <f t="shared" ca="1" si="65"/>
        <v>#NAME?</v>
      </c>
      <c r="R666" s="28">
        <v>0.90036602993495762</v>
      </c>
      <c r="S666" s="28">
        <v>0.26731301005929708</v>
      </c>
      <c r="T666" s="28">
        <v>0.28286850522272289</v>
      </c>
      <c r="U666" s="28">
        <v>0.89058471354655921</v>
      </c>
      <c r="V666" s="28">
        <v>0.56130216363817453</v>
      </c>
      <c r="W666" s="28">
        <v>0.40397524135187268</v>
      </c>
      <c r="X666" s="28">
        <v>0.22574308677576482</v>
      </c>
    </row>
    <row r="667" spans="1:24" ht="13.9">
      <c r="A667" s="1">
        <v>666</v>
      </c>
      <c r="B667" s="23" t="e">
        <f ca="1">_xludf.BETA.INV(R667,'04_PSA_INPUTS'!H5,'04_PSA_INPUTS'!I5)</f>
        <v>#NAME?</v>
      </c>
      <c r="C667" s="23" t="e">
        <f ca="1">_xludf.BETA.INV(S667,'04_PSA_INPUTS'!H6,'04_PSA_INPUTS'!I6)</f>
        <v>#NAME?</v>
      </c>
      <c r="D667" s="27" t="e">
        <f ca="1">_xludf.GAMMA.INV(T667,'04_PSA_INPUTS'!H7,'04_PSA_INPUTS'!I7)</f>
        <v>#NAME?</v>
      </c>
      <c r="E667" s="27" t="e">
        <f ca="1">_xludf.GAMMA.INV(U667,'04_PSA_INPUTS'!H8,'04_PSA_INPUTS'!I8)</f>
        <v>#NAME?</v>
      </c>
      <c r="F667" s="27" t="e">
        <f ca="1">_xludf.GAMMA.INV(V667,'04_PSA_INPUTS'!H9,'04_PSA_INPUTS'!I9)</f>
        <v>#NAME?</v>
      </c>
      <c r="G667" s="23" t="e">
        <f ca="1">_xludf.BETA.INV(W667,'04_PSA_INPUTS'!H10,'04_PSA_INPUTS'!I10)</f>
        <v>#NAME?</v>
      </c>
      <c r="H667" s="23" t="e">
        <f ca="1">_xludf.BETA.INV(X667,'04_PSA_INPUTS'!H11,'04_PSA_INPUTS'!I11)</f>
        <v>#NAME?</v>
      </c>
      <c r="I667" s="27" t="e">
        <f ca="1">D667+B667*F667+'01_INPUTS'!B20</f>
        <v>#NAME?</v>
      </c>
      <c r="J667" s="27" t="e">
        <f ca="1">E667+C667*F667+'01_INPUTS'!B21</f>
        <v>#NAME?</v>
      </c>
      <c r="K667" s="27" t="e">
        <f t="shared" ca="1" si="60"/>
        <v>#NAME?</v>
      </c>
      <c r="L667" s="23" t="e">
        <f t="shared" ca="1" si="61"/>
        <v>#NAME?</v>
      </c>
      <c r="M667" s="23" t="e">
        <f t="shared" ca="1" si="62"/>
        <v>#NAME?</v>
      </c>
      <c r="N667" s="23" t="e">
        <f t="shared" ca="1" si="63"/>
        <v>#NAME?</v>
      </c>
      <c r="O667" s="27" t="e">
        <f t="shared" ca="1" si="64"/>
        <v>#NAME?</v>
      </c>
      <c r="P667" s="27" t="e">
        <f ca="1">'01_INPUTS'!B9*N667-K667</f>
        <v>#NAME?</v>
      </c>
      <c r="Q667" s="1" t="e">
        <f t="shared" ca="1" si="65"/>
        <v>#NAME?</v>
      </c>
      <c r="R667" s="28">
        <v>0.97932430915534496</v>
      </c>
      <c r="S667" s="28">
        <v>0.14825199823826551</v>
      </c>
      <c r="T667" s="28">
        <v>0.74665419477969408</v>
      </c>
      <c r="U667" s="28">
        <v>0.1818026436958462</v>
      </c>
      <c r="V667" s="28">
        <v>0.61950393300503492</v>
      </c>
      <c r="W667" s="28">
        <v>0.29375651478767395</v>
      </c>
      <c r="X667" s="28">
        <v>0.18854986759833992</v>
      </c>
    </row>
    <row r="668" spans="1:24" ht="13.9">
      <c r="A668" s="1">
        <v>667</v>
      </c>
      <c r="B668" s="23" t="e">
        <f ca="1">_xludf.BETA.INV(R668,'04_PSA_INPUTS'!H5,'04_PSA_INPUTS'!I5)</f>
        <v>#NAME?</v>
      </c>
      <c r="C668" s="23" t="e">
        <f ca="1">_xludf.BETA.INV(S668,'04_PSA_INPUTS'!H6,'04_PSA_INPUTS'!I6)</f>
        <v>#NAME?</v>
      </c>
      <c r="D668" s="27" t="e">
        <f ca="1">_xludf.GAMMA.INV(T668,'04_PSA_INPUTS'!H7,'04_PSA_INPUTS'!I7)</f>
        <v>#NAME?</v>
      </c>
      <c r="E668" s="27" t="e">
        <f ca="1">_xludf.GAMMA.INV(U668,'04_PSA_INPUTS'!H8,'04_PSA_INPUTS'!I8)</f>
        <v>#NAME?</v>
      </c>
      <c r="F668" s="27" t="e">
        <f ca="1">_xludf.GAMMA.INV(V668,'04_PSA_INPUTS'!H9,'04_PSA_INPUTS'!I9)</f>
        <v>#NAME?</v>
      </c>
      <c r="G668" s="23" t="e">
        <f ca="1">_xludf.BETA.INV(W668,'04_PSA_INPUTS'!H10,'04_PSA_INPUTS'!I10)</f>
        <v>#NAME?</v>
      </c>
      <c r="H668" s="23" t="e">
        <f ca="1">_xludf.BETA.INV(X668,'04_PSA_INPUTS'!H11,'04_PSA_INPUTS'!I11)</f>
        <v>#NAME?</v>
      </c>
      <c r="I668" s="27" t="e">
        <f ca="1">D668+B668*F668+'01_INPUTS'!B20</f>
        <v>#NAME?</v>
      </c>
      <c r="J668" s="27" t="e">
        <f ca="1">E668+C668*F668+'01_INPUTS'!B21</f>
        <v>#NAME?</v>
      </c>
      <c r="K668" s="27" t="e">
        <f t="shared" ca="1" si="60"/>
        <v>#NAME?</v>
      </c>
      <c r="L668" s="23" t="e">
        <f t="shared" ca="1" si="61"/>
        <v>#NAME?</v>
      </c>
      <c r="M668" s="23" t="e">
        <f t="shared" ca="1" si="62"/>
        <v>#NAME?</v>
      </c>
      <c r="N668" s="23" t="e">
        <f t="shared" ca="1" si="63"/>
        <v>#NAME?</v>
      </c>
      <c r="O668" s="27" t="e">
        <f t="shared" ca="1" si="64"/>
        <v>#NAME?</v>
      </c>
      <c r="P668" s="27" t="e">
        <f ca="1">'01_INPUTS'!B9*N668-K668</f>
        <v>#NAME?</v>
      </c>
      <c r="Q668" s="1" t="e">
        <f t="shared" ca="1" si="65"/>
        <v>#NAME?</v>
      </c>
      <c r="R668" s="28">
        <v>0.40496500767767429</v>
      </c>
      <c r="S668" s="28">
        <v>0.49039794038981199</v>
      </c>
      <c r="T668" s="28">
        <v>0.42677235370501876</v>
      </c>
      <c r="U668" s="28">
        <v>0.80798865482211113</v>
      </c>
      <c r="V668" s="28">
        <v>0.833435497013852</v>
      </c>
      <c r="W668" s="28">
        <v>0.66426353622227907</v>
      </c>
      <c r="X668" s="28">
        <v>0.22231663879938424</v>
      </c>
    </row>
    <row r="669" spans="1:24" ht="13.9">
      <c r="A669" s="1">
        <v>668</v>
      </c>
      <c r="B669" s="23" t="e">
        <f ca="1">_xludf.BETA.INV(R669,'04_PSA_INPUTS'!H5,'04_PSA_INPUTS'!I5)</f>
        <v>#NAME?</v>
      </c>
      <c r="C669" s="23" t="e">
        <f ca="1">_xludf.BETA.INV(S669,'04_PSA_INPUTS'!H6,'04_PSA_INPUTS'!I6)</f>
        <v>#NAME?</v>
      </c>
      <c r="D669" s="27" t="e">
        <f ca="1">_xludf.GAMMA.INV(T669,'04_PSA_INPUTS'!H7,'04_PSA_INPUTS'!I7)</f>
        <v>#NAME?</v>
      </c>
      <c r="E669" s="27" t="e">
        <f ca="1">_xludf.GAMMA.INV(U669,'04_PSA_INPUTS'!H8,'04_PSA_INPUTS'!I8)</f>
        <v>#NAME?</v>
      </c>
      <c r="F669" s="27" t="e">
        <f ca="1">_xludf.GAMMA.INV(V669,'04_PSA_INPUTS'!H9,'04_PSA_INPUTS'!I9)</f>
        <v>#NAME?</v>
      </c>
      <c r="G669" s="23" t="e">
        <f ca="1">_xludf.BETA.INV(W669,'04_PSA_INPUTS'!H10,'04_PSA_INPUTS'!I10)</f>
        <v>#NAME?</v>
      </c>
      <c r="H669" s="23" t="e">
        <f ca="1">_xludf.BETA.INV(X669,'04_PSA_INPUTS'!H11,'04_PSA_INPUTS'!I11)</f>
        <v>#NAME?</v>
      </c>
      <c r="I669" s="27" t="e">
        <f ca="1">D669+B669*F669+'01_INPUTS'!B20</f>
        <v>#NAME?</v>
      </c>
      <c r="J669" s="27" t="e">
        <f ca="1">E669+C669*F669+'01_INPUTS'!B21</f>
        <v>#NAME?</v>
      </c>
      <c r="K669" s="27" t="e">
        <f t="shared" ca="1" si="60"/>
        <v>#NAME?</v>
      </c>
      <c r="L669" s="23" t="e">
        <f t="shared" ca="1" si="61"/>
        <v>#NAME?</v>
      </c>
      <c r="M669" s="23" t="e">
        <f t="shared" ca="1" si="62"/>
        <v>#NAME?</v>
      </c>
      <c r="N669" s="23" t="e">
        <f t="shared" ca="1" si="63"/>
        <v>#NAME?</v>
      </c>
      <c r="O669" s="27" t="e">
        <f t="shared" ca="1" si="64"/>
        <v>#NAME?</v>
      </c>
      <c r="P669" s="27" t="e">
        <f ca="1">'01_INPUTS'!B9*N669-K669</f>
        <v>#NAME?</v>
      </c>
      <c r="Q669" s="1" t="e">
        <f t="shared" ca="1" si="65"/>
        <v>#NAME?</v>
      </c>
      <c r="R669" s="28">
        <v>0.10385499708354473</v>
      </c>
      <c r="S669" s="28">
        <v>0.62569437245838344</v>
      </c>
      <c r="T669" s="28">
        <v>0.90764053701423109</v>
      </c>
      <c r="U669" s="28">
        <v>0.2430113828741014</v>
      </c>
      <c r="V669" s="28">
        <v>0.86294578877277672</v>
      </c>
      <c r="W669" s="28">
        <v>0.98045834805816412</v>
      </c>
      <c r="X669" s="28">
        <v>0.15133029827848077</v>
      </c>
    </row>
    <row r="670" spans="1:24" ht="13.9">
      <c r="A670" s="1">
        <v>669</v>
      </c>
      <c r="B670" s="23" t="e">
        <f ca="1">_xludf.BETA.INV(R670,'04_PSA_INPUTS'!H5,'04_PSA_INPUTS'!I5)</f>
        <v>#NAME?</v>
      </c>
      <c r="C670" s="23" t="e">
        <f ca="1">_xludf.BETA.INV(S670,'04_PSA_INPUTS'!H6,'04_PSA_INPUTS'!I6)</f>
        <v>#NAME?</v>
      </c>
      <c r="D670" s="27" t="e">
        <f ca="1">_xludf.GAMMA.INV(T670,'04_PSA_INPUTS'!H7,'04_PSA_INPUTS'!I7)</f>
        <v>#NAME?</v>
      </c>
      <c r="E670" s="27" t="e">
        <f ca="1">_xludf.GAMMA.INV(U670,'04_PSA_INPUTS'!H8,'04_PSA_INPUTS'!I8)</f>
        <v>#NAME?</v>
      </c>
      <c r="F670" s="27" t="e">
        <f ca="1">_xludf.GAMMA.INV(V670,'04_PSA_INPUTS'!H9,'04_PSA_INPUTS'!I9)</f>
        <v>#NAME?</v>
      </c>
      <c r="G670" s="23" t="e">
        <f ca="1">_xludf.BETA.INV(W670,'04_PSA_INPUTS'!H10,'04_PSA_INPUTS'!I10)</f>
        <v>#NAME?</v>
      </c>
      <c r="H670" s="23" t="e">
        <f ca="1">_xludf.BETA.INV(X670,'04_PSA_INPUTS'!H11,'04_PSA_INPUTS'!I11)</f>
        <v>#NAME?</v>
      </c>
      <c r="I670" s="27" t="e">
        <f ca="1">D670+B670*F670+'01_INPUTS'!B20</f>
        <v>#NAME?</v>
      </c>
      <c r="J670" s="27" t="e">
        <f ca="1">E670+C670*F670+'01_INPUTS'!B21</f>
        <v>#NAME?</v>
      </c>
      <c r="K670" s="27" t="e">
        <f t="shared" ca="1" si="60"/>
        <v>#NAME?</v>
      </c>
      <c r="L670" s="23" t="e">
        <f t="shared" ca="1" si="61"/>
        <v>#NAME?</v>
      </c>
      <c r="M670" s="23" t="e">
        <f t="shared" ca="1" si="62"/>
        <v>#NAME?</v>
      </c>
      <c r="N670" s="23" t="e">
        <f t="shared" ca="1" si="63"/>
        <v>#NAME?</v>
      </c>
      <c r="O670" s="27" t="e">
        <f t="shared" ca="1" si="64"/>
        <v>#NAME?</v>
      </c>
      <c r="P670" s="27" t="e">
        <f ca="1">'01_INPUTS'!B9*N670-K670</f>
        <v>#NAME?</v>
      </c>
      <c r="Q670" s="1" t="e">
        <f t="shared" ca="1" si="65"/>
        <v>#NAME?</v>
      </c>
      <c r="R670" s="28">
        <v>0.51929494761861861</v>
      </c>
      <c r="S670" s="28">
        <v>0.91327895782887936</v>
      </c>
      <c r="T670" s="28">
        <v>0.86259732977487147</v>
      </c>
      <c r="U670" s="28">
        <v>0.53241027961485088</v>
      </c>
      <c r="V670" s="28">
        <v>0.46177955251187086</v>
      </c>
      <c r="W670" s="28">
        <v>0.35768899857066572</v>
      </c>
      <c r="X670" s="28">
        <v>0.97231517778709531</v>
      </c>
    </row>
    <row r="671" spans="1:24" ht="13.9">
      <c r="A671" s="1">
        <v>670</v>
      </c>
      <c r="B671" s="23" t="e">
        <f ca="1">_xludf.BETA.INV(R671,'04_PSA_INPUTS'!H5,'04_PSA_INPUTS'!I5)</f>
        <v>#NAME?</v>
      </c>
      <c r="C671" s="23" t="e">
        <f ca="1">_xludf.BETA.INV(S671,'04_PSA_INPUTS'!H6,'04_PSA_INPUTS'!I6)</f>
        <v>#NAME?</v>
      </c>
      <c r="D671" s="27" t="e">
        <f ca="1">_xludf.GAMMA.INV(T671,'04_PSA_INPUTS'!H7,'04_PSA_INPUTS'!I7)</f>
        <v>#NAME?</v>
      </c>
      <c r="E671" s="27" t="e">
        <f ca="1">_xludf.GAMMA.INV(U671,'04_PSA_INPUTS'!H8,'04_PSA_INPUTS'!I8)</f>
        <v>#NAME?</v>
      </c>
      <c r="F671" s="27" t="e">
        <f ca="1">_xludf.GAMMA.INV(V671,'04_PSA_INPUTS'!H9,'04_PSA_INPUTS'!I9)</f>
        <v>#NAME?</v>
      </c>
      <c r="G671" s="23" t="e">
        <f ca="1">_xludf.BETA.INV(W671,'04_PSA_INPUTS'!H10,'04_PSA_INPUTS'!I10)</f>
        <v>#NAME?</v>
      </c>
      <c r="H671" s="23" t="e">
        <f ca="1">_xludf.BETA.INV(X671,'04_PSA_INPUTS'!H11,'04_PSA_INPUTS'!I11)</f>
        <v>#NAME?</v>
      </c>
      <c r="I671" s="27" t="e">
        <f ca="1">D671+B671*F671+'01_INPUTS'!B20</f>
        <v>#NAME?</v>
      </c>
      <c r="J671" s="27" t="e">
        <f ca="1">E671+C671*F671+'01_INPUTS'!B21</f>
        <v>#NAME?</v>
      </c>
      <c r="K671" s="27" t="e">
        <f t="shared" ca="1" si="60"/>
        <v>#NAME?</v>
      </c>
      <c r="L671" s="23" t="e">
        <f t="shared" ca="1" si="61"/>
        <v>#NAME?</v>
      </c>
      <c r="M671" s="23" t="e">
        <f t="shared" ca="1" si="62"/>
        <v>#NAME?</v>
      </c>
      <c r="N671" s="23" t="e">
        <f t="shared" ca="1" si="63"/>
        <v>#NAME?</v>
      </c>
      <c r="O671" s="27" t="e">
        <f t="shared" ca="1" si="64"/>
        <v>#NAME?</v>
      </c>
      <c r="P671" s="27" t="e">
        <f ca="1">'01_INPUTS'!B9*N671-K671</f>
        <v>#NAME?</v>
      </c>
      <c r="Q671" s="1" t="e">
        <f t="shared" ca="1" si="65"/>
        <v>#NAME?</v>
      </c>
      <c r="R671" s="28">
        <v>0.29864959721453488</v>
      </c>
      <c r="S671" s="28">
        <v>6.6376756876707077E-4</v>
      </c>
      <c r="T671" s="28">
        <v>0.33281652978621423</v>
      </c>
      <c r="U671" s="28">
        <v>0.15643274551257491</v>
      </c>
      <c r="V671" s="28">
        <v>0.9758144763763994</v>
      </c>
      <c r="W671" s="28">
        <v>0.30650457344017923</v>
      </c>
      <c r="X671" s="28">
        <v>0.88834228203631938</v>
      </c>
    </row>
    <row r="672" spans="1:24" ht="13.9">
      <c r="A672" s="1">
        <v>671</v>
      </c>
      <c r="B672" s="23" t="e">
        <f ca="1">_xludf.BETA.INV(R672,'04_PSA_INPUTS'!H5,'04_PSA_INPUTS'!I5)</f>
        <v>#NAME?</v>
      </c>
      <c r="C672" s="23" t="e">
        <f ca="1">_xludf.BETA.INV(S672,'04_PSA_INPUTS'!H6,'04_PSA_INPUTS'!I6)</f>
        <v>#NAME?</v>
      </c>
      <c r="D672" s="27" t="e">
        <f ca="1">_xludf.GAMMA.INV(T672,'04_PSA_INPUTS'!H7,'04_PSA_INPUTS'!I7)</f>
        <v>#NAME?</v>
      </c>
      <c r="E672" s="27" t="e">
        <f ca="1">_xludf.GAMMA.INV(U672,'04_PSA_INPUTS'!H8,'04_PSA_INPUTS'!I8)</f>
        <v>#NAME?</v>
      </c>
      <c r="F672" s="27" t="e">
        <f ca="1">_xludf.GAMMA.INV(V672,'04_PSA_INPUTS'!H9,'04_PSA_INPUTS'!I9)</f>
        <v>#NAME?</v>
      </c>
      <c r="G672" s="23" t="e">
        <f ca="1">_xludf.BETA.INV(W672,'04_PSA_INPUTS'!H10,'04_PSA_INPUTS'!I10)</f>
        <v>#NAME?</v>
      </c>
      <c r="H672" s="23" t="e">
        <f ca="1">_xludf.BETA.INV(X672,'04_PSA_INPUTS'!H11,'04_PSA_INPUTS'!I11)</f>
        <v>#NAME?</v>
      </c>
      <c r="I672" s="27" t="e">
        <f ca="1">D672+B672*F672+'01_INPUTS'!B20</f>
        <v>#NAME?</v>
      </c>
      <c r="J672" s="27" t="e">
        <f ca="1">E672+C672*F672+'01_INPUTS'!B21</f>
        <v>#NAME?</v>
      </c>
      <c r="K672" s="27" t="e">
        <f t="shared" ca="1" si="60"/>
        <v>#NAME?</v>
      </c>
      <c r="L672" s="23" t="e">
        <f t="shared" ca="1" si="61"/>
        <v>#NAME?</v>
      </c>
      <c r="M672" s="23" t="e">
        <f t="shared" ca="1" si="62"/>
        <v>#NAME?</v>
      </c>
      <c r="N672" s="23" t="e">
        <f t="shared" ca="1" si="63"/>
        <v>#NAME?</v>
      </c>
      <c r="O672" s="27" t="e">
        <f t="shared" ca="1" si="64"/>
        <v>#NAME?</v>
      </c>
      <c r="P672" s="27" t="e">
        <f ca="1">'01_INPUTS'!B9*N672-K672</f>
        <v>#NAME?</v>
      </c>
      <c r="Q672" s="1" t="e">
        <f t="shared" ca="1" si="65"/>
        <v>#NAME?</v>
      </c>
      <c r="R672" s="28">
        <v>0.11034132866188884</v>
      </c>
      <c r="S672" s="28">
        <v>0.83948398916982114</v>
      </c>
      <c r="T672" s="28">
        <v>0.16241753078065813</v>
      </c>
      <c r="U672" s="28">
        <v>0.9079374959692359</v>
      </c>
      <c r="V672" s="28">
        <v>0.98665501200594008</v>
      </c>
      <c r="W672" s="28">
        <v>3.7831854540854692E-2</v>
      </c>
      <c r="X672" s="28">
        <v>4.2882154695689678E-2</v>
      </c>
    </row>
    <row r="673" spans="1:24" ht="13.9">
      <c r="A673" s="1">
        <v>672</v>
      </c>
      <c r="B673" s="23" t="e">
        <f ca="1">_xludf.BETA.INV(R673,'04_PSA_INPUTS'!H5,'04_PSA_INPUTS'!I5)</f>
        <v>#NAME?</v>
      </c>
      <c r="C673" s="23" t="e">
        <f ca="1">_xludf.BETA.INV(S673,'04_PSA_INPUTS'!H6,'04_PSA_INPUTS'!I6)</f>
        <v>#NAME?</v>
      </c>
      <c r="D673" s="27" t="e">
        <f ca="1">_xludf.GAMMA.INV(T673,'04_PSA_INPUTS'!H7,'04_PSA_INPUTS'!I7)</f>
        <v>#NAME?</v>
      </c>
      <c r="E673" s="27" t="e">
        <f ca="1">_xludf.GAMMA.INV(U673,'04_PSA_INPUTS'!H8,'04_PSA_INPUTS'!I8)</f>
        <v>#NAME?</v>
      </c>
      <c r="F673" s="27" t="e">
        <f ca="1">_xludf.GAMMA.INV(V673,'04_PSA_INPUTS'!H9,'04_PSA_INPUTS'!I9)</f>
        <v>#NAME?</v>
      </c>
      <c r="G673" s="23" t="e">
        <f ca="1">_xludf.BETA.INV(W673,'04_PSA_INPUTS'!H10,'04_PSA_INPUTS'!I10)</f>
        <v>#NAME?</v>
      </c>
      <c r="H673" s="23" t="e">
        <f ca="1">_xludf.BETA.INV(X673,'04_PSA_INPUTS'!H11,'04_PSA_INPUTS'!I11)</f>
        <v>#NAME?</v>
      </c>
      <c r="I673" s="27" t="e">
        <f ca="1">D673+B673*F673+'01_INPUTS'!B20</f>
        <v>#NAME?</v>
      </c>
      <c r="J673" s="27" t="e">
        <f ca="1">E673+C673*F673+'01_INPUTS'!B21</f>
        <v>#NAME?</v>
      </c>
      <c r="K673" s="27" t="e">
        <f t="shared" ca="1" si="60"/>
        <v>#NAME?</v>
      </c>
      <c r="L673" s="23" t="e">
        <f t="shared" ca="1" si="61"/>
        <v>#NAME?</v>
      </c>
      <c r="M673" s="23" t="e">
        <f t="shared" ca="1" si="62"/>
        <v>#NAME?</v>
      </c>
      <c r="N673" s="23" t="e">
        <f t="shared" ca="1" si="63"/>
        <v>#NAME?</v>
      </c>
      <c r="O673" s="27" t="e">
        <f t="shared" ca="1" si="64"/>
        <v>#NAME?</v>
      </c>
      <c r="P673" s="27" t="e">
        <f ca="1">'01_INPUTS'!B9*N673-K673</f>
        <v>#NAME?</v>
      </c>
      <c r="Q673" s="1" t="e">
        <f t="shared" ca="1" si="65"/>
        <v>#NAME?</v>
      </c>
      <c r="R673" s="28">
        <v>0.18553391005843878</v>
      </c>
      <c r="S673" s="28">
        <v>0.99416729505173862</v>
      </c>
      <c r="T673" s="28">
        <v>1.9996328046545386E-2</v>
      </c>
      <c r="U673" s="28">
        <v>0.86834711069241166</v>
      </c>
      <c r="V673" s="28">
        <v>0.99693055357784033</v>
      </c>
      <c r="W673" s="28">
        <v>0.66906492155976593</v>
      </c>
      <c r="X673" s="28">
        <v>0.100296251475811</v>
      </c>
    </row>
    <row r="674" spans="1:24" ht="13.9">
      <c r="A674" s="1">
        <v>673</v>
      </c>
      <c r="B674" s="23" t="e">
        <f ca="1">_xludf.BETA.INV(R674,'04_PSA_INPUTS'!H5,'04_PSA_INPUTS'!I5)</f>
        <v>#NAME?</v>
      </c>
      <c r="C674" s="23" t="e">
        <f ca="1">_xludf.BETA.INV(S674,'04_PSA_INPUTS'!H6,'04_PSA_INPUTS'!I6)</f>
        <v>#NAME?</v>
      </c>
      <c r="D674" s="27" t="e">
        <f ca="1">_xludf.GAMMA.INV(T674,'04_PSA_INPUTS'!H7,'04_PSA_INPUTS'!I7)</f>
        <v>#NAME?</v>
      </c>
      <c r="E674" s="27" t="e">
        <f ca="1">_xludf.GAMMA.INV(U674,'04_PSA_INPUTS'!H8,'04_PSA_INPUTS'!I8)</f>
        <v>#NAME?</v>
      </c>
      <c r="F674" s="27" t="e">
        <f ca="1">_xludf.GAMMA.INV(V674,'04_PSA_INPUTS'!H9,'04_PSA_INPUTS'!I9)</f>
        <v>#NAME?</v>
      </c>
      <c r="G674" s="23" t="e">
        <f ca="1">_xludf.BETA.INV(W674,'04_PSA_INPUTS'!H10,'04_PSA_INPUTS'!I10)</f>
        <v>#NAME?</v>
      </c>
      <c r="H674" s="23" t="e">
        <f ca="1">_xludf.BETA.INV(X674,'04_PSA_INPUTS'!H11,'04_PSA_INPUTS'!I11)</f>
        <v>#NAME?</v>
      </c>
      <c r="I674" s="27" t="e">
        <f ca="1">D674+B674*F674+'01_INPUTS'!B20</f>
        <v>#NAME?</v>
      </c>
      <c r="J674" s="27" t="e">
        <f ca="1">E674+C674*F674+'01_INPUTS'!B21</f>
        <v>#NAME?</v>
      </c>
      <c r="K674" s="27" t="e">
        <f t="shared" ca="1" si="60"/>
        <v>#NAME?</v>
      </c>
      <c r="L674" s="23" t="e">
        <f t="shared" ca="1" si="61"/>
        <v>#NAME?</v>
      </c>
      <c r="M674" s="23" t="e">
        <f t="shared" ca="1" si="62"/>
        <v>#NAME?</v>
      </c>
      <c r="N674" s="23" t="e">
        <f t="shared" ca="1" si="63"/>
        <v>#NAME?</v>
      </c>
      <c r="O674" s="27" t="e">
        <f t="shared" ca="1" si="64"/>
        <v>#NAME?</v>
      </c>
      <c r="P674" s="27" t="e">
        <f ca="1">'01_INPUTS'!B9*N674-K674</f>
        <v>#NAME?</v>
      </c>
      <c r="Q674" s="1" t="e">
        <f t="shared" ca="1" si="65"/>
        <v>#NAME?</v>
      </c>
      <c r="R674" s="28">
        <v>0.62168673775158823</v>
      </c>
      <c r="S674" s="28">
        <v>0.20505059533752501</v>
      </c>
      <c r="T674" s="28">
        <v>0.70676017203368247</v>
      </c>
      <c r="U674" s="28">
        <v>0.50741403549909592</v>
      </c>
      <c r="V674" s="28">
        <v>0.55796411144547164</v>
      </c>
      <c r="W674" s="28">
        <v>0.29436033964157104</v>
      </c>
      <c r="X674" s="28">
        <v>0.73836518521420658</v>
      </c>
    </row>
    <row r="675" spans="1:24" ht="13.9">
      <c r="A675" s="1">
        <v>674</v>
      </c>
      <c r="B675" s="23" t="e">
        <f ca="1">_xludf.BETA.INV(R675,'04_PSA_INPUTS'!H5,'04_PSA_INPUTS'!I5)</f>
        <v>#NAME?</v>
      </c>
      <c r="C675" s="23" t="e">
        <f ca="1">_xludf.BETA.INV(S675,'04_PSA_INPUTS'!H6,'04_PSA_INPUTS'!I6)</f>
        <v>#NAME?</v>
      </c>
      <c r="D675" s="27" t="e">
        <f ca="1">_xludf.GAMMA.INV(T675,'04_PSA_INPUTS'!H7,'04_PSA_INPUTS'!I7)</f>
        <v>#NAME?</v>
      </c>
      <c r="E675" s="27" t="e">
        <f ca="1">_xludf.GAMMA.INV(U675,'04_PSA_INPUTS'!H8,'04_PSA_INPUTS'!I8)</f>
        <v>#NAME?</v>
      </c>
      <c r="F675" s="27" t="e">
        <f ca="1">_xludf.GAMMA.INV(V675,'04_PSA_INPUTS'!H9,'04_PSA_INPUTS'!I9)</f>
        <v>#NAME?</v>
      </c>
      <c r="G675" s="23" t="e">
        <f ca="1">_xludf.BETA.INV(W675,'04_PSA_INPUTS'!H10,'04_PSA_INPUTS'!I10)</f>
        <v>#NAME?</v>
      </c>
      <c r="H675" s="23" t="e">
        <f ca="1">_xludf.BETA.INV(X675,'04_PSA_INPUTS'!H11,'04_PSA_INPUTS'!I11)</f>
        <v>#NAME?</v>
      </c>
      <c r="I675" s="27" t="e">
        <f ca="1">D675+B675*F675+'01_INPUTS'!B20</f>
        <v>#NAME?</v>
      </c>
      <c r="J675" s="27" t="e">
        <f ca="1">E675+C675*F675+'01_INPUTS'!B21</f>
        <v>#NAME?</v>
      </c>
      <c r="K675" s="27" t="e">
        <f t="shared" ca="1" si="60"/>
        <v>#NAME?</v>
      </c>
      <c r="L675" s="23" t="e">
        <f t="shared" ca="1" si="61"/>
        <v>#NAME?</v>
      </c>
      <c r="M675" s="23" t="e">
        <f t="shared" ca="1" si="62"/>
        <v>#NAME?</v>
      </c>
      <c r="N675" s="23" t="e">
        <f t="shared" ca="1" si="63"/>
        <v>#NAME?</v>
      </c>
      <c r="O675" s="27" t="e">
        <f t="shared" ca="1" si="64"/>
        <v>#NAME?</v>
      </c>
      <c r="P675" s="27" t="e">
        <f ca="1">'01_INPUTS'!B9*N675-K675</f>
        <v>#NAME?</v>
      </c>
      <c r="Q675" s="1" t="e">
        <f t="shared" ca="1" si="65"/>
        <v>#NAME?</v>
      </c>
      <c r="R675" s="28">
        <v>5.3473275853320956E-2</v>
      </c>
      <c r="S675" s="28">
        <v>0.67701960657723248</v>
      </c>
      <c r="T675" s="28">
        <v>0.32944179582409561</v>
      </c>
      <c r="U675" s="28">
        <v>0.4502915539778769</v>
      </c>
      <c r="V675" s="28">
        <v>0.48090459499508142</v>
      </c>
      <c r="W675" s="28">
        <v>0.65667302720248699</v>
      </c>
      <c r="X675" s="28">
        <v>6.9966546725481749E-2</v>
      </c>
    </row>
    <row r="676" spans="1:24" ht="13.9">
      <c r="A676" s="1">
        <v>675</v>
      </c>
      <c r="B676" s="23" t="e">
        <f ca="1">_xludf.BETA.INV(R676,'04_PSA_INPUTS'!H5,'04_PSA_INPUTS'!I5)</f>
        <v>#NAME?</v>
      </c>
      <c r="C676" s="23" t="e">
        <f ca="1">_xludf.BETA.INV(S676,'04_PSA_INPUTS'!H6,'04_PSA_INPUTS'!I6)</f>
        <v>#NAME?</v>
      </c>
      <c r="D676" s="27" t="e">
        <f ca="1">_xludf.GAMMA.INV(T676,'04_PSA_INPUTS'!H7,'04_PSA_INPUTS'!I7)</f>
        <v>#NAME?</v>
      </c>
      <c r="E676" s="27" t="e">
        <f ca="1">_xludf.GAMMA.INV(U676,'04_PSA_INPUTS'!H8,'04_PSA_INPUTS'!I8)</f>
        <v>#NAME?</v>
      </c>
      <c r="F676" s="27" t="e">
        <f ca="1">_xludf.GAMMA.INV(V676,'04_PSA_INPUTS'!H9,'04_PSA_INPUTS'!I9)</f>
        <v>#NAME?</v>
      </c>
      <c r="G676" s="23" t="e">
        <f ca="1">_xludf.BETA.INV(W676,'04_PSA_INPUTS'!H10,'04_PSA_INPUTS'!I10)</f>
        <v>#NAME?</v>
      </c>
      <c r="H676" s="23" t="e">
        <f ca="1">_xludf.BETA.INV(X676,'04_PSA_INPUTS'!H11,'04_PSA_INPUTS'!I11)</f>
        <v>#NAME?</v>
      </c>
      <c r="I676" s="27" t="e">
        <f ca="1">D676+B676*F676+'01_INPUTS'!B20</f>
        <v>#NAME?</v>
      </c>
      <c r="J676" s="27" t="e">
        <f ca="1">E676+C676*F676+'01_INPUTS'!B21</f>
        <v>#NAME?</v>
      </c>
      <c r="K676" s="27" t="e">
        <f t="shared" ca="1" si="60"/>
        <v>#NAME?</v>
      </c>
      <c r="L676" s="23" t="e">
        <f t="shared" ca="1" si="61"/>
        <v>#NAME?</v>
      </c>
      <c r="M676" s="23" t="e">
        <f t="shared" ca="1" si="62"/>
        <v>#NAME?</v>
      </c>
      <c r="N676" s="23" t="e">
        <f t="shared" ca="1" si="63"/>
        <v>#NAME?</v>
      </c>
      <c r="O676" s="27" t="e">
        <f t="shared" ca="1" si="64"/>
        <v>#NAME?</v>
      </c>
      <c r="P676" s="27" t="e">
        <f ca="1">'01_INPUTS'!B9*N676-K676</f>
        <v>#NAME?</v>
      </c>
      <c r="Q676" s="1" t="e">
        <f t="shared" ca="1" si="65"/>
        <v>#NAME?</v>
      </c>
      <c r="R676" s="28">
        <v>0.80667700874619186</v>
      </c>
      <c r="S676" s="28">
        <v>0.71775498799979687</v>
      </c>
      <c r="T676" s="28">
        <v>3.1810327433049679E-2</v>
      </c>
      <c r="U676" s="28">
        <v>0.71845198865048587</v>
      </c>
      <c r="V676" s="28">
        <v>7.9308652551844716E-2</v>
      </c>
      <c r="W676" s="28">
        <v>0.51588639058172703</v>
      </c>
      <c r="X676" s="28">
        <v>0.2007924837525934</v>
      </c>
    </row>
    <row r="677" spans="1:24" ht="13.9">
      <c r="A677" s="1">
        <v>676</v>
      </c>
      <c r="B677" s="23" t="e">
        <f ca="1">_xludf.BETA.INV(R677,'04_PSA_INPUTS'!H5,'04_PSA_INPUTS'!I5)</f>
        <v>#NAME?</v>
      </c>
      <c r="C677" s="23" t="e">
        <f ca="1">_xludf.BETA.INV(S677,'04_PSA_INPUTS'!H6,'04_PSA_INPUTS'!I6)</f>
        <v>#NAME?</v>
      </c>
      <c r="D677" s="27" t="e">
        <f ca="1">_xludf.GAMMA.INV(T677,'04_PSA_INPUTS'!H7,'04_PSA_INPUTS'!I7)</f>
        <v>#NAME?</v>
      </c>
      <c r="E677" s="27" t="e">
        <f ca="1">_xludf.GAMMA.INV(U677,'04_PSA_INPUTS'!H8,'04_PSA_INPUTS'!I8)</f>
        <v>#NAME?</v>
      </c>
      <c r="F677" s="27" t="e">
        <f ca="1">_xludf.GAMMA.INV(V677,'04_PSA_INPUTS'!H9,'04_PSA_INPUTS'!I9)</f>
        <v>#NAME?</v>
      </c>
      <c r="G677" s="23" t="e">
        <f ca="1">_xludf.BETA.INV(W677,'04_PSA_INPUTS'!H10,'04_PSA_INPUTS'!I10)</f>
        <v>#NAME?</v>
      </c>
      <c r="H677" s="23" t="e">
        <f ca="1">_xludf.BETA.INV(X677,'04_PSA_INPUTS'!H11,'04_PSA_INPUTS'!I11)</f>
        <v>#NAME?</v>
      </c>
      <c r="I677" s="27" t="e">
        <f ca="1">D677+B677*F677+'01_INPUTS'!B20</f>
        <v>#NAME?</v>
      </c>
      <c r="J677" s="27" t="e">
        <f ca="1">E677+C677*F677+'01_INPUTS'!B21</f>
        <v>#NAME?</v>
      </c>
      <c r="K677" s="27" t="e">
        <f t="shared" ca="1" si="60"/>
        <v>#NAME?</v>
      </c>
      <c r="L677" s="23" t="e">
        <f t="shared" ca="1" si="61"/>
        <v>#NAME?</v>
      </c>
      <c r="M677" s="23" t="e">
        <f t="shared" ca="1" si="62"/>
        <v>#NAME?</v>
      </c>
      <c r="N677" s="23" t="e">
        <f t="shared" ca="1" si="63"/>
        <v>#NAME?</v>
      </c>
      <c r="O677" s="27" t="e">
        <f t="shared" ca="1" si="64"/>
        <v>#NAME?</v>
      </c>
      <c r="P677" s="27" t="e">
        <f ca="1">'01_INPUTS'!B9*N677-K677</f>
        <v>#NAME?</v>
      </c>
      <c r="Q677" s="1" t="e">
        <f t="shared" ca="1" si="65"/>
        <v>#NAME?</v>
      </c>
      <c r="R677" s="28">
        <v>0.4956734087318182</v>
      </c>
      <c r="S677" s="28">
        <v>0.47023077635094523</v>
      </c>
      <c r="T677" s="28">
        <v>0.52018312807194889</v>
      </c>
      <c r="U677" s="28">
        <v>0.73543659341521561</v>
      </c>
      <c r="V677" s="28">
        <v>0.58027025847695768</v>
      </c>
      <c r="W677" s="28">
        <v>0.95306815975345671</v>
      </c>
      <c r="X677" s="28">
        <v>0.12437860947102308</v>
      </c>
    </row>
    <row r="678" spans="1:24" ht="13.9">
      <c r="A678" s="1">
        <v>677</v>
      </c>
      <c r="B678" s="23" t="e">
        <f ca="1">_xludf.BETA.INV(R678,'04_PSA_INPUTS'!H5,'04_PSA_INPUTS'!I5)</f>
        <v>#NAME?</v>
      </c>
      <c r="C678" s="23" t="e">
        <f ca="1">_xludf.BETA.INV(S678,'04_PSA_INPUTS'!H6,'04_PSA_INPUTS'!I6)</f>
        <v>#NAME?</v>
      </c>
      <c r="D678" s="27" t="e">
        <f ca="1">_xludf.GAMMA.INV(T678,'04_PSA_INPUTS'!H7,'04_PSA_INPUTS'!I7)</f>
        <v>#NAME?</v>
      </c>
      <c r="E678" s="27" t="e">
        <f ca="1">_xludf.GAMMA.INV(U678,'04_PSA_INPUTS'!H8,'04_PSA_INPUTS'!I8)</f>
        <v>#NAME?</v>
      </c>
      <c r="F678" s="27" t="e">
        <f ca="1">_xludf.GAMMA.INV(V678,'04_PSA_INPUTS'!H9,'04_PSA_INPUTS'!I9)</f>
        <v>#NAME?</v>
      </c>
      <c r="G678" s="23" t="e">
        <f ca="1">_xludf.BETA.INV(W678,'04_PSA_INPUTS'!H10,'04_PSA_INPUTS'!I10)</f>
        <v>#NAME?</v>
      </c>
      <c r="H678" s="23" t="e">
        <f ca="1">_xludf.BETA.INV(X678,'04_PSA_INPUTS'!H11,'04_PSA_INPUTS'!I11)</f>
        <v>#NAME?</v>
      </c>
      <c r="I678" s="27" t="e">
        <f ca="1">D678+B678*F678+'01_INPUTS'!B20</f>
        <v>#NAME?</v>
      </c>
      <c r="J678" s="27" t="e">
        <f ca="1">E678+C678*F678+'01_INPUTS'!B21</f>
        <v>#NAME?</v>
      </c>
      <c r="K678" s="27" t="e">
        <f t="shared" ca="1" si="60"/>
        <v>#NAME?</v>
      </c>
      <c r="L678" s="23" t="e">
        <f t="shared" ca="1" si="61"/>
        <v>#NAME?</v>
      </c>
      <c r="M678" s="23" t="e">
        <f t="shared" ca="1" si="62"/>
        <v>#NAME?</v>
      </c>
      <c r="N678" s="23" t="e">
        <f t="shared" ca="1" si="63"/>
        <v>#NAME?</v>
      </c>
      <c r="O678" s="27" t="e">
        <f t="shared" ca="1" si="64"/>
        <v>#NAME?</v>
      </c>
      <c r="P678" s="27" t="e">
        <f ca="1">'01_INPUTS'!B9*N678-K678</f>
        <v>#NAME?</v>
      </c>
      <c r="Q678" s="1" t="e">
        <f t="shared" ca="1" si="65"/>
        <v>#NAME?</v>
      </c>
      <c r="R678" s="28">
        <v>0.28276358684524894</v>
      </c>
      <c r="S678" s="28">
        <v>0.17543551232665777</v>
      </c>
      <c r="T678" s="28">
        <v>0.82302702753804624</v>
      </c>
      <c r="U678" s="28">
        <v>0.63323864177800715</v>
      </c>
      <c r="V678" s="28">
        <v>0.98671307228505611</v>
      </c>
      <c r="W678" s="28">
        <v>0.36685194354504347</v>
      </c>
      <c r="X678" s="28">
        <v>0.72005344880744815</v>
      </c>
    </row>
    <row r="679" spans="1:24" ht="13.9">
      <c r="A679" s="1">
        <v>678</v>
      </c>
      <c r="B679" s="23" t="e">
        <f ca="1">_xludf.BETA.INV(R679,'04_PSA_INPUTS'!H5,'04_PSA_INPUTS'!I5)</f>
        <v>#NAME?</v>
      </c>
      <c r="C679" s="23" t="e">
        <f ca="1">_xludf.BETA.INV(S679,'04_PSA_INPUTS'!H6,'04_PSA_INPUTS'!I6)</f>
        <v>#NAME?</v>
      </c>
      <c r="D679" s="27" t="e">
        <f ca="1">_xludf.GAMMA.INV(T679,'04_PSA_INPUTS'!H7,'04_PSA_INPUTS'!I7)</f>
        <v>#NAME?</v>
      </c>
      <c r="E679" s="27" t="e">
        <f ca="1">_xludf.GAMMA.INV(U679,'04_PSA_INPUTS'!H8,'04_PSA_INPUTS'!I8)</f>
        <v>#NAME?</v>
      </c>
      <c r="F679" s="27" t="e">
        <f ca="1">_xludf.GAMMA.INV(V679,'04_PSA_INPUTS'!H9,'04_PSA_INPUTS'!I9)</f>
        <v>#NAME?</v>
      </c>
      <c r="G679" s="23" t="e">
        <f ca="1">_xludf.BETA.INV(W679,'04_PSA_INPUTS'!H10,'04_PSA_INPUTS'!I10)</f>
        <v>#NAME?</v>
      </c>
      <c r="H679" s="23" t="e">
        <f ca="1">_xludf.BETA.INV(X679,'04_PSA_INPUTS'!H11,'04_PSA_INPUTS'!I11)</f>
        <v>#NAME?</v>
      </c>
      <c r="I679" s="27" t="e">
        <f ca="1">D679+B679*F679+'01_INPUTS'!B20</f>
        <v>#NAME?</v>
      </c>
      <c r="J679" s="27" t="e">
        <f ca="1">E679+C679*F679+'01_INPUTS'!B21</f>
        <v>#NAME?</v>
      </c>
      <c r="K679" s="27" t="e">
        <f t="shared" ca="1" si="60"/>
        <v>#NAME?</v>
      </c>
      <c r="L679" s="23" t="e">
        <f t="shared" ca="1" si="61"/>
        <v>#NAME?</v>
      </c>
      <c r="M679" s="23" t="e">
        <f t="shared" ca="1" si="62"/>
        <v>#NAME?</v>
      </c>
      <c r="N679" s="23" t="e">
        <f t="shared" ca="1" si="63"/>
        <v>#NAME?</v>
      </c>
      <c r="O679" s="27" t="e">
        <f t="shared" ca="1" si="64"/>
        <v>#NAME?</v>
      </c>
      <c r="P679" s="27" t="e">
        <f ca="1">'01_INPUTS'!B9*N679-K679</f>
        <v>#NAME?</v>
      </c>
      <c r="Q679" s="1" t="e">
        <f t="shared" ca="1" si="65"/>
        <v>#NAME?</v>
      </c>
      <c r="R679" s="28">
        <v>0.65941789257340133</v>
      </c>
      <c r="S679" s="28">
        <v>0.43431330751627684</v>
      </c>
      <c r="T679" s="28">
        <v>0.95496350806206465</v>
      </c>
      <c r="U679" s="28">
        <v>0.92170375562272966</v>
      </c>
      <c r="V679" s="28">
        <v>0.84265206987038255</v>
      </c>
      <c r="W679" s="28">
        <v>0.2651913552545011</v>
      </c>
      <c r="X679" s="28">
        <v>0.62796677509322762</v>
      </c>
    </row>
    <row r="680" spans="1:24" ht="13.9">
      <c r="A680" s="1">
        <v>679</v>
      </c>
      <c r="B680" s="23" t="e">
        <f ca="1">_xludf.BETA.INV(R680,'04_PSA_INPUTS'!H5,'04_PSA_INPUTS'!I5)</f>
        <v>#NAME?</v>
      </c>
      <c r="C680" s="23" t="e">
        <f ca="1">_xludf.BETA.INV(S680,'04_PSA_INPUTS'!H6,'04_PSA_INPUTS'!I6)</f>
        <v>#NAME?</v>
      </c>
      <c r="D680" s="27" t="e">
        <f ca="1">_xludf.GAMMA.INV(T680,'04_PSA_INPUTS'!H7,'04_PSA_INPUTS'!I7)</f>
        <v>#NAME?</v>
      </c>
      <c r="E680" s="27" t="e">
        <f ca="1">_xludf.GAMMA.INV(U680,'04_PSA_INPUTS'!H8,'04_PSA_INPUTS'!I8)</f>
        <v>#NAME?</v>
      </c>
      <c r="F680" s="27" t="e">
        <f ca="1">_xludf.GAMMA.INV(V680,'04_PSA_INPUTS'!H9,'04_PSA_INPUTS'!I9)</f>
        <v>#NAME?</v>
      </c>
      <c r="G680" s="23" t="e">
        <f ca="1">_xludf.BETA.INV(W680,'04_PSA_INPUTS'!H10,'04_PSA_INPUTS'!I10)</f>
        <v>#NAME?</v>
      </c>
      <c r="H680" s="23" t="e">
        <f ca="1">_xludf.BETA.INV(X680,'04_PSA_INPUTS'!H11,'04_PSA_INPUTS'!I11)</f>
        <v>#NAME?</v>
      </c>
      <c r="I680" s="27" t="e">
        <f ca="1">D680+B680*F680+'01_INPUTS'!B20</f>
        <v>#NAME?</v>
      </c>
      <c r="J680" s="27" t="e">
        <f ca="1">E680+C680*F680+'01_INPUTS'!B21</f>
        <v>#NAME?</v>
      </c>
      <c r="K680" s="27" t="e">
        <f t="shared" ca="1" si="60"/>
        <v>#NAME?</v>
      </c>
      <c r="L680" s="23" t="e">
        <f t="shared" ca="1" si="61"/>
        <v>#NAME?</v>
      </c>
      <c r="M680" s="23" t="e">
        <f t="shared" ca="1" si="62"/>
        <v>#NAME?</v>
      </c>
      <c r="N680" s="23" t="e">
        <f t="shared" ca="1" si="63"/>
        <v>#NAME?</v>
      </c>
      <c r="O680" s="27" t="e">
        <f t="shared" ca="1" si="64"/>
        <v>#NAME?</v>
      </c>
      <c r="P680" s="27" t="e">
        <f ca="1">'01_INPUTS'!B9*N680-K680</f>
        <v>#NAME?</v>
      </c>
      <c r="Q680" s="1" t="e">
        <f t="shared" ca="1" si="65"/>
        <v>#NAME?</v>
      </c>
      <c r="R680" s="28">
        <v>0.87664841115474701</v>
      </c>
      <c r="S680" s="28">
        <v>0.45290289609692991</v>
      </c>
      <c r="T680" s="28">
        <v>0.30556640168651938</v>
      </c>
      <c r="U680" s="28">
        <v>0.25615585711784661</v>
      </c>
      <c r="V680" s="28">
        <v>2.293748501688242E-2</v>
      </c>
      <c r="W680" s="28">
        <v>0.50101960636675358</v>
      </c>
      <c r="X680" s="28">
        <v>0.88234182354062796</v>
      </c>
    </row>
    <row r="681" spans="1:24" ht="13.9">
      <c r="A681" s="1">
        <v>680</v>
      </c>
      <c r="B681" s="23" t="e">
        <f ca="1">_xludf.BETA.INV(R681,'04_PSA_INPUTS'!H5,'04_PSA_INPUTS'!I5)</f>
        <v>#NAME?</v>
      </c>
      <c r="C681" s="23" t="e">
        <f ca="1">_xludf.BETA.INV(S681,'04_PSA_INPUTS'!H6,'04_PSA_INPUTS'!I6)</f>
        <v>#NAME?</v>
      </c>
      <c r="D681" s="27" t="e">
        <f ca="1">_xludf.GAMMA.INV(T681,'04_PSA_INPUTS'!H7,'04_PSA_INPUTS'!I7)</f>
        <v>#NAME?</v>
      </c>
      <c r="E681" s="27" t="e">
        <f ca="1">_xludf.GAMMA.INV(U681,'04_PSA_INPUTS'!H8,'04_PSA_INPUTS'!I8)</f>
        <v>#NAME?</v>
      </c>
      <c r="F681" s="27" t="e">
        <f ca="1">_xludf.GAMMA.INV(V681,'04_PSA_INPUTS'!H9,'04_PSA_INPUTS'!I9)</f>
        <v>#NAME?</v>
      </c>
      <c r="G681" s="23" t="e">
        <f ca="1">_xludf.BETA.INV(W681,'04_PSA_INPUTS'!H10,'04_PSA_INPUTS'!I10)</f>
        <v>#NAME?</v>
      </c>
      <c r="H681" s="23" t="e">
        <f ca="1">_xludf.BETA.INV(X681,'04_PSA_INPUTS'!H11,'04_PSA_INPUTS'!I11)</f>
        <v>#NAME?</v>
      </c>
      <c r="I681" s="27" t="e">
        <f ca="1">D681+B681*F681+'01_INPUTS'!B20</f>
        <v>#NAME?</v>
      </c>
      <c r="J681" s="27" t="e">
        <f ca="1">E681+C681*F681+'01_INPUTS'!B21</f>
        <v>#NAME?</v>
      </c>
      <c r="K681" s="27" t="e">
        <f t="shared" ca="1" si="60"/>
        <v>#NAME?</v>
      </c>
      <c r="L681" s="23" t="e">
        <f t="shared" ca="1" si="61"/>
        <v>#NAME?</v>
      </c>
      <c r="M681" s="23" t="e">
        <f t="shared" ca="1" si="62"/>
        <v>#NAME?</v>
      </c>
      <c r="N681" s="23" t="e">
        <f t="shared" ca="1" si="63"/>
        <v>#NAME?</v>
      </c>
      <c r="O681" s="27" t="e">
        <f t="shared" ca="1" si="64"/>
        <v>#NAME?</v>
      </c>
      <c r="P681" s="27" t="e">
        <f ca="1">'01_INPUTS'!B9*N681-K681</f>
        <v>#NAME?</v>
      </c>
      <c r="Q681" s="1" t="e">
        <f t="shared" ca="1" si="65"/>
        <v>#NAME?</v>
      </c>
      <c r="R681" s="28">
        <v>0.44303606590256095</v>
      </c>
      <c r="S681" s="28">
        <v>0.87239247770048678</v>
      </c>
      <c r="T681" s="28">
        <v>0.77281014854088426</v>
      </c>
      <c r="U681" s="28">
        <v>0.44237073347903788</v>
      </c>
      <c r="V681" s="28">
        <v>6.5082734450697899E-2</v>
      </c>
      <c r="W681" s="28">
        <v>0.89353241794742644</v>
      </c>
      <c r="X681" s="28">
        <v>0.1372484671883285</v>
      </c>
    </row>
    <row r="682" spans="1:24" ht="13.9">
      <c r="A682" s="1">
        <v>681</v>
      </c>
      <c r="B682" s="23" t="e">
        <f ca="1">_xludf.BETA.INV(R682,'04_PSA_INPUTS'!H5,'04_PSA_INPUTS'!I5)</f>
        <v>#NAME?</v>
      </c>
      <c r="C682" s="23" t="e">
        <f ca="1">_xludf.BETA.INV(S682,'04_PSA_INPUTS'!H6,'04_PSA_INPUTS'!I6)</f>
        <v>#NAME?</v>
      </c>
      <c r="D682" s="27" t="e">
        <f ca="1">_xludf.GAMMA.INV(T682,'04_PSA_INPUTS'!H7,'04_PSA_INPUTS'!I7)</f>
        <v>#NAME?</v>
      </c>
      <c r="E682" s="27" t="e">
        <f ca="1">_xludf.GAMMA.INV(U682,'04_PSA_INPUTS'!H8,'04_PSA_INPUTS'!I8)</f>
        <v>#NAME?</v>
      </c>
      <c r="F682" s="27" t="e">
        <f ca="1">_xludf.GAMMA.INV(V682,'04_PSA_INPUTS'!H9,'04_PSA_INPUTS'!I9)</f>
        <v>#NAME?</v>
      </c>
      <c r="G682" s="23" t="e">
        <f ca="1">_xludf.BETA.INV(W682,'04_PSA_INPUTS'!H10,'04_PSA_INPUTS'!I10)</f>
        <v>#NAME?</v>
      </c>
      <c r="H682" s="23" t="e">
        <f ca="1">_xludf.BETA.INV(X682,'04_PSA_INPUTS'!H11,'04_PSA_INPUTS'!I11)</f>
        <v>#NAME?</v>
      </c>
      <c r="I682" s="27" t="e">
        <f ca="1">D682+B682*F682+'01_INPUTS'!B20</f>
        <v>#NAME?</v>
      </c>
      <c r="J682" s="27" t="e">
        <f ca="1">E682+C682*F682+'01_INPUTS'!B21</f>
        <v>#NAME?</v>
      </c>
      <c r="K682" s="27" t="e">
        <f t="shared" ca="1" si="60"/>
        <v>#NAME?</v>
      </c>
      <c r="L682" s="23" t="e">
        <f t="shared" ca="1" si="61"/>
        <v>#NAME?</v>
      </c>
      <c r="M682" s="23" t="e">
        <f t="shared" ca="1" si="62"/>
        <v>#NAME?</v>
      </c>
      <c r="N682" s="23" t="e">
        <f t="shared" ca="1" si="63"/>
        <v>#NAME?</v>
      </c>
      <c r="O682" s="27" t="e">
        <f t="shared" ca="1" si="64"/>
        <v>#NAME?</v>
      </c>
      <c r="P682" s="27" t="e">
        <f ca="1">'01_INPUTS'!B9*N682-K682</f>
        <v>#NAME?</v>
      </c>
      <c r="Q682" s="1" t="e">
        <f t="shared" ca="1" si="65"/>
        <v>#NAME?</v>
      </c>
      <c r="R682" s="28">
        <v>9.603122016415E-2</v>
      </c>
      <c r="S682" s="28">
        <v>0.72707531112246215</v>
      </c>
      <c r="T682" s="28">
        <v>0.75365784391760826</v>
      </c>
      <c r="U682" s="28">
        <v>0.99388332944363356</v>
      </c>
      <c r="V682" s="28">
        <v>0.3918004899751395</v>
      </c>
      <c r="W682" s="28">
        <v>0.39354219986125827</v>
      </c>
      <c r="X682" s="28">
        <v>0.73941968195140362</v>
      </c>
    </row>
    <row r="683" spans="1:24" ht="13.9">
      <c r="A683" s="1">
        <v>682</v>
      </c>
      <c r="B683" s="23" t="e">
        <f ca="1">_xludf.BETA.INV(R683,'04_PSA_INPUTS'!H5,'04_PSA_INPUTS'!I5)</f>
        <v>#NAME?</v>
      </c>
      <c r="C683" s="23" t="e">
        <f ca="1">_xludf.BETA.INV(S683,'04_PSA_INPUTS'!H6,'04_PSA_INPUTS'!I6)</f>
        <v>#NAME?</v>
      </c>
      <c r="D683" s="27" t="e">
        <f ca="1">_xludf.GAMMA.INV(T683,'04_PSA_INPUTS'!H7,'04_PSA_INPUTS'!I7)</f>
        <v>#NAME?</v>
      </c>
      <c r="E683" s="27" t="e">
        <f ca="1">_xludf.GAMMA.INV(U683,'04_PSA_INPUTS'!H8,'04_PSA_INPUTS'!I8)</f>
        <v>#NAME?</v>
      </c>
      <c r="F683" s="27" t="e">
        <f ca="1">_xludf.GAMMA.INV(V683,'04_PSA_INPUTS'!H9,'04_PSA_INPUTS'!I9)</f>
        <v>#NAME?</v>
      </c>
      <c r="G683" s="23" t="e">
        <f ca="1">_xludf.BETA.INV(W683,'04_PSA_INPUTS'!H10,'04_PSA_INPUTS'!I10)</f>
        <v>#NAME?</v>
      </c>
      <c r="H683" s="23" t="e">
        <f ca="1">_xludf.BETA.INV(X683,'04_PSA_INPUTS'!H11,'04_PSA_INPUTS'!I11)</f>
        <v>#NAME?</v>
      </c>
      <c r="I683" s="27" t="e">
        <f ca="1">D683+B683*F683+'01_INPUTS'!B20</f>
        <v>#NAME?</v>
      </c>
      <c r="J683" s="27" t="e">
        <f ca="1">E683+C683*F683+'01_INPUTS'!B21</f>
        <v>#NAME?</v>
      </c>
      <c r="K683" s="27" t="e">
        <f t="shared" ca="1" si="60"/>
        <v>#NAME?</v>
      </c>
      <c r="L683" s="23" t="e">
        <f t="shared" ca="1" si="61"/>
        <v>#NAME?</v>
      </c>
      <c r="M683" s="23" t="e">
        <f t="shared" ca="1" si="62"/>
        <v>#NAME?</v>
      </c>
      <c r="N683" s="23" t="e">
        <f t="shared" ca="1" si="63"/>
        <v>#NAME?</v>
      </c>
      <c r="O683" s="27" t="e">
        <f t="shared" ca="1" si="64"/>
        <v>#NAME?</v>
      </c>
      <c r="P683" s="27" t="e">
        <f ca="1">'01_INPUTS'!B9*N683-K683</f>
        <v>#NAME?</v>
      </c>
      <c r="Q683" s="1" t="e">
        <f t="shared" ca="1" si="65"/>
        <v>#NAME?</v>
      </c>
      <c r="R683" s="28">
        <v>0.79009056161157787</v>
      </c>
      <c r="S683" s="28">
        <v>0.69358516810461879</v>
      </c>
      <c r="T683" s="28">
        <v>0.50204979185946286</v>
      </c>
      <c r="U683" s="28">
        <v>0.53090545884333551</v>
      </c>
      <c r="V683" s="28">
        <v>0.26965712779201567</v>
      </c>
      <c r="W683" s="28">
        <v>0.83801954914815724</v>
      </c>
      <c r="X683" s="28">
        <v>0.15760955750010908</v>
      </c>
    </row>
    <row r="684" spans="1:24" ht="13.9">
      <c r="A684" s="1">
        <v>683</v>
      </c>
      <c r="B684" s="23" t="e">
        <f ca="1">_xludf.BETA.INV(R684,'04_PSA_INPUTS'!H5,'04_PSA_INPUTS'!I5)</f>
        <v>#NAME?</v>
      </c>
      <c r="C684" s="23" t="e">
        <f ca="1">_xludf.BETA.INV(S684,'04_PSA_INPUTS'!H6,'04_PSA_INPUTS'!I6)</f>
        <v>#NAME?</v>
      </c>
      <c r="D684" s="27" t="e">
        <f ca="1">_xludf.GAMMA.INV(T684,'04_PSA_INPUTS'!H7,'04_PSA_INPUTS'!I7)</f>
        <v>#NAME?</v>
      </c>
      <c r="E684" s="27" t="e">
        <f ca="1">_xludf.GAMMA.INV(U684,'04_PSA_INPUTS'!H8,'04_PSA_INPUTS'!I8)</f>
        <v>#NAME?</v>
      </c>
      <c r="F684" s="27" t="e">
        <f ca="1">_xludf.GAMMA.INV(V684,'04_PSA_INPUTS'!H9,'04_PSA_INPUTS'!I9)</f>
        <v>#NAME?</v>
      </c>
      <c r="G684" s="23" t="e">
        <f ca="1">_xludf.BETA.INV(W684,'04_PSA_INPUTS'!H10,'04_PSA_INPUTS'!I10)</f>
        <v>#NAME?</v>
      </c>
      <c r="H684" s="23" t="e">
        <f ca="1">_xludf.BETA.INV(X684,'04_PSA_INPUTS'!H11,'04_PSA_INPUTS'!I11)</f>
        <v>#NAME?</v>
      </c>
      <c r="I684" s="27" t="e">
        <f ca="1">D684+B684*F684+'01_INPUTS'!B20</f>
        <v>#NAME?</v>
      </c>
      <c r="J684" s="27" t="e">
        <f ca="1">E684+C684*F684+'01_INPUTS'!B21</f>
        <v>#NAME?</v>
      </c>
      <c r="K684" s="27" t="e">
        <f t="shared" ca="1" si="60"/>
        <v>#NAME?</v>
      </c>
      <c r="L684" s="23" t="e">
        <f t="shared" ca="1" si="61"/>
        <v>#NAME?</v>
      </c>
      <c r="M684" s="23" t="e">
        <f t="shared" ca="1" si="62"/>
        <v>#NAME?</v>
      </c>
      <c r="N684" s="23" t="e">
        <f t="shared" ca="1" si="63"/>
        <v>#NAME?</v>
      </c>
      <c r="O684" s="27" t="e">
        <f t="shared" ca="1" si="64"/>
        <v>#NAME?</v>
      </c>
      <c r="P684" s="27" t="e">
        <f ca="1">'01_INPUTS'!B9*N684-K684</f>
        <v>#NAME?</v>
      </c>
      <c r="Q684" s="1" t="e">
        <f t="shared" ca="1" si="65"/>
        <v>#NAME?</v>
      </c>
      <c r="R684" s="28">
        <v>0.30318626970984042</v>
      </c>
      <c r="S684" s="28">
        <v>0.68542964034713805</v>
      </c>
      <c r="T684" s="28">
        <v>0.80866059614345431</v>
      </c>
      <c r="U684" s="28">
        <v>0.9894764821510762</v>
      </c>
      <c r="V684" s="28">
        <v>0.27193439961411059</v>
      </c>
      <c r="W684" s="28">
        <v>0.86158572207204998</v>
      </c>
      <c r="X684" s="28">
        <v>0.63625960471108556</v>
      </c>
    </row>
    <row r="685" spans="1:24" ht="13.9">
      <c r="A685" s="1">
        <v>684</v>
      </c>
      <c r="B685" s="23" t="e">
        <f ca="1">_xludf.BETA.INV(R685,'04_PSA_INPUTS'!H5,'04_PSA_INPUTS'!I5)</f>
        <v>#NAME?</v>
      </c>
      <c r="C685" s="23" t="e">
        <f ca="1">_xludf.BETA.INV(S685,'04_PSA_INPUTS'!H6,'04_PSA_INPUTS'!I6)</f>
        <v>#NAME?</v>
      </c>
      <c r="D685" s="27" t="e">
        <f ca="1">_xludf.GAMMA.INV(T685,'04_PSA_INPUTS'!H7,'04_PSA_INPUTS'!I7)</f>
        <v>#NAME?</v>
      </c>
      <c r="E685" s="27" t="e">
        <f ca="1">_xludf.GAMMA.INV(U685,'04_PSA_INPUTS'!H8,'04_PSA_INPUTS'!I8)</f>
        <v>#NAME?</v>
      </c>
      <c r="F685" s="27" t="e">
        <f ca="1">_xludf.GAMMA.INV(V685,'04_PSA_INPUTS'!H9,'04_PSA_INPUTS'!I9)</f>
        <v>#NAME?</v>
      </c>
      <c r="G685" s="23" t="e">
        <f ca="1">_xludf.BETA.INV(W685,'04_PSA_INPUTS'!H10,'04_PSA_INPUTS'!I10)</f>
        <v>#NAME?</v>
      </c>
      <c r="H685" s="23" t="e">
        <f ca="1">_xludf.BETA.INV(X685,'04_PSA_INPUTS'!H11,'04_PSA_INPUTS'!I11)</f>
        <v>#NAME?</v>
      </c>
      <c r="I685" s="27" t="e">
        <f ca="1">D685+B685*F685+'01_INPUTS'!B20</f>
        <v>#NAME?</v>
      </c>
      <c r="J685" s="27" t="e">
        <f ca="1">E685+C685*F685+'01_INPUTS'!B21</f>
        <v>#NAME?</v>
      </c>
      <c r="K685" s="27" t="e">
        <f t="shared" ca="1" si="60"/>
        <v>#NAME?</v>
      </c>
      <c r="L685" s="23" t="e">
        <f t="shared" ca="1" si="61"/>
        <v>#NAME?</v>
      </c>
      <c r="M685" s="23" t="e">
        <f t="shared" ca="1" si="62"/>
        <v>#NAME?</v>
      </c>
      <c r="N685" s="23" t="e">
        <f t="shared" ca="1" si="63"/>
        <v>#NAME?</v>
      </c>
      <c r="O685" s="27" t="e">
        <f t="shared" ca="1" si="64"/>
        <v>#NAME?</v>
      </c>
      <c r="P685" s="27" t="e">
        <f ca="1">'01_INPUTS'!B9*N685-K685</f>
        <v>#NAME?</v>
      </c>
      <c r="Q685" s="1" t="e">
        <f t="shared" ca="1" si="65"/>
        <v>#NAME?</v>
      </c>
      <c r="R685" s="28">
        <v>1.1221418855711818E-2</v>
      </c>
      <c r="S685" s="28">
        <v>0.58478311961516738</v>
      </c>
      <c r="T685" s="28">
        <v>0.52681537275202572</v>
      </c>
      <c r="U685" s="28">
        <v>0.39638886926695704</v>
      </c>
      <c r="V685" s="28">
        <v>0.16436494886875153</v>
      </c>
      <c r="W685" s="28">
        <v>0.66462082415819168</v>
      </c>
      <c r="X685" s="28">
        <v>0.3843066287226975</v>
      </c>
    </row>
    <row r="686" spans="1:24" ht="13.9">
      <c r="A686" s="1">
        <v>685</v>
      </c>
      <c r="B686" s="23" t="e">
        <f ca="1">_xludf.BETA.INV(R686,'04_PSA_INPUTS'!H5,'04_PSA_INPUTS'!I5)</f>
        <v>#NAME?</v>
      </c>
      <c r="C686" s="23" t="e">
        <f ca="1">_xludf.BETA.INV(S686,'04_PSA_INPUTS'!H6,'04_PSA_INPUTS'!I6)</f>
        <v>#NAME?</v>
      </c>
      <c r="D686" s="27" t="e">
        <f ca="1">_xludf.GAMMA.INV(T686,'04_PSA_INPUTS'!H7,'04_PSA_INPUTS'!I7)</f>
        <v>#NAME?</v>
      </c>
      <c r="E686" s="27" t="e">
        <f ca="1">_xludf.GAMMA.INV(U686,'04_PSA_INPUTS'!H8,'04_PSA_INPUTS'!I8)</f>
        <v>#NAME?</v>
      </c>
      <c r="F686" s="27" t="e">
        <f ca="1">_xludf.GAMMA.INV(V686,'04_PSA_INPUTS'!H9,'04_PSA_INPUTS'!I9)</f>
        <v>#NAME?</v>
      </c>
      <c r="G686" s="23" t="e">
        <f ca="1">_xludf.BETA.INV(W686,'04_PSA_INPUTS'!H10,'04_PSA_INPUTS'!I10)</f>
        <v>#NAME?</v>
      </c>
      <c r="H686" s="23" t="e">
        <f ca="1">_xludf.BETA.INV(X686,'04_PSA_INPUTS'!H11,'04_PSA_INPUTS'!I11)</f>
        <v>#NAME?</v>
      </c>
      <c r="I686" s="27" t="e">
        <f ca="1">D686+B686*F686+'01_INPUTS'!B20</f>
        <v>#NAME?</v>
      </c>
      <c r="J686" s="27" t="e">
        <f ca="1">E686+C686*F686+'01_INPUTS'!B21</f>
        <v>#NAME?</v>
      </c>
      <c r="K686" s="27" t="e">
        <f t="shared" ca="1" si="60"/>
        <v>#NAME?</v>
      </c>
      <c r="L686" s="23" t="e">
        <f t="shared" ca="1" si="61"/>
        <v>#NAME?</v>
      </c>
      <c r="M686" s="23" t="e">
        <f t="shared" ca="1" si="62"/>
        <v>#NAME?</v>
      </c>
      <c r="N686" s="23" t="e">
        <f t="shared" ca="1" si="63"/>
        <v>#NAME?</v>
      </c>
      <c r="O686" s="27" t="e">
        <f t="shared" ca="1" si="64"/>
        <v>#NAME?</v>
      </c>
      <c r="P686" s="27" t="e">
        <f ca="1">'01_INPUTS'!B9*N686-K686</f>
        <v>#NAME?</v>
      </c>
      <c r="Q686" s="1" t="e">
        <f t="shared" ca="1" si="65"/>
        <v>#NAME?</v>
      </c>
      <c r="R686" s="28">
        <v>0.90030808886513114</v>
      </c>
      <c r="S686" s="28">
        <v>0.97606974770314991</v>
      </c>
      <c r="T686" s="28">
        <v>0.99116940656676888</v>
      </c>
      <c r="U686" s="28">
        <v>0.49089697259478271</v>
      </c>
      <c r="V686" s="28">
        <v>0.89211776480078697</v>
      </c>
      <c r="W686" s="28">
        <v>0.15495244367048144</v>
      </c>
      <c r="X686" s="28">
        <v>0.54288988374173641</v>
      </c>
    </row>
    <row r="687" spans="1:24" ht="13.9">
      <c r="A687" s="1">
        <v>686</v>
      </c>
      <c r="B687" s="23" t="e">
        <f ca="1">_xludf.BETA.INV(R687,'04_PSA_INPUTS'!H5,'04_PSA_INPUTS'!I5)</f>
        <v>#NAME?</v>
      </c>
      <c r="C687" s="23" t="e">
        <f ca="1">_xludf.BETA.INV(S687,'04_PSA_INPUTS'!H6,'04_PSA_INPUTS'!I6)</f>
        <v>#NAME?</v>
      </c>
      <c r="D687" s="27" t="e">
        <f ca="1">_xludf.GAMMA.INV(T687,'04_PSA_INPUTS'!H7,'04_PSA_INPUTS'!I7)</f>
        <v>#NAME?</v>
      </c>
      <c r="E687" s="27" t="e">
        <f ca="1">_xludf.GAMMA.INV(U687,'04_PSA_INPUTS'!H8,'04_PSA_INPUTS'!I8)</f>
        <v>#NAME?</v>
      </c>
      <c r="F687" s="27" t="e">
        <f ca="1">_xludf.GAMMA.INV(V687,'04_PSA_INPUTS'!H9,'04_PSA_INPUTS'!I9)</f>
        <v>#NAME?</v>
      </c>
      <c r="G687" s="23" t="e">
        <f ca="1">_xludf.BETA.INV(W687,'04_PSA_INPUTS'!H10,'04_PSA_INPUTS'!I10)</f>
        <v>#NAME?</v>
      </c>
      <c r="H687" s="23" t="e">
        <f ca="1">_xludf.BETA.INV(X687,'04_PSA_INPUTS'!H11,'04_PSA_INPUTS'!I11)</f>
        <v>#NAME?</v>
      </c>
      <c r="I687" s="27" t="e">
        <f ca="1">D687+B687*F687+'01_INPUTS'!B20</f>
        <v>#NAME?</v>
      </c>
      <c r="J687" s="27" t="e">
        <f ca="1">E687+C687*F687+'01_INPUTS'!B21</f>
        <v>#NAME?</v>
      </c>
      <c r="K687" s="27" t="e">
        <f t="shared" ca="1" si="60"/>
        <v>#NAME?</v>
      </c>
      <c r="L687" s="23" t="e">
        <f t="shared" ca="1" si="61"/>
        <v>#NAME?</v>
      </c>
      <c r="M687" s="23" t="e">
        <f t="shared" ca="1" si="62"/>
        <v>#NAME?</v>
      </c>
      <c r="N687" s="23" t="e">
        <f t="shared" ca="1" si="63"/>
        <v>#NAME?</v>
      </c>
      <c r="O687" s="27" t="e">
        <f t="shared" ca="1" si="64"/>
        <v>#NAME?</v>
      </c>
      <c r="P687" s="27" t="e">
        <f ca="1">'01_INPUTS'!B9*N687-K687</f>
        <v>#NAME?</v>
      </c>
      <c r="Q687" s="1" t="e">
        <f t="shared" ca="1" si="65"/>
        <v>#NAME?</v>
      </c>
      <c r="R687" s="28">
        <v>0.32012593257240951</v>
      </c>
      <c r="S687" s="28">
        <v>0.81047681719064713</v>
      </c>
      <c r="T687" s="28">
        <v>0.493347586132586</v>
      </c>
      <c r="U687" s="28">
        <v>0.72399044665507972</v>
      </c>
      <c r="V687" s="28">
        <v>0.39766272366978228</v>
      </c>
      <c r="W687" s="28">
        <v>0.11135803209617734</v>
      </c>
      <c r="X687" s="28">
        <v>0.46889016241766512</v>
      </c>
    </row>
    <row r="688" spans="1:24" ht="13.9">
      <c r="A688" s="1">
        <v>687</v>
      </c>
      <c r="B688" s="23" t="e">
        <f ca="1">_xludf.BETA.INV(R688,'04_PSA_INPUTS'!H5,'04_PSA_INPUTS'!I5)</f>
        <v>#NAME?</v>
      </c>
      <c r="C688" s="23" t="e">
        <f ca="1">_xludf.BETA.INV(S688,'04_PSA_INPUTS'!H6,'04_PSA_INPUTS'!I6)</f>
        <v>#NAME?</v>
      </c>
      <c r="D688" s="27" t="e">
        <f ca="1">_xludf.GAMMA.INV(T688,'04_PSA_INPUTS'!H7,'04_PSA_INPUTS'!I7)</f>
        <v>#NAME?</v>
      </c>
      <c r="E688" s="27" t="e">
        <f ca="1">_xludf.GAMMA.INV(U688,'04_PSA_INPUTS'!H8,'04_PSA_INPUTS'!I8)</f>
        <v>#NAME?</v>
      </c>
      <c r="F688" s="27" t="e">
        <f ca="1">_xludf.GAMMA.INV(V688,'04_PSA_INPUTS'!H9,'04_PSA_INPUTS'!I9)</f>
        <v>#NAME?</v>
      </c>
      <c r="G688" s="23" t="e">
        <f ca="1">_xludf.BETA.INV(W688,'04_PSA_INPUTS'!H10,'04_PSA_INPUTS'!I10)</f>
        <v>#NAME?</v>
      </c>
      <c r="H688" s="23" t="e">
        <f ca="1">_xludf.BETA.INV(X688,'04_PSA_INPUTS'!H11,'04_PSA_INPUTS'!I11)</f>
        <v>#NAME?</v>
      </c>
      <c r="I688" s="27" t="e">
        <f ca="1">D688+B688*F688+'01_INPUTS'!B20</f>
        <v>#NAME?</v>
      </c>
      <c r="J688" s="27" t="e">
        <f ca="1">E688+C688*F688+'01_INPUTS'!B21</f>
        <v>#NAME?</v>
      </c>
      <c r="K688" s="27" t="e">
        <f t="shared" ca="1" si="60"/>
        <v>#NAME?</v>
      </c>
      <c r="L688" s="23" t="e">
        <f t="shared" ca="1" si="61"/>
        <v>#NAME?</v>
      </c>
      <c r="M688" s="23" t="e">
        <f t="shared" ca="1" si="62"/>
        <v>#NAME?</v>
      </c>
      <c r="N688" s="23" t="e">
        <f t="shared" ca="1" si="63"/>
        <v>#NAME?</v>
      </c>
      <c r="O688" s="27" t="e">
        <f t="shared" ca="1" si="64"/>
        <v>#NAME?</v>
      </c>
      <c r="P688" s="27" t="e">
        <f ca="1">'01_INPUTS'!B9*N688-K688</f>
        <v>#NAME?</v>
      </c>
      <c r="Q688" s="1" t="e">
        <f t="shared" ca="1" si="65"/>
        <v>#NAME?</v>
      </c>
      <c r="R688" s="28">
        <v>0.75769944489002228</v>
      </c>
      <c r="S688" s="28">
        <v>0.65677072992548347</v>
      </c>
      <c r="T688" s="28">
        <v>0.29832971468567848</v>
      </c>
      <c r="U688" s="28">
        <v>0.53830358479171991</v>
      </c>
      <c r="V688" s="28">
        <v>0.98265583254396915</v>
      </c>
      <c r="W688" s="28">
        <v>0.94210807420313358</v>
      </c>
      <c r="X688" s="28">
        <v>0.35437306552194059</v>
      </c>
    </row>
    <row r="689" spans="1:24" ht="13.9">
      <c r="A689" s="1">
        <v>688</v>
      </c>
      <c r="B689" s="23" t="e">
        <f ca="1">_xludf.BETA.INV(R689,'04_PSA_INPUTS'!H5,'04_PSA_INPUTS'!I5)</f>
        <v>#NAME?</v>
      </c>
      <c r="C689" s="23" t="e">
        <f ca="1">_xludf.BETA.INV(S689,'04_PSA_INPUTS'!H6,'04_PSA_INPUTS'!I6)</f>
        <v>#NAME?</v>
      </c>
      <c r="D689" s="27" t="e">
        <f ca="1">_xludf.GAMMA.INV(T689,'04_PSA_INPUTS'!H7,'04_PSA_INPUTS'!I7)</f>
        <v>#NAME?</v>
      </c>
      <c r="E689" s="27" t="e">
        <f ca="1">_xludf.GAMMA.INV(U689,'04_PSA_INPUTS'!H8,'04_PSA_INPUTS'!I8)</f>
        <v>#NAME?</v>
      </c>
      <c r="F689" s="27" t="e">
        <f ca="1">_xludf.GAMMA.INV(V689,'04_PSA_INPUTS'!H9,'04_PSA_INPUTS'!I9)</f>
        <v>#NAME?</v>
      </c>
      <c r="G689" s="23" t="e">
        <f ca="1">_xludf.BETA.INV(W689,'04_PSA_INPUTS'!H10,'04_PSA_INPUTS'!I10)</f>
        <v>#NAME?</v>
      </c>
      <c r="H689" s="23" t="e">
        <f ca="1">_xludf.BETA.INV(X689,'04_PSA_INPUTS'!H11,'04_PSA_INPUTS'!I11)</f>
        <v>#NAME?</v>
      </c>
      <c r="I689" s="27" t="e">
        <f ca="1">D689+B689*F689+'01_INPUTS'!B20</f>
        <v>#NAME?</v>
      </c>
      <c r="J689" s="27" t="e">
        <f ca="1">E689+C689*F689+'01_INPUTS'!B21</f>
        <v>#NAME?</v>
      </c>
      <c r="K689" s="27" t="e">
        <f t="shared" ca="1" si="60"/>
        <v>#NAME?</v>
      </c>
      <c r="L689" s="23" t="e">
        <f t="shared" ca="1" si="61"/>
        <v>#NAME?</v>
      </c>
      <c r="M689" s="23" t="e">
        <f t="shared" ca="1" si="62"/>
        <v>#NAME?</v>
      </c>
      <c r="N689" s="23" t="e">
        <f t="shared" ca="1" si="63"/>
        <v>#NAME?</v>
      </c>
      <c r="O689" s="27" t="e">
        <f t="shared" ca="1" si="64"/>
        <v>#NAME?</v>
      </c>
      <c r="P689" s="27" t="e">
        <f ca="1">'01_INPUTS'!B9*N689-K689</f>
        <v>#NAME?</v>
      </c>
      <c r="Q689" s="1" t="e">
        <f t="shared" ca="1" si="65"/>
        <v>#NAME?</v>
      </c>
      <c r="R689" s="28">
        <v>0.94757048785686493</v>
      </c>
      <c r="S689" s="28">
        <v>0.83078752807341516</v>
      </c>
      <c r="T689" s="28">
        <v>0.45203432929702103</v>
      </c>
      <c r="U689" s="28">
        <v>0.30109160905703902</v>
      </c>
      <c r="V689" s="28">
        <v>0.20523485681042075</v>
      </c>
      <c r="W689" s="28">
        <v>0.40529561042785645</v>
      </c>
      <c r="X689" s="28">
        <v>0.85432767099700868</v>
      </c>
    </row>
    <row r="690" spans="1:24" ht="13.9">
      <c r="A690" s="1">
        <v>689</v>
      </c>
      <c r="B690" s="23" t="e">
        <f ca="1">_xludf.BETA.INV(R690,'04_PSA_INPUTS'!H5,'04_PSA_INPUTS'!I5)</f>
        <v>#NAME?</v>
      </c>
      <c r="C690" s="23" t="e">
        <f ca="1">_xludf.BETA.INV(S690,'04_PSA_INPUTS'!H6,'04_PSA_INPUTS'!I6)</f>
        <v>#NAME?</v>
      </c>
      <c r="D690" s="27" t="e">
        <f ca="1">_xludf.GAMMA.INV(T690,'04_PSA_INPUTS'!H7,'04_PSA_INPUTS'!I7)</f>
        <v>#NAME?</v>
      </c>
      <c r="E690" s="27" t="e">
        <f ca="1">_xludf.GAMMA.INV(U690,'04_PSA_INPUTS'!H8,'04_PSA_INPUTS'!I8)</f>
        <v>#NAME?</v>
      </c>
      <c r="F690" s="27" t="e">
        <f ca="1">_xludf.GAMMA.INV(V690,'04_PSA_INPUTS'!H9,'04_PSA_INPUTS'!I9)</f>
        <v>#NAME?</v>
      </c>
      <c r="G690" s="23" t="e">
        <f ca="1">_xludf.BETA.INV(W690,'04_PSA_INPUTS'!H10,'04_PSA_INPUTS'!I10)</f>
        <v>#NAME?</v>
      </c>
      <c r="H690" s="23" t="e">
        <f ca="1">_xludf.BETA.INV(X690,'04_PSA_INPUTS'!H11,'04_PSA_INPUTS'!I11)</f>
        <v>#NAME?</v>
      </c>
      <c r="I690" s="27" t="e">
        <f ca="1">D690+B690*F690+'01_INPUTS'!B20</f>
        <v>#NAME?</v>
      </c>
      <c r="J690" s="27" t="e">
        <f ca="1">E690+C690*F690+'01_INPUTS'!B21</f>
        <v>#NAME?</v>
      </c>
      <c r="K690" s="27" t="e">
        <f t="shared" ca="1" si="60"/>
        <v>#NAME?</v>
      </c>
      <c r="L690" s="23" t="e">
        <f t="shared" ca="1" si="61"/>
        <v>#NAME?</v>
      </c>
      <c r="M690" s="23" t="e">
        <f t="shared" ca="1" si="62"/>
        <v>#NAME?</v>
      </c>
      <c r="N690" s="23" t="e">
        <f t="shared" ca="1" si="63"/>
        <v>#NAME?</v>
      </c>
      <c r="O690" s="27" t="e">
        <f t="shared" ca="1" si="64"/>
        <v>#NAME?</v>
      </c>
      <c r="P690" s="27" t="e">
        <f ca="1">'01_INPUTS'!B9*N690-K690</f>
        <v>#NAME?</v>
      </c>
      <c r="Q690" s="1" t="e">
        <f t="shared" ca="1" si="65"/>
        <v>#NAME?</v>
      </c>
      <c r="R690" s="28">
        <v>0.78365475777536631</v>
      </c>
      <c r="S690" s="28">
        <v>0.99347803788259625</v>
      </c>
      <c r="T690" s="28">
        <v>0.10400628461502492</v>
      </c>
      <c r="U690" s="28">
        <v>0.83365490380674601</v>
      </c>
      <c r="V690" s="28">
        <v>0.25010333652608097</v>
      </c>
      <c r="W690" s="28">
        <v>0.60873058973811567</v>
      </c>
      <c r="X690" s="28">
        <v>7.6355398865416646E-2</v>
      </c>
    </row>
    <row r="691" spans="1:24" ht="13.9">
      <c r="A691" s="1">
        <v>690</v>
      </c>
      <c r="B691" s="23" t="e">
        <f ca="1">_xludf.BETA.INV(R691,'04_PSA_INPUTS'!H5,'04_PSA_INPUTS'!I5)</f>
        <v>#NAME?</v>
      </c>
      <c r="C691" s="23" t="e">
        <f ca="1">_xludf.BETA.INV(S691,'04_PSA_INPUTS'!H6,'04_PSA_INPUTS'!I6)</f>
        <v>#NAME?</v>
      </c>
      <c r="D691" s="27" t="e">
        <f ca="1">_xludf.GAMMA.INV(T691,'04_PSA_INPUTS'!H7,'04_PSA_INPUTS'!I7)</f>
        <v>#NAME?</v>
      </c>
      <c r="E691" s="27" t="e">
        <f ca="1">_xludf.GAMMA.INV(U691,'04_PSA_INPUTS'!H8,'04_PSA_INPUTS'!I8)</f>
        <v>#NAME?</v>
      </c>
      <c r="F691" s="27" t="e">
        <f ca="1">_xludf.GAMMA.INV(V691,'04_PSA_INPUTS'!H9,'04_PSA_INPUTS'!I9)</f>
        <v>#NAME?</v>
      </c>
      <c r="G691" s="23" t="e">
        <f ca="1">_xludf.BETA.INV(W691,'04_PSA_INPUTS'!H10,'04_PSA_INPUTS'!I10)</f>
        <v>#NAME?</v>
      </c>
      <c r="H691" s="23" t="e">
        <f ca="1">_xludf.BETA.INV(X691,'04_PSA_INPUTS'!H11,'04_PSA_INPUTS'!I11)</f>
        <v>#NAME?</v>
      </c>
      <c r="I691" s="27" t="e">
        <f ca="1">D691+B691*F691+'01_INPUTS'!B20</f>
        <v>#NAME?</v>
      </c>
      <c r="J691" s="27" t="e">
        <f ca="1">E691+C691*F691+'01_INPUTS'!B21</f>
        <v>#NAME?</v>
      </c>
      <c r="K691" s="27" t="e">
        <f t="shared" ca="1" si="60"/>
        <v>#NAME?</v>
      </c>
      <c r="L691" s="23" t="e">
        <f t="shared" ca="1" si="61"/>
        <v>#NAME?</v>
      </c>
      <c r="M691" s="23" t="e">
        <f t="shared" ca="1" si="62"/>
        <v>#NAME?</v>
      </c>
      <c r="N691" s="23" t="e">
        <f t="shared" ca="1" si="63"/>
        <v>#NAME?</v>
      </c>
      <c r="O691" s="27" t="e">
        <f t="shared" ca="1" si="64"/>
        <v>#NAME?</v>
      </c>
      <c r="P691" s="27" t="e">
        <f ca="1">'01_INPUTS'!B9*N691-K691</f>
        <v>#NAME?</v>
      </c>
      <c r="Q691" s="1" t="e">
        <f t="shared" ca="1" si="65"/>
        <v>#NAME?</v>
      </c>
      <c r="R691" s="28">
        <v>0.89589363639242947</v>
      </c>
      <c r="S691" s="28">
        <v>0.24521444202400744</v>
      </c>
      <c r="T691" s="28">
        <v>0.18804881628602743</v>
      </c>
      <c r="U691" s="28">
        <v>0.39855095278471708</v>
      </c>
      <c r="V691" s="28">
        <v>0.83328523184172809</v>
      </c>
      <c r="W691" s="28">
        <v>0.21151080611161888</v>
      </c>
      <c r="X691" s="28">
        <v>0.63286198140121996</v>
      </c>
    </row>
    <row r="692" spans="1:24" ht="13.9">
      <c r="A692" s="1">
        <v>691</v>
      </c>
      <c r="B692" s="23" t="e">
        <f ca="1">_xludf.BETA.INV(R692,'04_PSA_INPUTS'!H5,'04_PSA_INPUTS'!I5)</f>
        <v>#NAME?</v>
      </c>
      <c r="C692" s="23" t="e">
        <f ca="1">_xludf.BETA.INV(S692,'04_PSA_INPUTS'!H6,'04_PSA_INPUTS'!I6)</f>
        <v>#NAME?</v>
      </c>
      <c r="D692" s="27" t="e">
        <f ca="1">_xludf.GAMMA.INV(T692,'04_PSA_INPUTS'!H7,'04_PSA_INPUTS'!I7)</f>
        <v>#NAME?</v>
      </c>
      <c r="E692" s="27" t="e">
        <f ca="1">_xludf.GAMMA.INV(U692,'04_PSA_INPUTS'!H8,'04_PSA_INPUTS'!I8)</f>
        <v>#NAME?</v>
      </c>
      <c r="F692" s="27" t="e">
        <f ca="1">_xludf.GAMMA.INV(V692,'04_PSA_INPUTS'!H9,'04_PSA_INPUTS'!I9)</f>
        <v>#NAME?</v>
      </c>
      <c r="G692" s="23" t="e">
        <f ca="1">_xludf.BETA.INV(W692,'04_PSA_INPUTS'!H10,'04_PSA_INPUTS'!I10)</f>
        <v>#NAME?</v>
      </c>
      <c r="H692" s="23" t="e">
        <f ca="1">_xludf.BETA.INV(X692,'04_PSA_INPUTS'!H11,'04_PSA_INPUTS'!I11)</f>
        <v>#NAME?</v>
      </c>
      <c r="I692" s="27" t="e">
        <f ca="1">D692+B692*F692+'01_INPUTS'!B20</f>
        <v>#NAME?</v>
      </c>
      <c r="J692" s="27" t="e">
        <f ca="1">E692+C692*F692+'01_INPUTS'!B21</f>
        <v>#NAME?</v>
      </c>
      <c r="K692" s="27" t="e">
        <f t="shared" ca="1" si="60"/>
        <v>#NAME?</v>
      </c>
      <c r="L692" s="23" t="e">
        <f t="shared" ca="1" si="61"/>
        <v>#NAME?</v>
      </c>
      <c r="M692" s="23" t="e">
        <f t="shared" ca="1" si="62"/>
        <v>#NAME?</v>
      </c>
      <c r="N692" s="23" t="e">
        <f t="shared" ca="1" si="63"/>
        <v>#NAME?</v>
      </c>
      <c r="O692" s="27" t="e">
        <f t="shared" ca="1" si="64"/>
        <v>#NAME?</v>
      </c>
      <c r="P692" s="27" t="e">
        <f ca="1">'01_INPUTS'!B9*N692-K692</f>
        <v>#NAME?</v>
      </c>
      <c r="Q692" s="1" t="e">
        <f t="shared" ca="1" si="65"/>
        <v>#NAME?</v>
      </c>
      <c r="R692" s="28">
        <v>0.87446111929602921</v>
      </c>
      <c r="S692" s="28">
        <v>0.77617741166613996</v>
      </c>
      <c r="T692" s="28">
        <v>0.65923003247007728</v>
      </c>
      <c r="U692" s="28">
        <v>0.397786402143538</v>
      </c>
      <c r="V692" s="28">
        <v>1.3082963414490223E-4</v>
      </c>
      <c r="W692" s="28">
        <v>0.91313689644448459</v>
      </c>
      <c r="X692" s="28">
        <v>0.9764499559532851</v>
      </c>
    </row>
    <row r="693" spans="1:24" ht="13.9">
      <c r="A693" s="1">
        <v>692</v>
      </c>
      <c r="B693" s="23" t="e">
        <f ca="1">_xludf.BETA.INV(R693,'04_PSA_INPUTS'!H5,'04_PSA_INPUTS'!I5)</f>
        <v>#NAME?</v>
      </c>
      <c r="C693" s="23" t="e">
        <f ca="1">_xludf.BETA.INV(S693,'04_PSA_INPUTS'!H6,'04_PSA_INPUTS'!I6)</f>
        <v>#NAME?</v>
      </c>
      <c r="D693" s="27" t="e">
        <f ca="1">_xludf.GAMMA.INV(T693,'04_PSA_INPUTS'!H7,'04_PSA_INPUTS'!I7)</f>
        <v>#NAME?</v>
      </c>
      <c r="E693" s="27" t="e">
        <f ca="1">_xludf.GAMMA.INV(U693,'04_PSA_INPUTS'!H8,'04_PSA_INPUTS'!I8)</f>
        <v>#NAME?</v>
      </c>
      <c r="F693" s="27" t="e">
        <f ca="1">_xludf.GAMMA.INV(V693,'04_PSA_INPUTS'!H9,'04_PSA_INPUTS'!I9)</f>
        <v>#NAME?</v>
      </c>
      <c r="G693" s="23" t="e">
        <f ca="1">_xludf.BETA.INV(W693,'04_PSA_INPUTS'!H10,'04_PSA_INPUTS'!I10)</f>
        <v>#NAME?</v>
      </c>
      <c r="H693" s="23" t="e">
        <f ca="1">_xludf.BETA.INV(X693,'04_PSA_INPUTS'!H11,'04_PSA_INPUTS'!I11)</f>
        <v>#NAME?</v>
      </c>
      <c r="I693" s="27" t="e">
        <f ca="1">D693+B693*F693+'01_INPUTS'!B20</f>
        <v>#NAME?</v>
      </c>
      <c r="J693" s="27" t="e">
        <f ca="1">E693+C693*F693+'01_INPUTS'!B21</f>
        <v>#NAME?</v>
      </c>
      <c r="K693" s="27" t="e">
        <f t="shared" ca="1" si="60"/>
        <v>#NAME?</v>
      </c>
      <c r="L693" s="23" t="e">
        <f t="shared" ca="1" si="61"/>
        <v>#NAME?</v>
      </c>
      <c r="M693" s="23" t="e">
        <f t="shared" ca="1" si="62"/>
        <v>#NAME?</v>
      </c>
      <c r="N693" s="23" t="e">
        <f t="shared" ca="1" si="63"/>
        <v>#NAME?</v>
      </c>
      <c r="O693" s="27" t="e">
        <f t="shared" ca="1" si="64"/>
        <v>#NAME?</v>
      </c>
      <c r="P693" s="27" t="e">
        <f ca="1">'01_INPUTS'!B9*N693-K693</f>
        <v>#NAME?</v>
      </c>
      <c r="Q693" s="1" t="e">
        <f t="shared" ca="1" si="65"/>
        <v>#NAME?</v>
      </c>
      <c r="R693" s="28">
        <v>0.23024963261559606</v>
      </c>
      <c r="S693" s="28">
        <v>0.56613646983169019</v>
      </c>
      <c r="T693" s="28">
        <v>0.59949926869012415</v>
      </c>
      <c r="U693" s="28">
        <v>0.2189367429818958</v>
      </c>
      <c r="V693" s="28">
        <v>0.79528516274876893</v>
      </c>
      <c r="W693" s="28">
        <v>0.95683583291247487</v>
      </c>
      <c r="X693" s="28">
        <v>0.42146018450148404</v>
      </c>
    </row>
    <row r="694" spans="1:24" ht="13.9">
      <c r="A694" s="1">
        <v>693</v>
      </c>
      <c r="B694" s="23" t="e">
        <f ca="1">_xludf.BETA.INV(R694,'04_PSA_INPUTS'!H5,'04_PSA_INPUTS'!I5)</f>
        <v>#NAME?</v>
      </c>
      <c r="C694" s="23" t="e">
        <f ca="1">_xludf.BETA.INV(S694,'04_PSA_INPUTS'!H6,'04_PSA_INPUTS'!I6)</f>
        <v>#NAME?</v>
      </c>
      <c r="D694" s="27" t="e">
        <f ca="1">_xludf.GAMMA.INV(T694,'04_PSA_INPUTS'!H7,'04_PSA_INPUTS'!I7)</f>
        <v>#NAME?</v>
      </c>
      <c r="E694" s="27" t="e">
        <f ca="1">_xludf.GAMMA.INV(U694,'04_PSA_INPUTS'!H8,'04_PSA_INPUTS'!I8)</f>
        <v>#NAME?</v>
      </c>
      <c r="F694" s="27" t="e">
        <f ca="1">_xludf.GAMMA.INV(V694,'04_PSA_INPUTS'!H9,'04_PSA_INPUTS'!I9)</f>
        <v>#NAME?</v>
      </c>
      <c r="G694" s="23" t="e">
        <f ca="1">_xludf.BETA.INV(W694,'04_PSA_INPUTS'!H10,'04_PSA_INPUTS'!I10)</f>
        <v>#NAME?</v>
      </c>
      <c r="H694" s="23" t="e">
        <f ca="1">_xludf.BETA.INV(X694,'04_PSA_INPUTS'!H11,'04_PSA_INPUTS'!I11)</f>
        <v>#NAME?</v>
      </c>
      <c r="I694" s="27" t="e">
        <f ca="1">D694+B694*F694+'01_INPUTS'!B20</f>
        <v>#NAME?</v>
      </c>
      <c r="J694" s="27" t="e">
        <f ca="1">E694+C694*F694+'01_INPUTS'!B21</f>
        <v>#NAME?</v>
      </c>
      <c r="K694" s="27" t="e">
        <f t="shared" ca="1" si="60"/>
        <v>#NAME?</v>
      </c>
      <c r="L694" s="23" t="e">
        <f t="shared" ca="1" si="61"/>
        <v>#NAME?</v>
      </c>
      <c r="M694" s="23" t="e">
        <f t="shared" ca="1" si="62"/>
        <v>#NAME?</v>
      </c>
      <c r="N694" s="23" t="e">
        <f t="shared" ca="1" si="63"/>
        <v>#NAME?</v>
      </c>
      <c r="O694" s="27" t="e">
        <f t="shared" ca="1" si="64"/>
        <v>#NAME?</v>
      </c>
      <c r="P694" s="27" t="e">
        <f ca="1">'01_INPUTS'!B9*N694-K694</f>
        <v>#NAME?</v>
      </c>
      <c r="Q694" s="1" t="e">
        <f t="shared" ca="1" si="65"/>
        <v>#NAME?</v>
      </c>
      <c r="R694" s="28">
        <v>0.1914533122908324</v>
      </c>
      <c r="S694" s="28">
        <v>0.1073040768969804</v>
      </c>
      <c r="T694" s="28">
        <v>0.62846438586711884</v>
      </c>
      <c r="U694" s="28">
        <v>0.32431224873289466</v>
      </c>
      <c r="V694" s="28">
        <v>0.43055031704716384</v>
      </c>
      <c r="W694" s="28">
        <v>0.10456466535106301</v>
      </c>
      <c r="X694" s="28">
        <v>0.31627217913046479</v>
      </c>
    </row>
    <row r="695" spans="1:24" ht="13.9">
      <c r="A695" s="1">
        <v>694</v>
      </c>
      <c r="B695" s="23" t="e">
        <f ca="1">_xludf.BETA.INV(R695,'04_PSA_INPUTS'!H5,'04_PSA_INPUTS'!I5)</f>
        <v>#NAME?</v>
      </c>
      <c r="C695" s="23" t="e">
        <f ca="1">_xludf.BETA.INV(S695,'04_PSA_INPUTS'!H6,'04_PSA_INPUTS'!I6)</f>
        <v>#NAME?</v>
      </c>
      <c r="D695" s="27" t="e">
        <f ca="1">_xludf.GAMMA.INV(T695,'04_PSA_INPUTS'!H7,'04_PSA_INPUTS'!I7)</f>
        <v>#NAME?</v>
      </c>
      <c r="E695" s="27" t="e">
        <f ca="1">_xludf.GAMMA.INV(U695,'04_PSA_INPUTS'!H8,'04_PSA_INPUTS'!I8)</f>
        <v>#NAME?</v>
      </c>
      <c r="F695" s="27" t="e">
        <f ca="1">_xludf.GAMMA.INV(V695,'04_PSA_INPUTS'!H9,'04_PSA_INPUTS'!I9)</f>
        <v>#NAME?</v>
      </c>
      <c r="G695" s="23" t="e">
        <f ca="1">_xludf.BETA.INV(W695,'04_PSA_INPUTS'!H10,'04_PSA_INPUTS'!I10)</f>
        <v>#NAME?</v>
      </c>
      <c r="H695" s="23" t="e">
        <f ca="1">_xludf.BETA.INV(X695,'04_PSA_INPUTS'!H11,'04_PSA_INPUTS'!I11)</f>
        <v>#NAME?</v>
      </c>
      <c r="I695" s="27" t="e">
        <f ca="1">D695+B695*F695+'01_INPUTS'!B20</f>
        <v>#NAME?</v>
      </c>
      <c r="J695" s="27" t="e">
        <f ca="1">E695+C695*F695+'01_INPUTS'!B21</f>
        <v>#NAME?</v>
      </c>
      <c r="K695" s="27" t="e">
        <f t="shared" ca="1" si="60"/>
        <v>#NAME?</v>
      </c>
      <c r="L695" s="23" t="e">
        <f t="shared" ca="1" si="61"/>
        <v>#NAME?</v>
      </c>
      <c r="M695" s="23" t="e">
        <f t="shared" ca="1" si="62"/>
        <v>#NAME?</v>
      </c>
      <c r="N695" s="23" t="e">
        <f t="shared" ca="1" si="63"/>
        <v>#NAME?</v>
      </c>
      <c r="O695" s="27" t="e">
        <f t="shared" ca="1" si="64"/>
        <v>#NAME?</v>
      </c>
      <c r="P695" s="27" t="e">
        <f ca="1">'01_INPUTS'!B9*N695-K695</f>
        <v>#NAME?</v>
      </c>
      <c r="Q695" s="1" t="e">
        <f t="shared" ca="1" si="65"/>
        <v>#NAME?</v>
      </c>
      <c r="R695" s="28">
        <v>0.45470396778546274</v>
      </c>
      <c r="S695" s="28">
        <v>0.86529108695685863</v>
      </c>
      <c r="T695" s="28">
        <v>0.2574610379524529</v>
      </c>
      <c r="U695" s="28">
        <v>0.94467645068652928</v>
      </c>
      <c r="V695" s="28">
        <v>0.17085400130599737</v>
      </c>
      <c r="W695" s="28">
        <v>0.9039375705178827</v>
      </c>
      <c r="X695" s="28">
        <v>0.55085135553963482</v>
      </c>
    </row>
    <row r="696" spans="1:24" ht="13.9">
      <c r="A696" s="1">
        <v>695</v>
      </c>
      <c r="B696" s="23" t="e">
        <f ca="1">_xludf.BETA.INV(R696,'04_PSA_INPUTS'!H5,'04_PSA_INPUTS'!I5)</f>
        <v>#NAME?</v>
      </c>
      <c r="C696" s="23" t="e">
        <f ca="1">_xludf.BETA.INV(S696,'04_PSA_INPUTS'!H6,'04_PSA_INPUTS'!I6)</f>
        <v>#NAME?</v>
      </c>
      <c r="D696" s="27" t="e">
        <f ca="1">_xludf.GAMMA.INV(T696,'04_PSA_INPUTS'!H7,'04_PSA_INPUTS'!I7)</f>
        <v>#NAME?</v>
      </c>
      <c r="E696" s="27" t="e">
        <f ca="1">_xludf.GAMMA.INV(U696,'04_PSA_INPUTS'!H8,'04_PSA_INPUTS'!I8)</f>
        <v>#NAME?</v>
      </c>
      <c r="F696" s="27" t="e">
        <f ca="1">_xludf.GAMMA.INV(V696,'04_PSA_INPUTS'!H9,'04_PSA_INPUTS'!I9)</f>
        <v>#NAME?</v>
      </c>
      <c r="G696" s="23" t="e">
        <f ca="1">_xludf.BETA.INV(W696,'04_PSA_INPUTS'!H10,'04_PSA_INPUTS'!I10)</f>
        <v>#NAME?</v>
      </c>
      <c r="H696" s="23" t="e">
        <f ca="1">_xludf.BETA.INV(X696,'04_PSA_INPUTS'!H11,'04_PSA_INPUTS'!I11)</f>
        <v>#NAME?</v>
      </c>
      <c r="I696" s="27" t="e">
        <f ca="1">D696+B696*F696+'01_INPUTS'!B20</f>
        <v>#NAME?</v>
      </c>
      <c r="J696" s="27" t="e">
        <f ca="1">E696+C696*F696+'01_INPUTS'!B21</f>
        <v>#NAME?</v>
      </c>
      <c r="K696" s="27" t="e">
        <f t="shared" ca="1" si="60"/>
        <v>#NAME?</v>
      </c>
      <c r="L696" s="23" t="e">
        <f t="shared" ca="1" si="61"/>
        <v>#NAME?</v>
      </c>
      <c r="M696" s="23" t="e">
        <f t="shared" ca="1" si="62"/>
        <v>#NAME?</v>
      </c>
      <c r="N696" s="23" t="e">
        <f t="shared" ca="1" si="63"/>
        <v>#NAME?</v>
      </c>
      <c r="O696" s="27" t="e">
        <f t="shared" ca="1" si="64"/>
        <v>#NAME?</v>
      </c>
      <c r="P696" s="27" t="e">
        <f ca="1">'01_INPUTS'!B9*N696-K696</f>
        <v>#NAME?</v>
      </c>
      <c r="Q696" s="1" t="e">
        <f t="shared" ca="1" si="65"/>
        <v>#NAME?</v>
      </c>
      <c r="R696" s="28">
        <v>0.44266811129637063</v>
      </c>
      <c r="S696" s="28">
        <v>0.20977444783784449</v>
      </c>
      <c r="T696" s="28">
        <v>0.35929288039915264</v>
      </c>
      <c r="U696" s="28">
        <v>0.2546309744939208</v>
      </c>
      <c r="V696" s="28">
        <v>0.88655221718363464</v>
      </c>
      <c r="W696" s="28">
        <v>0.26217757980339229</v>
      </c>
      <c r="X696" s="28">
        <v>0.99310855893418193</v>
      </c>
    </row>
    <row r="697" spans="1:24" ht="13.9">
      <c r="A697" s="1">
        <v>696</v>
      </c>
      <c r="B697" s="23" t="e">
        <f ca="1">_xludf.BETA.INV(R697,'04_PSA_INPUTS'!H5,'04_PSA_INPUTS'!I5)</f>
        <v>#NAME?</v>
      </c>
      <c r="C697" s="23" t="e">
        <f ca="1">_xludf.BETA.INV(S697,'04_PSA_INPUTS'!H6,'04_PSA_INPUTS'!I6)</f>
        <v>#NAME?</v>
      </c>
      <c r="D697" s="27" t="e">
        <f ca="1">_xludf.GAMMA.INV(T697,'04_PSA_INPUTS'!H7,'04_PSA_INPUTS'!I7)</f>
        <v>#NAME?</v>
      </c>
      <c r="E697" s="27" t="e">
        <f ca="1">_xludf.GAMMA.INV(U697,'04_PSA_INPUTS'!H8,'04_PSA_INPUTS'!I8)</f>
        <v>#NAME?</v>
      </c>
      <c r="F697" s="27" t="e">
        <f ca="1">_xludf.GAMMA.INV(V697,'04_PSA_INPUTS'!H9,'04_PSA_INPUTS'!I9)</f>
        <v>#NAME?</v>
      </c>
      <c r="G697" s="23" t="e">
        <f ca="1">_xludf.BETA.INV(W697,'04_PSA_INPUTS'!H10,'04_PSA_INPUTS'!I10)</f>
        <v>#NAME?</v>
      </c>
      <c r="H697" s="23" t="e">
        <f ca="1">_xludf.BETA.INV(X697,'04_PSA_INPUTS'!H11,'04_PSA_INPUTS'!I11)</f>
        <v>#NAME?</v>
      </c>
      <c r="I697" s="27" t="e">
        <f ca="1">D697+B697*F697+'01_INPUTS'!B20</f>
        <v>#NAME?</v>
      </c>
      <c r="J697" s="27" t="e">
        <f ca="1">E697+C697*F697+'01_INPUTS'!B21</f>
        <v>#NAME?</v>
      </c>
      <c r="K697" s="27" t="e">
        <f t="shared" ca="1" si="60"/>
        <v>#NAME?</v>
      </c>
      <c r="L697" s="23" t="e">
        <f t="shared" ca="1" si="61"/>
        <v>#NAME?</v>
      </c>
      <c r="M697" s="23" t="e">
        <f t="shared" ca="1" si="62"/>
        <v>#NAME?</v>
      </c>
      <c r="N697" s="23" t="e">
        <f t="shared" ca="1" si="63"/>
        <v>#NAME?</v>
      </c>
      <c r="O697" s="27" t="e">
        <f t="shared" ca="1" si="64"/>
        <v>#NAME?</v>
      </c>
      <c r="P697" s="27" t="e">
        <f ca="1">'01_INPUTS'!B9*N697-K697</f>
        <v>#NAME?</v>
      </c>
      <c r="Q697" s="1" t="e">
        <f t="shared" ca="1" si="65"/>
        <v>#NAME?</v>
      </c>
      <c r="R697" s="28">
        <v>0.75891629955731332</v>
      </c>
      <c r="S697" s="28">
        <v>0.570834721904248</v>
      </c>
      <c r="T697" s="28">
        <v>0.69984690705314279</v>
      </c>
      <c r="U697" s="28">
        <v>0.70990793104283512</v>
      </c>
      <c r="V697" s="28">
        <v>0.57532466435804963</v>
      </c>
      <c r="W697" s="28">
        <v>0.86248382367193699</v>
      </c>
      <c r="X697" s="28">
        <v>0.64451822242699564</v>
      </c>
    </row>
    <row r="698" spans="1:24" ht="13.9">
      <c r="A698" s="1">
        <v>697</v>
      </c>
      <c r="B698" s="23" t="e">
        <f ca="1">_xludf.BETA.INV(R698,'04_PSA_INPUTS'!H5,'04_PSA_INPUTS'!I5)</f>
        <v>#NAME?</v>
      </c>
      <c r="C698" s="23" t="e">
        <f ca="1">_xludf.BETA.INV(S698,'04_PSA_INPUTS'!H6,'04_PSA_INPUTS'!I6)</f>
        <v>#NAME?</v>
      </c>
      <c r="D698" s="27" t="e">
        <f ca="1">_xludf.GAMMA.INV(T698,'04_PSA_INPUTS'!H7,'04_PSA_INPUTS'!I7)</f>
        <v>#NAME?</v>
      </c>
      <c r="E698" s="27" t="e">
        <f ca="1">_xludf.GAMMA.INV(U698,'04_PSA_INPUTS'!H8,'04_PSA_INPUTS'!I8)</f>
        <v>#NAME?</v>
      </c>
      <c r="F698" s="27" t="e">
        <f ca="1">_xludf.GAMMA.INV(V698,'04_PSA_INPUTS'!H9,'04_PSA_INPUTS'!I9)</f>
        <v>#NAME?</v>
      </c>
      <c r="G698" s="23" t="e">
        <f ca="1">_xludf.BETA.INV(W698,'04_PSA_INPUTS'!H10,'04_PSA_INPUTS'!I10)</f>
        <v>#NAME?</v>
      </c>
      <c r="H698" s="23" t="e">
        <f ca="1">_xludf.BETA.INV(X698,'04_PSA_INPUTS'!H11,'04_PSA_INPUTS'!I11)</f>
        <v>#NAME?</v>
      </c>
      <c r="I698" s="27" t="e">
        <f ca="1">D698+B698*F698+'01_INPUTS'!B20</f>
        <v>#NAME?</v>
      </c>
      <c r="J698" s="27" t="e">
        <f ca="1">E698+C698*F698+'01_INPUTS'!B21</f>
        <v>#NAME?</v>
      </c>
      <c r="K698" s="27" t="e">
        <f t="shared" ca="1" si="60"/>
        <v>#NAME?</v>
      </c>
      <c r="L698" s="23" t="e">
        <f t="shared" ca="1" si="61"/>
        <v>#NAME?</v>
      </c>
      <c r="M698" s="23" t="e">
        <f t="shared" ca="1" si="62"/>
        <v>#NAME?</v>
      </c>
      <c r="N698" s="23" t="e">
        <f t="shared" ca="1" si="63"/>
        <v>#NAME?</v>
      </c>
      <c r="O698" s="27" t="e">
        <f t="shared" ca="1" si="64"/>
        <v>#NAME?</v>
      </c>
      <c r="P698" s="27" t="e">
        <f ca="1">'01_INPUTS'!B9*N698-K698</f>
        <v>#NAME?</v>
      </c>
      <c r="Q698" s="1" t="e">
        <f t="shared" ca="1" si="65"/>
        <v>#NAME?</v>
      </c>
      <c r="R698" s="28">
        <v>0.48317655478604138</v>
      </c>
      <c r="S698" s="28">
        <v>0.4018025822006166</v>
      </c>
      <c r="T698" s="28">
        <v>0.92260610801167786</v>
      </c>
      <c r="U698" s="28">
        <v>0.1915329301264137</v>
      </c>
      <c r="V698" s="28">
        <v>0.32444762927480042</v>
      </c>
      <c r="W698" s="28">
        <v>0.12033039983361959</v>
      </c>
      <c r="X698" s="28">
        <v>0.20767730218358338</v>
      </c>
    </row>
    <row r="699" spans="1:24" ht="13.9">
      <c r="A699" s="1">
        <v>698</v>
      </c>
      <c r="B699" s="23" t="e">
        <f ca="1">_xludf.BETA.INV(R699,'04_PSA_INPUTS'!H5,'04_PSA_INPUTS'!I5)</f>
        <v>#NAME?</v>
      </c>
      <c r="C699" s="23" t="e">
        <f ca="1">_xludf.BETA.INV(S699,'04_PSA_INPUTS'!H6,'04_PSA_INPUTS'!I6)</f>
        <v>#NAME?</v>
      </c>
      <c r="D699" s="27" t="e">
        <f ca="1">_xludf.GAMMA.INV(T699,'04_PSA_INPUTS'!H7,'04_PSA_INPUTS'!I7)</f>
        <v>#NAME?</v>
      </c>
      <c r="E699" s="27" t="e">
        <f ca="1">_xludf.GAMMA.INV(U699,'04_PSA_INPUTS'!H8,'04_PSA_INPUTS'!I8)</f>
        <v>#NAME?</v>
      </c>
      <c r="F699" s="27" t="e">
        <f ca="1">_xludf.GAMMA.INV(V699,'04_PSA_INPUTS'!H9,'04_PSA_INPUTS'!I9)</f>
        <v>#NAME?</v>
      </c>
      <c r="G699" s="23" t="e">
        <f ca="1">_xludf.BETA.INV(W699,'04_PSA_INPUTS'!H10,'04_PSA_INPUTS'!I10)</f>
        <v>#NAME?</v>
      </c>
      <c r="H699" s="23" t="e">
        <f ca="1">_xludf.BETA.INV(X699,'04_PSA_INPUTS'!H11,'04_PSA_INPUTS'!I11)</f>
        <v>#NAME?</v>
      </c>
      <c r="I699" s="27" t="e">
        <f ca="1">D699+B699*F699+'01_INPUTS'!B20</f>
        <v>#NAME?</v>
      </c>
      <c r="J699" s="27" t="e">
        <f ca="1">E699+C699*F699+'01_INPUTS'!B21</f>
        <v>#NAME?</v>
      </c>
      <c r="K699" s="27" t="e">
        <f t="shared" ca="1" si="60"/>
        <v>#NAME?</v>
      </c>
      <c r="L699" s="23" t="e">
        <f t="shared" ca="1" si="61"/>
        <v>#NAME?</v>
      </c>
      <c r="M699" s="23" t="e">
        <f t="shared" ca="1" si="62"/>
        <v>#NAME?</v>
      </c>
      <c r="N699" s="23" t="e">
        <f t="shared" ca="1" si="63"/>
        <v>#NAME?</v>
      </c>
      <c r="O699" s="27" t="e">
        <f t="shared" ca="1" si="64"/>
        <v>#NAME?</v>
      </c>
      <c r="P699" s="27" t="e">
        <f ca="1">'01_INPUTS'!B9*N699-K699</f>
        <v>#NAME?</v>
      </c>
      <c r="Q699" s="1" t="e">
        <f t="shared" ca="1" si="65"/>
        <v>#NAME?</v>
      </c>
      <c r="R699" s="28">
        <v>0.21837763860821724</v>
      </c>
      <c r="S699" s="28">
        <v>0.80686267232522368</v>
      </c>
      <c r="T699" s="28">
        <v>0.88428618083707988</v>
      </c>
      <c r="U699" s="28">
        <v>0.16264755954034626</v>
      </c>
      <c r="V699" s="28">
        <v>0.36321940715424716</v>
      </c>
      <c r="W699" s="28">
        <v>0.41396724223159254</v>
      </c>
      <c r="X699" s="28">
        <v>0.45333136129193008</v>
      </c>
    </row>
    <row r="700" spans="1:24" ht="13.9">
      <c r="A700" s="1">
        <v>699</v>
      </c>
      <c r="B700" s="23" t="e">
        <f ca="1">_xludf.BETA.INV(R700,'04_PSA_INPUTS'!H5,'04_PSA_INPUTS'!I5)</f>
        <v>#NAME?</v>
      </c>
      <c r="C700" s="23" t="e">
        <f ca="1">_xludf.BETA.INV(S700,'04_PSA_INPUTS'!H6,'04_PSA_INPUTS'!I6)</f>
        <v>#NAME?</v>
      </c>
      <c r="D700" s="27" t="e">
        <f ca="1">_xludf.GAMMA.INV(T700,'04_PSA_INPUTS'!H7,'04_PSA_INPUTS'!I7)</f>
        <v>#NAME?</v>
      </c>
      <c r="E700" s="27" t="e">
        <f ca="1">_xludf.GAMMA.INV(U700,'04_PSA_INPUTS'!H8,'04_PSA_INPUTS'!I8)</f>
        <v>#NAME?</v>
      </c>
      <c r="F700" s="27" t="e">
        <f ca="1">_xludf.GAMMA.INV(V700,'04_PSA_INPUTS'!H9,'04_PSA_INPUTS'!I9)</f>
        <v>#NAME?</v>
      </c>
      <c r="G700" s="23" t="e">
        <f ca="1">_xludf.BETA.INV(W700,'04_PSA_INPUTS'!H10,'04_PSA_INPUTS'!I10)</f>
        <v>#NAME?</v>
      </c>
      <c r="H700" s="23" t="e">
        <f ca="1">_xludf.BETA.INV(X700,'04_PSA_INPUTS'!H11,'04_PSA_INPUTS'!I11)</f>
        <v>#NAME?</v>
      </c>
      <c r="I700" s="27" t="e">
        <f ca="1">D700+B700*F700+'01_INPUTS'!B20</f>
        <v>#NAME?</v>
      </c>
      <c r="J700" s="27" t="e">
        <f ca="1">E700+C700*F700+'01_INPUTS'!B21</f>
        <v>#NAME?</v>
      </c>
      <c r="K700" s="27" t="e">
        <f t="shared" ca="1" si="60"/>
        <v>#NAME?</v>
      </c>
      <c r="L700" s="23" t="e">
        <f t="shared" ca="1" si="61"/>
        <v>#NAME?</v>
      </c>
      <c r="M700" s="23" t="e">
        <f t="shared" ca="1" si="62"/>
        <v>#NAME?</v>
      </c>
      <c r="N700" s="23" t="e">
        <f t="shared" ca="1" si="63"/>
        <v>#NAME?</v>
      </c>
      <c r="O700" s="27" t="e">
        <f t="shared" ca="1" si="64"/>
        <v>#NAME?</v>
      </c>
      <c r="P700" s="27" t="e">
        <f ca="1">'01_INPUTS'!B9*N700-K700</f>
        <v>#NAME?</v>
      </c>
      <c r="Q700" s="1" t="e">
        <f t="shared" ca="1" si="65"/>
        <v>#NAME?</v>
      </c>
      <c r="R700" s="28">
        <v>0.32503176643513143</v>
      </c>
      <c r="S700" s="28">
        <v>1.0847428115084767E-2</v>
      </c>
      <c r="T700" s="28">
        <v>0.81108320178464055</v>
      </c>
      <c r="U700" s="28">
        <v>2.1273207617923617E-2</v>
      </c>
      <c r="V700" s="28">
        <v>0.57971569360233843</v>
      </c>
      <c r="W700" s="28">
        <v>0.98901430051773787</v>
      </c>
      <c r="X700" s="28">
        <v>0.84865806344896555</v>
      </c>
    </row>
    <row r="701" spans="1:24" ht="13.9">
      <c r="A701" s="1">
        <v>700</v>
      </c>
      <c r="B701" s="23" t="e">
        <f ca="1">_xludf.BETA.INV(R701,'04_PSA_INPUTS'!H5,'04_PSA_INPUTS'!I5)</f>
        <v>#NAME?</v>
      </c>
      <c r="C701" s="23" t="e">
        <f ca="1">_xludf.BETA.INV(S701,'04_PSA_INPUTS'!H6,'04_PSA_INPUTS'!I6)</f>
        <v>#NAME?</v>
      </c>
      <c r="D701" s="27" t="e">
        <f ca="1">_xludf.GAMMA.INV(T701,'04_PSA_INPUTS'!H7,'04_PSA_INPUTS'!I7)</f>
        <v>#NAME?</v>
      </c>
      <c r="E701" s="27" t="e">
        <f ca="1">_xludf.GAMMA.INV(U701,'04_PSA_INPUTS'!H8,'04_PSA_INPUTS'!I8)</f>
        <v>#NAME?</v>
      </c>
      <c r="F701" s="27" t="e">
        <f ca="1">_xludf.GAMMA.INV(V701,'04_PSA_INPUTS'!H9,'04_PSA_INPUTS'!I9)</f>
        <v>#NAME?</v>
      </c>
      <c r="G701" s="23" t="e">
        <f ca="1">_xludf.BETA.INV(W701,'04_PSA_INPUTS'!H10,'04_PSA_INPUTS'!I10)</f>
        <v>#NAME?</v>
      </c>
      <c r="H701" s="23" t="e">
        <f ca="1">_xludf.BETA.INV(X701,'04_PSA_INPUTS'!H11,'04_PSA_INPUTS'!I11)</f>
        <v>#NAME?</v>
      </c>
      <c r="I701" s="27" t="e">
        <f ca="1">D701+B701*F701+'01_INPUTS'!B20</f>
        <v>#NAME?</v>
      </c>
      <c r="J701" s="27" t="e">
        <f ca="1">E701+C701*F701+'01_INPUTS'!B21</f>
        <v>#NAME?</v>
      </c>
      <c r="K701" s="27" t="e">
        <f t="shared" ca="1" si="60"/>
        <v>#NAME?</v>
      </c>
      <c r="L701" s="23" t="e">
        <f t="shared" ca="1" si="61"/>
        <v>#NAME?</v>
      </c>
      <c r="M701" s="23" t="e">
        <f t="shared" ca="1" si="62"/>
        <v>#NAME?</v>
      </c>
      <c r="N701" s="23" t="e">
        <f t="shared" ca="1" si="63"/>
        <v>#NAME?</v>
      </c>
      <c r="O701" s="27" t="e">
        <f t="shared" ca="1" si="64"/>
        <v>#NAME?</v>
      </c>
      <c r="P701" s="27" t="e">
        <f ca="1">'01_INPUTS'!B9*N701-K701</f>
        <v>#NAME?</v>
      </c>
      <c r="Q701" s="1" t="e">
        <f t="shared" ca="1" si="65"/>
        <v>#NAME?</v>
      </c>
      <c r="R701" s="28">
        <v>0.71031492459587753</v>
      </c>
      <c r="S701" s="28">
        <v>0.90414724475704134</v>
      </c>
      <c r="T701" s="28">
        <v>0.85109540307894349</v>
      </c>
      <c r="U701" s="28">
        <v>0.5220969479996711</v>
      </c>
      <c r="V701" s="28">
        <v>0.76346235582605004</v>
      </c>
      <c r="W701" s="28">
        <v>0.64252861496061087</v>
      </c>
      <c r="X701" s="28">
        <v>0.77516093873418868</v>
      </c>
    </row>
    <row r="702" spans="1:24" ht="13.9">
      <c r="A702" s="1">
        <v>701</v>
      </c>
      <c r="B702" s="23" t="e">
        <f ca="1">_xludf.BETA.INV(R702,'04_PSA_INPUTS'!H5,'04_PSA_INPUTS'!I5)</f>
        <v>#NAME?</v>
      </c>
      <c r="C702" s="23" t="e">
        <f ca="1">_xludf.BETA.INV(S702,'04_PSA_INPUTS'!H6,'04_PSA_INPUTS'!I6)</f>
        <v>#NAME?</v>
      </c>
      <c r="D702" s="27" t="e">
        <f ca="1">_xludf.GAMMA.INV(T702,'04_PSA_INPUTS'!H7,'04_PSA_INPUTS'!I7)</f>
        <v>#NAME?</v>
      </c>
      <c r="E702" s="27" t="e">
        <f ca="1">_xludf.GAMMA.INV(U702,'04_PSA_INPUTS'!H8,'04_PSA_INPUTS'!I8)</f>
        <v>#NAME?</v>
      </c>
      <c r="F702" s="27" t="e">
        <f ca="1">_xludf.GAMMA.INV(V702,'04_PSA_INPUTS'!H9,'04_PSA_INPUTS'!I9)</f>
        <v>#NAME?</v>
      </c>
      <c r="G702" s="23" t="e">
        <f ca="1">_xludf.BETA.INV(W702,'04_PSA_INPUTS'!H10,'04_PSA_INPUTS'!I10)</f>
        <v>#NAME?</v>
      </c>
      <c r="H702" s="23" t="e">
        <f ca="1">_xludf.BETA.INV(X702,'04_PSA_INPUTS'!H11,'04_PSA_INPUTS'!I11)</f>
        <v>#NAME?</v>
      </c>
      <c r="I702" s="27" t="e">
        <f ca="1">D702+B702*F702+'01_INPUTS'!B20</f>
        <v>#NAME?</v>
      </c>
      <c r="J702" s="27" t="e">
        <f ca="1">E702+C702*F702+'01_INPUTS'!B21</f>
        <v>#NAME?</v>
      </c>
      <c r="K702" s="27" t="e">
        <f t="shared" ca="1" si="60"/>
        <v>#NAME?</v>
      </c>
      <c r="L702" s="23" t="e">
        <f t="shared" ca="1" si="61"/>
        <v>#NAME?</v>
      </c>
      <c r="M702" s="23" t="e">
        <f t="shared" ca="1" si="62"/>
        <v>#NAME?</v>
      </c>
      <c r="N702" s="23" t="e">
        <f t="shared" ca="1" si="63"/>
        <v>#NAME?</v>
      </c>
      <c r="O702" s="27" t="e">
        <f t="shared" ca="1" si="64"/>
        <v>#NAME?</v>
      </c>
      <c r="P702" s="27" t="e">
        <f ca="1">'01_INPUTS'!B9*N702-K702</f>
        <v>#NAME?</v>
      </c>
      <c r="Q702" s="1" t="e">
        <f t="shared" ca="1" si="65"/>
        <v>#NAME?</v>
      </c>
      <c r="R702" s="28">
        <v>0.55019234819337726</v>
      </c>
      <c r="S702" s="28">
        <v>0.81715796212665737</v>
      </c>
      <c r="T702" s="28">
        <v>0.13482497469522059</v>
      </c>
      <c r="U702" s="28">
        <v>5.7937062811106443E-2</v>
      </c>
      <c r="V702" s="28">
        <v>0.96455512894317508</v>
      </c>
      <c r="W702" s="28">
        <v>0.33013851870782673</v>
      </c>
      <c r="X702" s="28">
        <v>0.31704762205481529</v>
      </c>
    </row>
    <row r="703" spans="1:24" ht="13.9">
      <c r="A703" s="1">
        <v>702</v>
      </c>
      <c r="B703" s="23" t="e">
        <f ca="1">_xludf.BETA.INV(R703,'04_PSA_INPUTS'!H5,'04_PSA_INPUTS'!I5)</f>
        <v>#NAME?</v>
      </c>
      <c r="C703" s="23" t="e">
        <f ca="1">_xludf.BETA.INV(S703,'04_PSA_INPUTS'!H6,'04_PSA_INPUTS'!I6)</f>
        <v>#NAME?</v>
      </c>
      <c r="D703" s="27" t="e">
        <f ca="1">_xludf.GAMMA.INV(T703,'04_PSA_INPUTS'!H7,'04_PSA_INPUTS'!I7)</f>
        <v>#NAME?</v>
      </c>
      <c r="E703" s="27" t="e">
        <f ca="1">_xludf.GAMMA.INV(U703,'04_PSA_INPUTS'!H8,'04_PSA_INPUTS'!I8)</f>
        <v>#NAME?</v>
      </c>
      <c r="F703" s="27" t="e">
        <f ca="1">_xludf.GAMMA.INV(V703,'04_PSA_INPUTS'!H9,'04_PSA_INPUTS'!I9)</f>
        <v>#NAME?</v>
      </c>
      <c r="G703" s="23" t="e">
        <f ca="1">_xludf.BETA.INV(W703,'04_PSA_INPUTS'!H10,'04_PSA_INPUTS'!I10)</f>
        <v>#NAME?</v>
      </c>
      <c r="H703" s="23" t="e">
        <f ca="1">_xludf.BETA.INV(X703,'04_PSA_INPUTS'!H11,'04_PSA_INPUTS'!I11)</f>
        <v>#NAME?</v>
      </c>
      <c r="I703" s="27" t="e">
        <f ca="1">D703+B703*F703+'01_INPUTS'!B20</f>
        <v>#NAME?</v>
      </c>
      <c r="J703" s="27" t="e">
        <f ca="1">E703+C703*F703+'01_INPUTS'!B21</f>
        <v>#NAME?</v>
      </c>
      <c r="K703" s="27" t="e">
        <f t="shared" ca="1" si="60"/>
        <v>#NAME?</v>
      </c>
      <c r="L703" s="23" t="e">
        <f t="shared" ca="1" si="61"/>
        <v>#NAME?</v>
      </c>
      <c r="M703" s="23" t="e">
        <f t="shared" ca="1" si="62"/>
        <v>#NAME?</v>
      </c>
      <c r="N703" s="23" t="e">
        <f t="shared" ca="1" si="63"/>
        <v>#NAME?</v>
      </c>
      <c r="O703" s="27" t="e">
        <f t="shared" ca="1" si="64"/>
        <v>#NAME?</v>
      </c>
      <c r="P703" s="27" t="e">
        <f ca="1">'01_INPUTS'!B9*N703-K703</f>
        <v>#NAME?</v>
      </c>
      <c r="Q703" s="1" t="e">
        <f t="shared" ca="1" si="65"/>
        <v>#NAME?</v>
      </c>
      <c r="R703" s="28">
        <v>0.33211747626774013</v>
      </c>
      <c r="S703" s="28">
        <v>0.57314242050051689</v>
      </c>
      <c r="T703" s="28">
        <v>0.48908809572458267</v>
      </c>
      <c r="U703" s="28">
        <v>0.52288679266348481</v>
      </c>
      <c r="V703" s="28">
        <v>0.28370139584876597</v>
      </c>
      <c r="W703" s="28">
        <v>0.37173863197676837</v>
      </c>
      <c r="X703" s="28">
        <v>0.38966784393414855</v>
      </c>
    </row>
    <row r="704" spans="1:24" ht="13.9">
      <c r="A704" s="1">
        <v>703</v>
      </c>
      <c r="B704" s="23" t="e">
        <f ca="1">_xludf.BETA.INV(R704,'04_PSA_INPUTS'!H5,'04_PSA_INPUTS'!I5)</f>
        <v>#NAME?</v>
      </c>
      <c r="C704" s="23" t="e">
        <f ca="1">_xludf.BETA.INV(S704,'04_PSA_INPUTS'!H6,'04_PSA_INPUTS'!I6)</f>
        <v>#NAME?</v>
      </c>
      <c r="D704" s="27" t="e">
        <f ca="1">_xludf.GAMMA.INV(T704,'04_PSA_INPUTS'!H7,'04_PSA_INPUTS'!I7)</f>
        <v>#NAME?</v>
      </c>
      <c r="E704" s="27" t="e">
        <f ca="1">_xludf.GAMMA.INV(U704,'04_PSA_INPUTS'!H8,'04_PSA_INPUTS'!I8)</f>
        <v>#NAME?</v>
      </c>
      <c r="F704" s="27" t="e">
        <f ca="1">_xludf.GAMMA.INV(V704,'04_PSA_INPUTS'!H9,'04_PSA_INPUTS'!I9)</f>
        <v>#NAME?</v>
      </c>
      <c r="G704" s="23" t="e">
        <f ca="1">_xludf.BETA.INV(W704,'04_PSA_INPUTS'!H10,'04_PSA_INPUTS'!I10)</f>
        <v>#NAME?</v>
      </c>
      <c r="H704" s="23" t="e">
        <f ca="1">_xludf.BETA.INV(X704,'04_PSA_INPUTS'!H11,'04_PSA_INPUTS'!I11)</f>
        <v>#NAME?</v>
      </c>
      <c r="I704" s="27" t="e">
        <f ca="1">D704+B704*F704+'01_INPUTS'!B20</f>
        <v>#NAME?</v>
      </c>
      <c r="J704" s="27" t="e">
        <f ca="1">E704+C704*F704+'01_INPUTS'!B21</f>
        <v>#NAME?</v>
      </c>
      <c r="K704" s="27" t="e">
        <f t="shared" ca="1" si="60"/>
        <v>#NAME?</v>
      </c>
      <c r="L704" s="23" t="e">
        <f t="shared" ca="1" si="61"/>
        <v>#NAME?</v>
      </c>
      <c r="M704" s="23" t="e">
        <f t="shared" ca="1" si="62"/>
        <v>#NAME?</v>
      </c>
      <c r="N704" s="23" t="e">
        <f t="shared" ca="1" si="63"/>
        <v>#NAME?</v>
      </c>
      <c r="O704" s="27" t="e">
        <f t="shared" ca="1" si="64"/>
        <v>#NAME?</v>
      </c>
      <c r="P704" s="27" t="e">
        <f ca="1">'01_INPUTS'!B9*N704-K704</f>
        <v>#NAME?</v>
      </c>
      <c r="Q704" s="1" t="e">
        <f t="shared" ca="1" si="65"/>
        <v>#NAME?</v>
      </c>
      <c r="R704" s="28">
        <v>0.90691722719930112</v>
      </c>
      <c r="S704" s="28">
        <v>0.78949535358697176</v>
      </c>
      <c r="T704" s="28">
        <v>0.31316725630313158</v>
      </c>
      <c r="U704" s="28">
        <v>0.51323461811989546</v>
      </c>
      <c r="V704" s="28">
        <v>0.72970043797977269</v>
      </c>
      <c r="W704" s="28">
        <v>0.74938396876677871</v>
      </c>
      <c r="X704" s="28">
        <v>0.45330664282664657</v>
      </c>
    </row>
    <row r="705" spans="1:24" ht="13.9">
      <c r="A705" s="1">
        <v>704</v>
      </c>
      <c r="B705" s="23" t="e">
        <f ca="1">_xludf.BETA.INV(R705,'04_PSA_INPUTS'!H5,'04_PSA_INPUTS'!I5)</f>
        <v>#NAME?</v>
      </c>
      <c r="C705" s="23" t="e">
        <f ca="1">_xludf.BETA.INV(S705,'04_PSA_INPUTS'!H6,'04_PSA_INPUTS'!I6)</f>
        <v>#NAME?</v>
      </c>
      <c r="D705" s="27" t="e">
        <f ca="1">_xludf.GAMMA.INV(T705,'04_PSA_INPUTS'!H7,'04_PSA_INPUTS'!I7)</f>
        <v>#NAME?</v>
      </c>
      <c r="E705" s="27" t="e">
        <f ca="1">_xludf.GAMMA.INV(U705,'04_PSA_INPUTS'!H8,'04_PSA_INPUTS'!I8)</f>
        <v>#NAME?</v>
      </c>
      <c r="F705" s="27" t="e">
        <f ca="1">_xludf.GAMMA.INV(V705,'04_PSA_INPUTS'!H9,'04_PSA_INPUTS'!I9)</f>
        <v>#NAME?</v>
      </c>
      <c r="G705" s="23" t="e">
        <f ca="1">_xludf.BETA.INV(W705,'04_PSA_INPUTS'!H10,'04_PSA_INPUTS'!I10)</f>
        <v>#NAME?</v>
      </c>
      <c r="H705" s="23" t="e">
        <f ca="1">_xludf.BETA.INV(X705,'04_PSA_INPUTS'!H11,'04_PSA_INPUTS'!I11)</f>
        <v>#NAME?</v>
      </c>
      <c r="I705" s="27" t="e">
        <f ca="1">D705+B705*F705+'01_INPUTS'!B20</f>
        <v>#NAME?</v>
      </c>
      <c r="J705" s="27" t="e">
        <f ca="1">E705+C705*F705+'01_INPUTS'!B21</f>
        <v>#NAME?</v>
      </c>
      <c r="K705" s="27" t="e">
        <f t="shared" ca="1" si="60"/>
        <v>#NAME?</v>
      </c>
      <c r="L705" s="23" t="e">
        <f t="shared" ca="1" si="61"/>
        <v>#NAME?</v>
      </c>
      <c r="M705" s="23" t="e">
        <f t="shared" ca="1" si="62"/>
        <v>#NAME?</v>
      </c>
      <c r="N705" s="23" t="e">
        <f t="shared" ca="1" si="63"/>
        <v>#NAME?</v>
      </c>
      <c r="O705" s="27" t="e">
        <f t="shared" ca="1" si="64"/>
        <v>#NAME?</v>
      </c>
      <c r="P705" s="27" t="e">
        <f ca="1">'01_INPUTS'!B9*N705-K705</f>
        <v>#NAME?</v>
      </c>
      <c r="Q705" s="1" t="e">
        <f t="shared" ca="1" si="65"/>
        <v>#NAME?</v>
      </c>
      <c r="R705" s="28">
        <v>0.88601235277019441</v>
      </c>
      <c r="S705" s="28">
        <v>0.70874205348081887</v>
      </c>
      <c r="T705" s="28">
        <v>0.84537892718799412</v>
      </c>
      <c r="U705" s="28">
        <v>0.9007208738476038</v>
      </c>
      <c r="V705" s="28">
        <v>0.49926495924592018</v>
      </c>
      <c r="W705" s="28">
        <v>0.1738663415890187</v>
      </c>
      <c r="X705" s="28">
        <v>0.87310051498934627</v>
      </c>
    </row>
    <row r="706" spans="1:24" ht="13.9">
      <c r="A706" s="1">
        <v>705</v>
      </c>
      <c r="B706" s="23" t="e">
        <f ca="1">_xludf.BETA.INV(R706,'04_PSA_INPUTS'!H5,'04_PSA_INPUTS'!I5)</f>
        <v>#NAME?</v>
      </c>
      <c r="C706" s="23" t="e">
        <f ca="1">_xludf.BETA.INV(S706,'04_PSA_INPUTS'!H6,'04_PSA_INPUTS'!I6)</f>
        <v>#NAME?</v>
      </c>
      <c r="D706" s="27" t="e">
        <f ca="1">_xludf.GAMMA.INV(T706,'04_PSA_INPUTS'!H7,'04_PSA_INPUTS'!I7)</f>
        <v>#NAME?</v>
      </c>
      <c r="E706" s="27" t="e">
        <f ca="1">_xludf.GAMMA.INV(U706,'04_PSA_INPUTS'!H8,'04_PSA_INPUTS'!I8)</f>
        <v>#NAME?</v>
      </c>
      <c r="F706" s="27" t="e">
        <f ca="1">_xludf.GAMMA.INV(V706,'04_PSA_INPUTS'!H9,'04_PSA_INPUTS'!I9)</f>
        <v>#NAME?</v>
      </c>
      <c r="G706" s="23" t="e">
        <f ca="1">_xludf.BETA.INV(W706,'04_PSA_INPUTS'!H10,'04_PSA_INPUTS'!I10)</f>
        <v>#NAME?</v>
      </c>
      <c r="H706" s="23" t="e">
        <f ca="1">_xludf.BETA.INV(X706,'04_PSA_INPUTS'!H11,'04_PSA_INPUTS'!I11)</f>
        <v>#NAME?</v>
      </c>
      <c r="I706" s="27" t="e">
        <f ca="1">D706+B706*F706+'01_INPUTS'!B20</f>
        <v>#NAME?</v>
      </c>
      <c r="J706" s="27" t="e">
        <f ca="1">E706+C706*F706+'01_INPUTS'!B21</f>
        <v>#NAME?</v>
      </c>
      <c r="K706" s="27" t="e">
        <f t="shared" ref="K706:K769" ca="1" si="66">I706-J706</f>
        <v>#NAME?</v>
      </c>
      <c r="L706" s="23" t="e">
        <f t="shared" ref="L706:L769" ca="1" si="67">G706-B706*H706</f>
        <v>#NAME?</v>
      </c>
      <c r="M706" s="23" t="e">
        <f t="shared" ref="M706:M769" ca="1" si="68">G706-C706*H706</f>
        <v>#NAME?</v>
      </c>
      <c r="N706" s="23" t="e">
        <f t="shared" ref="N706:N769" ca="1" si="69">L706-M706</f>
        <v>#NAME?</v>
      </c>
      <c r="O706" s="27" t="e">
        <f t="shared" ref="O706:O769" ca="1" si="70">IF(N706=0,"",K706/N706)</f>
        <v>#NAME?</v>
      </c>
      <c r="P706" s="27" t="e">
        <f ca="1">'01_INPUTS'!B9*N706-K706</f>
        <v>#NAME?</v>
      </c>
      <c r="Q706" s="1" t="e">
        <f t="shared" ref="Q706:Q769" ca="1" si="71">IF(P706&gt;0,1,0)</f>
        <v>#NAME?</v>
      </c>
      <c r="R706" s="28">
        <v>0.5674862873274833</v>
      </c>
      <c r="S706" s="28">
        <v>0.8831559622194618</v>
      </c>
      <c r="T706" s="28">
        <v>5.1055510994046926E-3</v>
      </c>
      <c r="U706" s="28">
        <v>0.5578958080150187</v>
      </c>
      <c r="V706" s="28">
        <v>0.43021191493608057</v>
      </c>
      <c r="W706" s="28">
        <v>0.55864721769466996</v>
      </c>
      <c r="X706" s="28">
        <v>0.22752426052466035</v>
      </c>
    </row>
    <row r="707" spans="1:24" ht="13.9">
      <c r="A707" s="1">
        <v>706</v>
      </c>
      <c r="B707" s="23" t="e">
        <f ca="1">_xludf.BETA.INV(R707,'04_PSA_INPUTS'!H5,'04_PSA_INPUTS'!I5)</f>
        <v>#NAME?</v>
      </c>
      <c r="C707" s="23" t="e">
        <f ca="1">_xludf.BETA.INV(S707,'04_PSA_INPUTS'!H6,'04_PSA_INPUTS'!I6)</f>
        <v>#NAME?</v>
      </c>
      <c r="D707" s="27" t="e">
        <f ca="1">_xludf.GAMMA.INV(T707,'04_PSA_INPUTS'!H7,'04_PSA_INPUTS'!I7)</f>
        <v>#NAME?</v>
      </c>
      <c r="E707" s="27" t="e">
        <f ca="1">_xludf.GAMMA.INV(U707,'04_PSA_INPUTS'!H8,'04_PSA_INPUTS'!I8)</f>
        <v>#NAME?</v>
      </c>
      <c r="F707" s="27" t="e">
        <f ca="1">_xludf.GAMMA.INV(V707,'04_PSA_INPUTS'!H9,'04_PSA_INPUTS'!I9)</f>
        <v>#NAME?</v>
      </c>
      <c r="G707" s="23" t="e">
        <f ca="1">_xludf.BETA.INV(W707,'04_PSA_INPUTS'!H10,'04_PSA_INPUTS'!I10)</f>
        <v>#NAME?</v>
      </c>
      <c r="H707" s="23" t="e">
        <f ca="1">_xludf.BETA.INV(X707,'04_PSA_INPUTS'!H11,'04_PSA_INPUTS'!I11)</f>
        <v>#NAME?</v>
      </c>
      <c r="I707" s="27" t="e">
        <f ca="1">D707+B707*F707+'01_INPUTS'!B20</f>
        <v>#NAME?</v>
      </c>
      <c r="J707" s="27" t="e">
        <f ca="1">E707+C707*F707+'01_INPUTS'!B21</f>
        <v>#NAME?</v>
      </c>
      <c r="K707" s="27" t="e">
        <f t="shared" ca="1" si="66"/>
        <v>#NAME?</v>
      </c>
      <c r="L707" s="23" t="e">
        <f t="shared" ca="1" si="67"/>
        <v>#NAME?</v>
      </c>
      <c r="M707" s="23" t="e">
        <f t="shared" ca="1" si="68"/>
        <v>#NAME?</v>
      </c>
      <c r="N707" s="23" t="e">
        <f t="shared" ca="1" si="69"/>
        <v>#NAME?</v>
      </c>
      <c r="O707" s="27" t="e">
        <f t="shared" ca="1" si="70"/>
        <v>#NAME?</v>
      </c>
      <c r="P707" s="27" t="e">
        <f ca="1">'01_INPUTS'!B9*N707-K707</f>
        <v>#NAME?</v>
      </c>
      <c r="Q707" s="1" t="e">
        <f t="shared" ca="1" si="71"/>
        <v>#NAME?</v>
      </c>
      <c r="R707" s="28">
        <v>0.84058994427323341</v>
      </c>
      <c r="S707" s="28">
        <v>0.96224509552121162</v>
      </c>
      <c r="T707" s="28">
        <v>0.26130743813700974</v>
      </c>
      <c r="U707" s="28">
        <v>0.42196979490108788</v>
      </c>
      <c r="V707" s="28">
        <v>0.1442891878541559</v>
      </c>
      <c r="W707" s="28">
        <v>0.61927683837711811</v>
      </c>
      <c r="X707" s="28">
        <v>0.43363817967474461</v>
      </c>
    </row>
    <row r="708" spans="1:24" ht="13.9">
      <c r="A708" s="1">
        <v>707</v>
      </c>
      <c r="B708" s="23" t="e">
        <f ca="1">_xludf.BETA.INV(R708,'04_PSA_INPUTS'!H5,'04_PSA_INPUTS'!I5)</f>
        <v>#NAME?</v>
      </c>
      <c r="C708" s="23" t="e">
        <f ca="1">_xludf.BETA.INV(S708,'04_PSA_INPUTS'!H6,'04_PSA_INPUTS'!I6)</f>
        <v>#NAME?</v>
      </c>
      <c r="D708" s="27" t="e">
        <f ca="1">_xludf.GAMMA.INV(T708,'04_PSA_INPUTS'!H7,'04_PSA_INPUTS'!I7)</f>
        <v>#NAME?</v>
      </c>
      <c r="E708" s="27" t="e">
        <f ca="1">_xludf.GAMMA.INV(U708,'04_PSA_INPUTS'!H8,'04_PSA_INPUTS'!I8)</f>
        <v>#NAME?</v>
      </c>
      <c r="F708" s="27" t="e">
        <f ca="1">_xludf.GAMMA.INV(V708,'04_PSA_INPUTS'!H9,'04_PSA_INPUTS'!I9)</f>
        <v>#NAME?</v>
      </c>
      <c r="G708" s="23" t="e">
        <f ca="1">_xludf.BETA.INV(W708,'04_PSA_INPUTS'!H10,'04_PSA_INPUTS'!I10)</f>
        <v>#NAME?</v>
      </c>
      <c r="H708" s="23" t="e">
        <f ca="1">_xludf.BETA.INV(X708,'04_PSA_INPUTS'!H11,'04_PSA_INPUTS'!I11)</f>
        <v>#NAME?</v>
      </c>
      <c r="I708" s="27" t="e">
        <f ca="1">D708+B708*F708+'01_INPUTS'!B20</f>
        <v>#NAME?</v>
      </c>
      <c r="J708" s="27" t="e">
        <f ca="1">E708+C708*F708+'01_INPUTS'!B21</f>
        <v>#NAME?</v>
      </c>
      <c r="K708" s="27" t="e">
        <f t="shared" ca="1" si="66"/>
        <v>#NAME?</v>
      </c>
      <c r="L708" s="23" t="e">
        <f t="shared" ca="1" si="67"/>
        <v>#NAME?</v>
      </c>
      <c r="M708" s="23" t="e">
        <f t="shared" ca="1" si="68"/>
        <v>#NAME?</v>
      </c>
      <c r="N708" s="23" t="e">
        <f t="shared" ca="1" si="69"/>
        <v>#NAME?</v>
      </c>
      <c r="O708" s="27" t="e">
        <f t="shared" ca="1" si="70"/>
        <v>#NAME?</v>
      </c>
      <c r="P708" s="27" t="e">
        <f ca="1">'01_INPUTS'!B9*N708-K708</f>
        <v>#NAME?</v>
      </c>
      <c r="Q708" s="1" t="e">
        <f t="shared" ca="1" si="71"/>
        <v>#NAME?</v>
      </c>
      <c r="R708" s="28">
        <v>3.4788835560902953E-2</v>
      </c>
      <c r="S708" s="28">
        <v>0.87308149016462266</v>
      </c>
      <c r="T708" s="28">
        <v>0.41236366797238588</v>
      </c>
      <c r="U708" s="28">
        <v>0.52988183707930148</v>
      </c>
      <c r="V708" s="28">
        <v>0.13536396343261003</v>
      </c>
      <c r="W708" s="28">
        <v>2.1197266178205609E-2</v>
      </c>
      <c r="X708" s="28">
        <v>0.99863100796937943</v>
      </c>
    </row>
    <row r="709" spans="1:24" ht="13.9">
      <c r="A709" s="1">
        <v>708</v>
      </c>
      <c r="B709" s="23" t="e">
        <f ca="1">_xludf.BETA.INV(R709,'04_PSA_INPUTS'!H5,'04_PSA_INPUTS'!I5)</f>
        <v>#NAME?</v>
      </c>
      <c r="C709" s="23" t="e">
        <f ca="1">_xludf.BETA.INV(S709,'04_PSA_INPUTS'!H6,'04_PSA_INPUTS'!I6)</f>
        <v>#NAME?</v>
      </c>
      <c r="D709" s="27" t="e">
        <f ca="1">_xludf.GAMMA.INV(T709,'04_PSA_INPUTS'!H7,'04_PSA_INPUTS'!I7)</f>
        <v>#NAME?</v>
      </c>
      <c r="E709" s="27" t="e">
        <f ca="1">_xludf.GAMMA.INV(U709,'04_PSA_INPUTS'!H8,'04_PSA_INPUTS'!I8)</f>
        <v>#NAME?</v>
      </c>
      <c r="F709" s="27" t="e">
        <f ca="1">_xludf.GAMMA.INV(V709,'04_PSA_INPUTS'!H9,'04_PSA_INPUTS'!I9)</f>
        <v>#NAME?</v>
      </c>
      <c r="G709" s="23" t="e">
        <f ca="1">_xludf.BETA.INV(W709,'04_PSA_INPUTS'!H10,'04_PSA_INPUTS'!I10)</f>
        <v>#NAME?</v>
      </c>
      <c r="H709" s="23" t="e">
        <f ca="1">_xludf.BETA.INV(X709,'04_PSA_INPUTS'!H11,'04_PSA_INPUTS'!I11)</f>
        <v>#NAME?</v>
      </c>
      <c r="I709" s="27" t="e">
        <f ca="1">D709+B709*F709+'01_INPUTS'!B20</f>
        <v>#NAME?</v>
      </c>
      <c r="J709" s="27" t="e">
        <f ca="1">E709+C709*F709+'01_INPUTS'!B21</f>
        <v>#NAME?</v>
      </c>
      <c r="K709" s="27" t="e">
        <f t="shared" ca="1" si="66"/>
        <v>#NAME?</v>
      </c>
      <c r="L709" s="23" t="e">
        <f t="shared" ca="1" si="67"/>
        <v>#NAME?</v>
      </c>
      <c r="M709" s="23" t="e">
        <f t="shared" ca="1" si="68"/>
        <v>#NAME?</v>
      </c>
      <c r="N709" s="23" t="e">
        <f t="shared" ca="1" si="69"/>
        <v>#NAME?</v>
      </c>
      <c r="O709" s="27" t="e">
        <f t="shared" ca="1" si="70"/>
        <v>#NAME?</v>
      </c>
      <c r="P709" s="27" t="e">
        <f ca="1">'01_INPUTS'!B9*N709-K709</f>
        <v>#NAME?</v>
      </c>
      <c r="Q709" s="1" t="e">
        <f t="shared" ca="1" si="71"/>
        <v>#NAME?</v>
      </c>
      <c r="R709" s="28">
        <v>0.76417894195765257</v>
      </c>
      <c r="S709" s="28">
        <v>0.11787237203679979</v>
      </c>
      <c r="T709" s="28">
        <v>0.29601957532577217</v>
      </c>
      <c r="U709" s="28">
        <v>0.71630290802568197</v>
      </c>
      <c r="V709" s="28">
        <v>0.57363075227476656</v>
      </c>
      <c r="W709" s="28">
        <v>0.18552041426301003</v>
      </c>
      <c r="X709" s="28">
        <v>0.18527340423315763</v>
      </c>
    </row>
    <row r="710" spans="1:24" ht="13.9">
      <c r="A710" s="1">
        <v>709</v>
      </c>
      <c r="B710" s="23" t="e">
        <f ca="1">_xludf.BETA.INV(R710,'04_PSA_INPUTS'!H5,'04_PSA_INPUTS'!I5)</f>
        <v>#NAME?</v>
      </c>
      <c r="C710" s="23" t="e">
        <f ca="1">_xludf.BETA.INV(S710,'04_PSA_INPUTS'!H6,'04_PSA_INPUTS'!I6)</f>
        <v>#NAME?</v>
      </c>
      <c r="D710" s="27" t="e">
        <f ca="1">_xludf.GAMMA.INV(T710,'04_PSA_INPUTS'!H7,'04_PSA_INPUTS'!I7)</f>
        <v>#NAME?</v>
      </c>
      <c r="E710" s="27" t="e">
        <f ca="1">_xludf.GAMMA.INV(U710,'04_PSA_INPUTS'!H8,'04_PSA_INPUTS'!I8)</f>
        <v>#NAME?</v>
      </c>
      <c r="F710" s="27" t="e">
        <f ca="1">_xludf.GAMMA.INV(V710,'04_PSA_INPUTS'!H9,'04_PSA_INPUTS'!I9)</f>
        <v>#NAME?</v>
      </c>
      <c r="G710" s="23" t="e">
        <f ca="1">_xludf.BETA.INV(W710,'04_PSA_INPUTS'!H10,'04_PSA_INPUTS'!I10)</f>
        <v>#NAME?</v>
      </c>
      <c r="H710" s="23" t="e">
        <f ca="1">_xludf.BETA.INV(X710,'04_PSA_INPUTS'!H11,'04_PSA_INPUTS'!I11)</f>
        <v>#NAME?</v>
      </c>
      <c r="I710" s="27" t="e">
        <f ca="1">D710+B710*F710+'01_INPUTS'!B20</f>
        <v>#NAME?</v>
      </c>
      <c r="J710" s="27" t="e">
        <f ca="1">E710+C710*F710+'01_INPUTS'!B21</f>
        <v>#NAME?</v>
      </c>
      <c r="K710" s="27" t="e">
        <f t="shared" ca="1" si="66"/>
        <v>#NAME?</v>
      </c>
      <c r="L710" s="23" t="e">
        <f t="shared" ca="1" si="67"/>
        <v>#NAME?</v>
      </c>
      <c r="M710" s="23" t="e">
        <f t="shared" ca="1" si="68"/>
        <v>#NAME?</v>
      </c>
      <c r="N710" s="23" t="e">
        <f t="shared" ca="1" si="69"/>
        <v>#NAME?</v>
      </c>
      <c r="O710" s="27" t="e">
        <f t="shared" ca="1" si="70"/>
        <v>#NAME?</v>
      </c>
      <c r="P710" s="27" t="e">
        <f ca="1">'01_INPUTS'!B9*N710-K710</f>
        <v>#NAME?</v>
      </c>
      <c r="Q710" s="1" t="e">
        <f t="shared" ca="1" si="71"/>
        <v>#NAME?</v>
      </c>
      <c r="R710" s="28">
        <v>0.72756360261701047</v>
      </c>
      <c r="S710" s="28">
        <v>0.11781407170929015</v>
      </c>
      <c r="T710" s="28">
        <v>0.66294840117916465</v>
      </c>
      <c r="U710" s="28">
        <v>9.2618603492155671E-2</v>
      </c>
      <c r="V710" s="28">
        <v>0.31159522454254329</v>
      </c>
      <c r="W710" s="28">
        <v>0.26996734971180558</v>
      </c>
      <c r="X710" s="28">
        <v>0.2054229190107435</v>
      </c>
    </row>
    <row r="711" spans="1:24" ht="13.9">
      <c r="A711" s="1">
        <v>710</v>
      </c>
      <c r="B711" s="23" t="e">
        <f ca="1">_xludf.BETA.INV(R711,'04_PSA_INPUTS'!H5,'04_PSA_INPUTS'!I5)</f>
        <v>#NAME?</v>
      </c>
      <c r="C711" s="23" t="e">
        <f ca="1">_xludf.BETA.INV(S711,'04_PSA_INPUTS'!H6,'04_PSA_INPUTS'!I6)</f>
        <v>#NAME?</v>
      </c>
      <c r="D711" s="27" t="e">
        <f ca="1">_xludf.GAMMA.INV(T711,'04_PSA_INPUTS'!H7,'04_PSA_INPUTS'!I7)</f>
        <v>#NAME?</v>
      </c>
      <c r="E711" s="27" t="e">
        <f ca="1">_xludf.GAMMA.INV(U711,'04_PSA_INPUTS'!H8,'04_PSA_INPUTS'!I8)</f>
        <v>#NAME?</v>
      </c>
      <c r="F711" s="27" t="e">
        <f ca="1">_xludf.GAMMA.INV(V711,'04_PSA_INPUTS'!H9,'04_PSA_INPUTS'!I9)</f>
        <v>#NAME?</v>
      </c>
      <c r="G711" s="23" t="e">
        <f ca="1">_xludf.BETA.INV(W711,'04_PSA_INPUTS'!H10,'04_PSA_INPUTS'!I10)</f>
        <v>#NAME?</v>
      </c>
      <c r="H711" s="23" t="e">
        <f ca="1">_xludf.BETA.INV(X711,'04_PSA_INPUTS'!H11,'04_PSA_INPUTS'!I11)</f>
        <v>#NAME?</v>
      </c>
      <c r="I711" s="27" t="e">
        <f ca="1">D711+B711*F711+'01_INPUTS'!B20</f>
        <v>#NAME?</v>
      </c>
      <c r="J711" s="27" t="e">
        <f ca="1">E711+C711*F711+'01_INPUTS'!B21</f>
        <v>#NAME?</v>
      </c>
      <c r="K711" s="27" t="e">
        <f t="shared" ca="1" si="66"/>
        <v>#NAME?</v>
      </c>
      <c r="L711" s="23" t="e">
        <f t="shared" ca="1" si="67"/>
        <v>#NAME?</v>
      </c>
      <c r="M711" s="23" t="e">
        <f t="shared" ca="1" si="68"/>
        <v>#NAME?</v>
      </c>
      <c r="N711" s="23" t="e">
        <f t="shared" ca="1" si="69"/>
        <v>#NAME?</v>
      </c>
      <c r="O711" s="27" t="e">
        <f t="shared" ca="1" si="70"/>
        <v>#NAME?</v>
      </c>
      <c r="P711" s="27" t="e">
        <f ca="1">'01_INPUTS'!B9*N711-K711</f>
        <v>#NAME?</v>
      </c>
      <c r="Q711" s="1" t="e">
        <f t="shared" ca="1" si="71"/>
        <v>#NAME?</v>
      </c>
      <c r="R711" s="28">
        <v>0.43424574588425457</v>
      </c>
      <c r="S711" s="28">
        <v>0.64599217218346894</v>
      </c>
      <c r="T711" s="28">
        <v>0.53319387510418892</v>
      </c>
      <c r="U711" s="28">
        <v>0.17216280126012862</v>
      </c>
      <c r="V711" s="28">
        <v>0.11371193546801805</v>
      </c>
      <c r="W711" s="28">
        <v>0.79831800283864141</v>
      </c>
      <c r="X711" s="28">
        <v>0.86188928480260074</v>
      </c>
    </row>
    <row r="712" spans="1:24" ht="13.9">
      <c r="A712" s="1">
        <v>711</v>
      </c>
      <c r="B712" s="23" t="e">
        <f ca="1">_xludf.BETA.INV(R712,'04_PSA_INPUTS'!H5,'04_PSA_INPUTS'!I5)</f>
        <v>#NAME?</v>
      </c>
      <c r="C712" s="23" t="e">
        <f ca="1">_xludf.BETA.INV(S712,'04_PSA_INPUTS'!H6,'04_PSA_INPUTS'!I6)</f>
        <v>#NAME?</v>
      </c>
      <c r="D712" s="27" t="e">
        <f ca="1">_xludf.GAMMA.INV(T712,'04_PSA_INPUTS'!H7,'04_PSA_INPUTS'!I7)</f>
        <v>#NAME?</v>
      </c>
      <c r="E712" s="27" t="e">
        <f ca="1">_xludf.GAMMA.INV(U712,'04_PSA_INPUTS'!H8,'04_PSA_INPUTS'!I8)</f>
        <v>#NAME?</v>
      </c>
      <c r="F712" s="27" t="e">
        <f ca="1">_xludf.GAMMA.INV(V712,'04_PSA_INPUTS'!H9,'04_PSA_INPUTS'!I9)</f>
        <v>#NAME?</v>
      </c>
      <c r="G712" s="23" t="e">
        <f ca="1">_xludf.BETA.INV(W712,'04_PSA_INPUTS'!H10,'04_PSA_INPUTS'!I10)</f>
        <v>#NAME?</v>
      </c>
      <c r="H712" s="23" t="e">
        <f ca="1">_xludf.BETA.INV(X712,'04_PSA_INPUTS'!H11,'04_PSA_INPUTS'!I11)</f>
        <v>#NAME?</v>
      </c>
      <c r="I712" s="27" t="e">
        <f ca="1">D712+B712*F712+'01_INPUTS'!B20</f>
        <v>#NAME?</v>
      </c>
      <c r="J712" s="27" t="e">
        <f ca="1">E712+C712*F712+'01_INPUTS'!B21</f>
        <v>#NAME?</v>
      </c>
      <c r="K712" s="27" t="e">
        <f t="shared" ca="1" si="66"/>
        <v>#NAME?</v>
      </c>
      <c r="L712" s="23" t="e">
        <f t="shared" ca="1" si="67"/>
        <v>#NAME?</v>
      </c>
      <c r="M712" s="23" t="e">
        <f t="shared" ca="1" si="68"/>
        <v>#NAME?</v>
      </c>
      <c r="N712" s="23" t="e">
        <f t="shared" ca="1" si="69"/>
        <v>#NAME?</v>
      </c>
      <c r="O712" s="27" t="e">
        <f t="shared" ca="1" si="70"/>
        <v>#NAME?</v>
      </c>
      <c r="P712" s="27" t="e">
        <f ca="1">'01_INPUTS'!B9*N712-K712</f>
        <v>#NAME?</v>
      </c>
      <c r="Q712" s="1" t="e">
        <f t="shared" ca="1" si="71"/>
        <v>#NAME?</v>
      </c>
      <c r="R712" s="28">
        <v>0.73540557338856161</v>
      </c>
      <c r="S712" s="28">
        <v>0.22194673540070653</v>
      </c>
      <c r="T712" s="28">
        <v>0.19355079834349453</v>
      </c>
      <c r="U712" s="28">
        <v>0.26429391512647271</v>
      </c>
      <c r="V712" s="28">
        <v>0.63019786705262959</v>
      </c>
      <c r="W712" s="28">
        <v>0.67321483721025288</v>
      </c>
      <c r="X712" s="28">
        <v>0.60718653886578977</v>
      </c>
    </row>
    <row r="713" spans="1:24" ht="13.9">
      <c r="A713" s="1">
        <v>712</v>
      </c>
      <c r="B713" s="23" t="e">
        <f ca="1">_xludf.BETA.INV(R713,'04_PSA_INPUTS'!H5,'04_PSA_INPUTS'!I5)</f>
        <v>#NAME?</v>
      </c>
      <c r="C713" s="23" t="e">
        <f ca="1">_xludf.BETA.INV(S713,'04_PSA_INPUTS'!H6,'04_PSA_INPUTS'!I6)</f>
        <v>#NAME?</v>
      </c>
      <c r="D713" s="27" t="e">
        <f ca="1">_xludf.GAMMA.INV(T713,'04_PSA_INPUTS'!H7,'04_PSA_INPUTS'!I7)</f>
        <v>#NAME?</v>
      </c>
      <c r="E713" s="27" t="e">
        <f ca="1">_xludf.GAMMA.INV(U713,'04_PSA_INPUTS'!H8,'04_PSA_INPUTS'!I8)</f>
        <v>#NAME?</v>
      </c>
      <c r="F713" s="27" t="e">
        <f ca="1">_xludf.GAMMA.INV(V713,'04_PSA_INPUTS'!H9,'04_PSA_INPUTS'!I9)</f>
        <v>#NAME?</v>
      </c>
      <c r="G713" s="23" t="e">
        <f ca="1">_xludf.BETA.INV(W713,'04_PSA_INPUTS'!H10,'04_PSA_INPUTS'!I10)</f>
        <v>#NAME?</v>
      </c>
      <c r="H713" s="23" t="e">
        <f ca="1">_xludf.BETA.INV(X713,'04_PSA_INPUTS'!H11,'04_PSA_INPUTS'!I11)</f>
        <v>#NAME?</v>
      </c>
      <c r="I713" s="27" t="e">
        <f ca="1">D713+B713*F713+'01_INPUTS'!B20</f>
        <v>#NAME?</v>
      </c>
      <c r="J713" s="27" t="e">
        <f ca="1">E713+C713*F713+'01_INPUTS'!B21</f>
        <v>#NAME?</v>
      </c>
      <c r="K713" s="27" t="e">
        <f t="shared" ca="1" si="66"/>
        <v>#NAME?</v>
      </c>
      <c r="L713" s="23" t="e">
        <f t="shared" ca="1" si="67"/>
        <v>#NAME?</v>
      </c>
      <c r="M713" s="23" t="e">
        <f t="shared" ca="1" si="68"/>
        <v>#NAME?</v>
      </c>
      <c r="N713" s="23" t="e">
        <f t="shared" ca="1" si="69"/>
        <v>#NAME?</v>
      </c>
      <c r="O713" s="27" t="e">
        <f t="shared" ca="1" si="70"/>
        <v>#NAME?</v>
      </c>
      <c r="P713" s="27" t="e">
        <f ca="1">'01_INPUTS'!B9*N713-K713</f>
        <v>#NAME?</v>
      </c>
      <c r="Q713" s="1" t="e">
        <f t="shared" ca="1" si="71"/>
        <v>#NAME?</v>
      </c>
      <c r="R713" s="28">
        <v>0.46854583476670086</v>
      </c>
      <c r="S713" s="28">
        <v>0.80681240488775074</v>
      </c>
      <c r="T713" s="28">
        <v>0.20542906853370368</v>
      </c>
      <c r="U713" s="28">
        <v>0.34451843774877489</v>
      </c>
      <c r="V713" s="28">
        <v>0.63291099714115262</v>
      </c>
      <c r="W713" s="28">
        <v>0.41861600498668849</v>
      </c>
      <c r="X713" s="28">
        <v>0.35162435891106725</v>
      </c>
    </row>
    <row r="714" spans="1:24" ht="13.9">
      <c r="A714" s="1">
        <v>713</v>
      </c>
      <c r="B714" s="23" t="e">
        <f ca="1">_xludf.BETA.INV(R714,'04_PSA_INPUTS'!H5,'04_PSA_INPUTS'!I5)</f>
        <v>#NAME?</v>
      </c>
      <c r="C714" s="23" t="e">
        <f ca="1">_xludf.BETA.INV(S714,'04_PSA_INPUTS'!H6,'04_PSA_INPUTS'!I6)</f>
        <v>#NAME?</v>
      </c>
      <c r="D714" s="27" t="e">
        <f ca="1">_xludf.GAMMA.INV(T714,'04_PSA_INPUTS'!H7,'04_PSA_INPUTS'!I7)</f>
        <v>#NAME?</v>
      </c>
      <c r="E714" s="27" t="e">
        <f ca="1">_xludf.GAMMA.INV(U714,'04_PSA_INPUTS'!H8,'04_PSA_INPUTS'!I8)</f>
        <v>#NAME?</v>
      </c>
      <c r="F714" s="27" t="e">
        <f ca="1">_xludf.GAMMA.INV(V714,'04_PSA_INPUTS'!H9,'04_PSA_INPUTS'!I9)</f>
        <v>#NAME?</v>
      </c>
      <c r="G714" s="23" t="e">
        <f ca="1">_xludf.BETA.INV(W714,'04_PSA_INPUTS'!H10,'04_PSA_INPUTS'!I10)</f>
        <v>#NAME?</v>
      </c>
      <c r="H714" s="23" t="e">
        <f ca="1">_xludf.BETA.INV(X714,'04_PSA_INPUTS'!H11,'04_PSA_INPUTS'!I11)</f>
        <v>#NAME?</v>
      </c>
      <c r="I714" s="27" t="e">
        <f ca="1">D714+B714*F714+'01_INPUTS'!B20</f>
        <v>#NAME?</v>
      </c>
      <c r="J714" s="27" t="e">
        <f ca="1">E714+C714*F714+'01_INPUTS'!B21</f>
        <v>#NAME?</v>
      </c>
      <c r="K714" s="27" t="e">
        <f t="shared" ca="1" si="66"/>
        <v>#NAME?</v>
      </c>
      <c r="L714" s="23" t="e">
        <f t="shared" ca="1" si="67"/>
        <v>#NAME?</v>
      </c>
      <c r="M714" s="23" t="e">
        <f t="shared" ca="1" si="68"/>
        <v>#NAME?</v>
      </c>
      <c r="N714" s="23" t="e">
        <f t="shared" ca="1" si="69"/>
        <v>#NAME?</v>
      </c>
      <c r="O714" s="27" t="e">
        <f t="shared" ca="1" si="70"/>
        <v>#NAME?</v>
      </c>
      <c r="P714" s="27" t="e">
        <f ca="1">'01_INPUTS'!B9*N714-K714</f>
        <v>#NAME?</v>
      </c>
      <c r="Q714" s="1" t="e">
        <f t="shared" ca="1" si="71"/>
        <v>#NAME?</v>
      </c>
      <c r="R714" s="28">
        <v>0.91466466523706913</v>
      </c>
      <c r="S714" s="28">
        <v>0.88033531210385263</v>
      </c>
      <c r="T714" s="28">
        <v>0.95921466802246869</v>
      </c>
      <c r="U714" s="28">
        <v>2.7152736205607653E-2</v>
      </c>
      <c r="V714" s="28">
        <v>0.49477707152254879</v>
      </c>
      <c r="W714" s="28">
        <v>0.68286216934211552</v>
      </c>
      <c r="X714" s="28">
        <v>0.6493529723957181</v>
      </c>
    </row>
    <row r="715" spans="1:24" ht="13.9">
      <c r="A715" s="1">
        <v>714</v>
      </c>
      <c r="B715" s="23" t="e">
        <f ca="1">_xludf.BETA.INV(R715,'04_PSA_INPUTS'!H5,'04_PSA_INPUTS'!I5)</f>
        <v>#NAME?</v>
      </c>
      <c r="C715" s="23" t="e">
        <f ca="1">_xludf.BETA.INV(S715,'04_PSA_INPUTS'!H6,'04_PSA_INPUTS'!I6)</f>
        <v>#NAME?</v>
      </c>
      <c r="D715" s="27" t="e">
        <f ca="1">_xludf.GAMMA.INV(T715,'04_PSA_INPUTS'!H7,'04_PSA_INPUTS'!I7)</f>
        <v>#NAME?</v>
      </c>
      <c r="E715" s="27" t="e">
        <f ca="1">_xludf.GAMMA.INV(U715,'04_PSA_INPUTS'!H8,'04_PSA_INPUTS'!I8)</f>
        <v>#NAME?</v>
      </c>
      <c r="F715" s="27" t="e">
        <f ca="1">_xludf.GAMMA.INV(V715,'04_PSA_INPUTS'!H9,'04_PSA_INPUTS'!I9)</f>
        <v>#NAME?</v>
      </c>
      <c r="G715" s="23" t="e">
        <f ca="1">_xludf.BETA.INV(W715,'04_PSA_INPUTS'!H10,'04_PSA_INPUTS'!I10)</f>
        <v>#NAME?</v>
      </c>
      <c r="H715" s="23" t="e">
        <f ca="1">_xludf.BETA.INV(X715,'04_PSA_INPUTS'!H11,'04_PSA_INPUTS'!I11)</f>
        <v>#NAME?</v>
      </c>
      <c r="I715" s="27" t="e">
        <f ca="1">D715+B715*F715+'01_INPUTS'!B20</f>
        <v>#NAME?</v>
      </c>
      <c r="J715" s="27" t="e">
        <f ca="1">E715+C715*F715+'01_INPUTS'!B21</f>
        <v>#NAME?</v>
      </c>
      <c r="K715" s="27" t="e">
        <f t="shared" ca="1" si="66"/>
        <v>#NAME?</v>
      </c>
      <c r="L715" s="23" t="e">
        <f t="shared" ca="1" si="67"/>
        <v>#NAME?</v>
      </c>
      <c r="M715" s="23" t="e">
        <f t="shared" ca="1" si="68"/>
        <v>#NAME?</v>
      </c>
      <c r="N715" s="23" t="e">
        <f t="shared" ca="1" si="69"/>
        <v>#NAME?</v>
      </c>
      <c r="O715" s="27" t="e">
        <f t="shared" ca="1" si="70"/>
        <v>#NAME?</v>
      </c>
      <c r="P715" s="27" t="e">
        <f ca="1">'01_INPUTS'!B9*N715-K715</f>
        <v>#NAME?</v>
      </c>
      <c r="Q715" s="1" t="e">
        <f t="shared" ca="1" si="71"/>
        <v>#NAME?</v>
      </c>
      <c r="R715" s="28">
        <v>0.41023327480070293</v>
      </c>
      <c r="S715" s="28">
        <v>0.84582677553407848</v>
      </c>
      <c r="T715" s="28">
        <v>0.19868763792328537</v>
      </c>
      <c r="U715" s="28">
        <v>0.28836266230791807</v>
      </c>
      <c r="V715" s="28">
        <v>0.20244270679540932</v>
      </c>
      <c r="W715" s="28">
        <v>3.4445852506905794E-2</v>
      </c>
      <c r="X715" s="28">
        <v>0.81305450526997447</v>
      </c>
    </row>
    <row r="716" spans="1:24" ht="13.9">
      <c r="A716" s="1">
        <v>715</v>
      </c>
      <c r="B716" s="23" t="e">
        <f ca="1">_xludf.BETA.INV(R716,'04_PSA_INPUTS'!H5,'04_PSA_INPUTS'!I5)</f>
        <v>#NAME?</v>
      </c>
      <c r="C716" s="23" t="e">
        <f ca="1">_xludf.BETA.INV(S716,'04_PSA_INPUTS'!H6,'04_PSA_INPUTS'!I6)</f>
        <v>#NAME?</v>
      </c>
      <c r="D716" s="27" t="e">
        <f ca="1">_xludf.GAMMA.INV(T716,'04_PSA_INPUTS'!H7,'04_PSA_INPUTS'!I7)</f>
        <v>#NAME?</v>
      </c>
      <c r="E716" s="27" t="e">
        <f ca="1">_xludf.GAMMA.INV(U716,'04_PSA_INPUTS'!H8,'04_PSA_INPUTS'!I8)</f>
        <v>#NAME?</v>
      </c>
      <c r="F716" s="27" t="e">
        <f ca="1">_xludf.GAMMA.INV(V716,'04_PSA_INPUTS'!H9,'04_PSA_INPUTS'!I9)</f>
        <v>#NAME?</v>
      </c>
      <c r="G716" s="23" t="e">
        <f ca="1">_xludf.BETA.INV(W716,'04_PSA_INPUTS'!H10,'04_PSA_INPUTS'!I10)</f>
        <v>#NAME?</v>
      </c>
      <c r="H716" s="23" t="e">
        <f ca="1">_xludf.BETA.INV(X716,'04_PSA_INPUTS'!H11,'04_PSA_INPUTS'!I11)</f>
        <v>#NAME?</v>
      </c>
      <c r="I716" s="27" t="e">
        <f ca="1">D716+B716*F716+'01_INPUTS'!B20</f>
        <v>#NAME?</v>
      </c>
      <c r="J716" s="27" t="e">
        <f ca="1">E716+C716*F716+'01_INPUTS'!B21</f>
        <v>#NAME?</v>
      </c>
      <c r="K716" s="27" t="e">
        <f t="shared" ca="1" si="66"/>
        <v>#NAME?</v>
      </c>
      <c r="L716" s="23" t="e">
        <f t="shared" ca="1" si="67"/>
        <v>#NAME?</v>
      </c>
      <c r="M716" s="23" t="e">
        <f t="shared" ca="1" si="68"/>
        <v>#NAME?</v>
      </c>
      <c r="N716" s="23" t="e">
        <f t="shared" ca="1" si="69"/>
        <v>#NAME?</v>
      </c>
      <c r="O716" s="27" t="e">
        <f t="shared" ca="1" si="70"/>
        <v>#NAME?</v>
      </c>
      <c r="P716" s="27" t="e">
        <f ca="1">'01_INPUTS'!B9*N716-K716</f>
        <v>#NAME?</v>
      </c>
      <c r="Q716" s="1" t="e">
        <f t="shared" ca="1" si="71"/>
        <v>#NAME?</v>
      </c>
      <c r="R716" s="28">
        <v>0.2827645163051784</v>
      </c>
      <c r="S716" s="28">
        <v>0.97550478158518672</v>
      </c>
      <c r="T716" s="28">
        <v>0.93381333746947348</v>
      </c>
      <c r="U716" s="28">
        <v>0.74181725434027612</v>
      </c>
      <c r="V716" s="28">
        <v>0.58087165816687047</v>
      </c>
      <c r="W716" s="28">
        <v>0.20889851683750749</v>
      </c>
      <c r="X716" s="28">
        <v>0.79987776884809136</v>
      </c>
    </row>
    <row r="717" spans="1:24" ht="13.9">
      <c r="A717" s="1">
        <v>716</v>
      </c>
      <c r="B717" s="23" t="e">
        <f ca="1">_xludf.BETA.INV(R717,'04_PSA_INPUTS'!H5,'04_PSA_INPUTS'!I5)</f>
        <v>#NAME?</v>
      </c>
      <c r="C717" s="23" t="e">
        <f ca="1">_xludf.BETA.INV(S717,'04_PSA_INPUTS'!H6,'04_PSA_INPUTS'!I6)</f>
        <v>#NAME?</v>
      </c>
      <c r="D717" s="27" t="e">
        <f ca="1">_xludf.GAMMA.INV(T717,'04_PSA_INPUTS'!H7,'04_PSA_INPUTS'!I7)</f>
        <v>#NAME?</v>
      </c>
      <c r="E717" s="27" t="e">
        <f ca="1">_xludf.GAMMA.INV(U717,'04_PSA_INPUTS'!H8,'04_PSA_INPUTS'!I8)</f>
        <v>#NAME?</v>
      </c>
      <c r="F717" s="27" t="e">
        <f ca="1">_xludf.GAMMA.INV(V717,'04_PSA_INPUTS'!H9,'04_PSA_INPUTS'!I9)</f>
        <v>#NAME?</v>
      </c>
      <c r="G717" s="23" t="e">
        <f ca="1">_xludf.BETA.INV(W717,'04_PSA_INPUTS'!H10,'04_PSA_INPUTS'!I10)</f>
        <v>#NAME?</v>
      </c>
      <c r="H717" s="23" t="e">
        <f ca="1">_xludf.BETA.INV(X717,'04_PSA_INPUTS'!H11,'04_PSA_INPUTS'!I11)</f>
        <v>#NAME?</v>
      </c>
      <c r="I717" s="27" t="e">
        <f ca="1">D717+B717*F717+'01_INPUTS'!B20</f>
        <v>#NAME?</v>
      </c>
      <c r="J717" s="27" t="e">
        <f ca="1">E717+C717*F717+'01_INPUTS'!B21</f>
        <v>#NAME?</v>
      </c>
      <c r="K717" s="27" t="e">
        <f t="shared" ca="1" si="66"/>
        <v>#NAME?</v>
      </c>
      <c r="L717" s="23" t="e">
        <f t="shared" ca="1" si="67"/>
        <v>#NAME?</v>
      </c>
      <c r="M717" s="23" t="e">
        <f t="shared" ca="1" si="68"/>
        <v>#NAME?</v>
      </c>
      <c r="N717" s="23" t="e">
        <f t="shared" ca="1" si="69"/>
        <v>#NAME?</v>
      </c>
      <c r="O717" s="27" t="e">
        <f t="shared" ca="1" si="70"/>
        <v>#NAME?</v>
      </c>
      <c r="P717" s="27" t="e">
        <f ca="1">'01_INPUTS'!B9*N717-K717</f>
        <v>#NAME?</v>
      </c>
      <c r="Q717" s="1" t="e">
        <f t="shared" ca="1" si="71"/>
        <v>#NAME?</v>
      </c>
      <c r="R717" s="28">
        <v>0.10490334476344287</v>
      </c>
      <c r="S717" s="28">
        <v>2.8413665248081088E-2</v>
      </c>
      <c r="T717" s="28">
        <v>0.52718950994312763</v>
      </c>
      <c r="U717" s="28">
        <v>0.31302764685824513</v>
      </c>
      <c r="V717" s="28">
        <v>0.18210607953369617</v>
      </c>
      <c r="W717" s="28">
        <v>0.49496992281638086</v>
      </c>
      <c r="X717" s="28">
        <v>0.62143308622762561</v>
      </c>
    </row>
    <row r="718" spans="1:24" ht="13.9">
      <c r="A718" s="1">
        <v>717</v>
      </c>
      <c r="B718" s="23" t="e">
        <f ca="1">_xludf.BETA.INV(R718,'04_PSA_INPUTS'!H5,'04_PSA_INPUTS'!I5)</f>
        <v>#NAME?</v>
      </c>
      <c r="C718" s="23" t="e">
        <f ca="1">_xludf.BETA.INV(S718,'04_PSA_INPUTS'!H6,'04_PSA_INPUTS'!I6)</f>
        <v>#NAME?</v>
      </c>
      <c r="D718" s="27" t="e">
        <f ca="1">_xludf.GAMMA.INV(T718,'04_PSA_INPUTS'!H7,'04_PSA_INPUTS'!I7)</f>
        <v>#NAME?</v>
      </c>
      <c r="E718" s="27" t="e">
        <f ca="1">_xludf.GAMMA.INV(U718,'04_PSA_INPUTS'!H8,'04_PSA_INPUTS'!I8)</f>
        <v>#NAME?</v>
      </c>
      <c r="F718" s="27" t="e">
        <f ca="1">_xludf.GAMMA.INV(V718,'04_PSA_INPUTS'!H9,'04_PSA_INPUTS'!I9)</f>
        <v>#NAME?</v>
      </c>
      <c r="G718" s="23" t="e">
        <f ca="1">_xludf.BETA.INV(W718,'04_PSA_INPUTS'!H10,'04_PSA_INPUTS'!I10)</f>
        <v>#NAME?</v>
      </c>
      <c r="H718" s="23" t="e">
        <f ca="1">_xludf.BETA.INV(X718,'04_PSA_INPUTS'!H11,'04_PSA_INPUTS'!I11)</f>
        <v>#NAME?</v>
      </c>
      <c r="I718" s="27" t="e">
        <f ca="1">D718+B718*F718+'01_INPUTS'!B20</f>
        <v>#NAME?</v>
      </c>
      <c r="J718" s="27" t="e">
        <f ca="1">E718+C718*F718+'01_INPUTS'!B21</f>
        <v>#NAME?</v>
      </c>
      <c r="K718" s="27" t="e">
        <f t="shared" ca="1" si="66"/>
        <v>#NAME?</v>
      </c>
      <c r="L718" s="23" t="e">
        <f t="shared" ca="1" si="67"/>
        <v>#NAME?</v>
      </c>
      <c r="M718" s="23" t="e">
        <f t="shared" ca="1" si="68"/>
        <v>#NAME?</v>
      </c>
      <c r="N718" s="23" t="e">
        <f t="shared" ca="1" si="69"/>
        <v>#NAME?</v>
      </c>
      <c r="O718" s="27" t="e">
        <f t="shared" ca="1" si="70"/>
        <v>#NAME?</v>
      </c>
      <c r="P718" s="27" t="e">
        <f ca="1">'01_INPUTS'!B9*N718-K718</f>
        <v>#NAME?</v>
      </c>
      <c r="Q718" s="1" t="e">
        <f t="shared" ca="1" si="71"/>
        <v>#NAME?</v>
      </c>
      <c r="R718" s="28">
        <v>0.71139085199683905</v>
      </c>
      <c r="S718" s="28">
        <v>0.74049327685497701</v>
      </c>
      <c r="T718" s="28">
        <v>1.4831439359113574E-2</v>
      </c>
      <c r="U718" s="28">
        <v>0.12000152259133756</v>
      </c>
      <c r="V718" s="28">
        <v>0.47423825296573341</v>
      </c>
      <c r="W718" s="28">
        <v>0.63783205999061465</v>
      </c>
      <c r="X718" s="28">
        <v>0.40929927583783865</v>
      </c>
    </row>
    <row r="719" spans="1:24" ht="13.9">
      <c r="A719" s="1">
        <v>718</v>
      </c>
      <c r="B719" s="23" t="e">
        <f ca="1">_xludf.BETA.INV(R719,'04_PSA_INPUTS'!H5,'04_PSA_INPUTS'!I5)</f>
        <v>#NAME?</v>
      </c>
      <c r="C719" s="23" t="e">
        <f ca="1">_xludf.BETA.INV(S719,'04_PSA_INPUTS'!H6,'04_PSA_INPUTS'!I6)</f>
        <v>#NAME?</v>
      </c>
      <c r="D719" s="27" t="e">
        <f ca="1">_xludf.GAMMA.INV(T719,'04_PSA_INPUTS'!H7,'04_PSA_INPUTS'!I7)</f>
        <v>#NAME?</v>
      </c>
      <c r="E719" s="27" t="e">
        <f ca="1">_xludf.GAMMA.INV(U719,'04_PSA_INPUTS'!H8,'04_PSA_INPUTS'!I8)</f>
        <v>#NAME?</v>
      </c>
      <c r="F719" s="27" t="e">
        <f ca="1">_xludf.GAMMA.INV(V719,'04_PSA_INPUTS'!H9,'04_PSA_INPUTS'!I9)</f>
        <v>#NAME?</v>
      </c>
      <c r="G719" s="23" t="e">
        <f ca="1">_xludf.BETA.INV(W719,'04_PSA_INPUTS'!H10,'04_PSA_INPUTS'!I10)</f>
        <v>#NAME?</v>
      </c>
      <c r="H719" s="23" t="e">
        <f ca="1">_xludf.BETA.INV(X719,'04_PSA_INPUTS'!H11,'04_PSA_INPUTS'!I11)</f>
        <v>#NAME?</v>
      </c>
      <c r="I719" s="27" t="e">
        <f ca="1">D719+B719*F719+'01_INPUTS'!B20</f>
        <v>#NAME?</v>
      </c>
      <c r="J719" s="27" t="e">
        <f ca="1">E719+C719*F719+'01_INPUTS'!B21</f>
        <v>#NAME?</v>
      </c>
      <c r="K719" s="27" t="e">
        <f t="shared" ca="1" si="66"/>
        <v>#NAME?</v>
      </c>
      <c r="L719" s="23" t="e">
        <f t="shared" ca="1" si="67"/>
        <v>#NAME?</v>
      </c>
      <c r="M719" s="23" t="e">
        <f t="shared" ca="1" si="68"/>
        <v>#NAME?</v>
      </c>
      <c r="N719" s="23" t="e">
        <f t="shared" ca="1" si="69"/>
        <v>#NAME?</v>
      </c>
      <c r="O719" s="27" t="e">
        <f t="shared" ca="1" si="70"/>
        <v>#NAME?</v>
      </c>
      <c r="P719" s="27" t="e">
        <f ca="1">'01_INPUTS'!B9*N719-K719</f>
        <v>#NAME?</v>
      </c>
      <c r="Q719" s="1" t="e">
        <f t="shared" ca="1" si="71"/>
        <v>#NAME?</v>
      </c>
      <c r="R719" s="28">
        <v>0.67495387652888894</v>
      </c>
      <c r="S719" s="28">
        <v>0.65241235122084618</v>
      </c>
      <c r="T719" s="28">
        <v>0.32985297380946577</v>
      </c>
      <c r="U719" s="28">
        <v>0.21490112319588661</v>
      </c>
      <c r="V719" s="28">
        <v>0.22049101069569588</v>
      </c>
      <c r="W719" s="28">
        <v>0.49416741053573787</v>
      </c>
      <c r="X719" s="28">
        <v>3.5692474339157343E-3</v>
      </c>
    </row>
    <row r="720" spans="1:24" ht="13.9">
      <c r="A720" s="1">
        <v>719</v>
      </c>
      <c r="B720" s="23" t="e">
        <f ca="1">_xludf.BETA.INV(R720,'04_PSA_INPUTS'!H5,'04_PSA_INPUTS'!I5)</f>
        <v>#NAME?</v>
      </c>
      <c r="C720" s="23" t="e">
        <f ca="1">_xludf.BETA.INV(S720,'04_PSA_INPUTS'!H6,'04_PSA_INPUTS'!I6)</f>
        <v>#NAME?</v>
      </c>
      <c r="D720" s="27" t="e">
        <f ca="1">_xludf.GAMMA.INV(T720,'04_PSA_INPUTS'!H7,'04_PSA_INPUTS'!I7)</f>
        <v>#NAME?</v>
      </c>
      <c r="E720" s="27" t="e">
        <f ca="1">_xludf.GAMMA.INV(U720,'04_PSA_INPUTS'!H8,'04_PSA_INPUTS'!I8)</f>
        <v>#NAME?</v>
      </c>
      <c r="F720" s="27" t="e">
        <f ca="1">_xludf.GAMMA.INV(V720,'04_PSA_INPUTS'!H9,'04_PSA_INPUTS'!I9)</f>
        <v>#NAME?</v>
      </c>
      <c r="G720" s="23" t="e">
        <f ca="1">_xludf.BETA.INV(W720,'04_PSA_INPUTS'!H10,'04_PSA_INPUTS'!I10)</f>
        <v>#NAME?</v>
      </c>
      <c r="H720" s="23" t="e">
        <f ca="1">_xludf.BETA.INV(X720,'04_PSA_INPUTS'!H11,'04_PSA_INPUTS'!I11)</f>
        <v>#NAME?</v>
      </c>
      <c r="I720" s="27" t="e">
        <f ca="1">D720+B720*F720+'01_INPUTS'!B20</f>
        <v>#NAME?</v>
      </c>
      <c r="J720" s="27" t="e">
        <f ca="1">E720+C720*F720+'01_INPUTS'!B21</f>
        <v>#NAME?</v>
      </c>
      <c r="K720" s="27" t="e">
        <f t="shared" ca="1" si="66"/>
        <v>#NAME?</v>
      </c>
      <c r="L720" s="23" t="e">
        <f t="shared" ca="1" si="67"/>
        <v>#NAME?</v>
      </c>
      <c r="M720" s="23" t="e">
        <f t="shared" ca="1" si="68"/>
        <v>#NAME?</v>
      </c>
      <c r="N720" s="23" t="e">
        <f t="shared" ca="1" si="69"/>
        <v>#NAME?</v>
      </c>
      <c r="O720" s="27" t="e">
        <f t="shared" ca="1" si="70"/>
        <v>#NAME?</v>
      </c>
      <c r="P720" s="27" t="e">
        <f ca="1">'01_INPUTS'!B9*N720-K720</f>
        <v>#NAME?</v>
      </c>
      <c r="Q720" s="1" t="e">
        <f t="shared" ca="1" si="71"/>
        <v>#NAME?</v>
      </c>
      <c r="R720" s="28">
        <v>0.88656372716650367</v>
      </c>
      <c r="S720" s="28">
        <v>0.59429227933287621</v>
      </c>
      <c r="T720" s="28">
        <v>4.2893612757325172E-2</v>
      </c>
      <c r="U720" s="28">
        <v>0.25082690687850118</v>
      </c>
      <c r="V720" s="28">
        <v>8.8629458798095584E-2</v>
      </c>
      <c r="W720" s="28">
        <v>0.53319366578944027</v>
      </c>
      <c r="X720" s="28">
        <v>0.85860682185739279</v>
      </c>
    </row>
    <row r="721" spans="1:24" ht="13.9">
      <c r="A721" s="1">
        <v>720</v>
      </c>
      <c r="B721" s="23" t="e">
        <f ca="1">_xludf.BETA.INV(R721,'04_PSA_INPUTS'!H5,'04_PSA_INPUTS'!I5)</f>
        <v>#NAME?</v>
      </c>
      <c r="C721" s="23" t="e">
        <f ca="1">_xludf.BETA.INV(S721,'04_PSA_INPUTS'!H6,'04_PSA_INPUTS'!I6)</f>
        <v>#NAME?</v>
      </c>
      <c r="D721" s="27" t="e">
        <f ca="1">_xludf.GAMMA.INV(T721,'04_PSA_INPUTS'!H7,'04_PSA_INPUTS'!I7)</f>
        <v>#NAME?</v>
      </c>
      <c r="E721" s="27" t="e">
        <f ca="1">_xludf.GAMMA.INV(U721,'04_PSA_INPUTS'!H8,'04_PSA_INPUTS'!I8)</f>
        <v>#NAME?</v>
      </c>
      <c r="F721" s="27" t="e">
        <f ca="1">_xludf.GAMMA.INV(V721,'04_PSA_INPUTS'!H9,'04_PSA_INPUTS'!I9)</f>
        <v>#NAME?</v>
      </c>
      <c r="G721" s="23" t="e">
        <f ca="1">_xludf.BETA.INV(W721,'04_PSA_INPUTS'!H10,'04_PSA_INPUTS'!I10)</f>
        <v>#NAME?</v>
      </c>
      <c r="H721" s="23" t="e">
        <f ca="1">_xludf.BETA.INV(X721,'04_PSA_INPUTS'!H11,'04_PSA_INPUTS'!I11)</f>
        <v>#NAME?</v>
      </c>
      <c r="I721" s="27" t="e">
        <f ca="1">D721+B721*F721+'01_INPUTS'!B20</f>
        <v>#NAME?</v>
      </c>
      <c r="J721" s="27" t="e">
        <f ca="1">E721+C721*F721+'01_INPUTS'!B21</f>
        <v>#NAME?</v>
      </c>
      <c r="K721" s="27" t="e">
        <f t="shared" ca="1" si="66"/>
        <v>#NAME?</v>
      </c>
      <c r="L721" s="23" t="e">
        <f t="shared" ca="1" si="67"/>
        <v>#NAME?</v>
      </c>
      <c r="M721" s="23" t="e">
        <f t="shared" ca="1" si="68"/>
        <v>#NAME?</v>
      </c>
      <c r="N721" s="23" t="e">
        <f t="shared" ca="1" si="69"/>
        <v>#NAME?</v>
      </c>
      <c r="O721" s="27" t="e">
        <f t="shared" ca="1" si="70"/>
        <v>#NAME?</v>
      </c>
      <c r="P721" s="27" t="e">
        <f ca="1">'01_INPUTS'!B9*N721-K721</f>
        <v>#NAME?</v>
      </c>
      <c r="Q721" s="1" t="e">
        <f t="shared" ca="1" si="71"/>
        <v>#NAME?</v>
      </c>
      <c r="R721" s="28">
        <v>0.51726538175716996</v>
      </c>
      <c r="S721" s="28">
        <v>3.5148137249052525E-2</v>
      </c>
      <c r="T721" s="28">
        <v>8.7662386242300272E-2</v>
      </c>
      <c r="U721" s="28">
        <v>0.70502735883928835</v>
      </c>
      <c r="V721" s="28">
        <v>0.45043240184895694</v>
      </c>
      <c r="W721" s="28">
        <v>0.56422058632597327</v>
      </c>
      <c r="X721" s="28">
        <v>0.88385427440516651</v>
      </c>
    </row>
    <row r="722" spans="1:24" ht="13.9">
      <c r="A722" s="1">
        <v>721</v>
      </c>
      <c r="B722" s="23" t="e">
        <f ca="1">_xludf.BETA.INV(R722,'04_PSA_INPUTS'!H5,'04_PSA_INPUTS'!I5)</f>
        <v>#NAME?</v>
      </c>
      <c r="C722" s="23" t="e">
        <f ca="1">_xludf.BETA.INV(S722,'04_PSA_INPUTS'!H6,'04_PSA_INPUTS'!I6)</f>
        <v>#NAME?</v>
      </c>
      <c r="D722" s="27" t="e">
        <f ca="1">_xludf.GAMMA.INV(T722,'04_PSA_INPUTS'!H7,'04_PSA_INPUTS'!I7)</f>
        <v>#NAME?</v>
      </c>
      <c r="E722" s="27" t="e">
        <f ca="1">_xludf.GAMMA.INV(U722,'04_PSA_INPUTS'!H8,'04_PSA_INPUTS'!I8)</f>
        <v>#NAME?</v>
      </c>
      <c r="F722" s="27" t="e">
        <f ca="1">_xludf.GAMMA.INV(V722,'04_PSA_INPUTS'!H9,'04_PSA_INPUTS'!I9)</f>
        <v>#NAME?</v>
      </c>
      <c r="G722" s="23" t="e">
        <f ca="1">_xludf.BETA.INV(W722,'04_PSA_INPUTS'!H10,'04_PSA_INPUTS'!I10)</f>
        <v>#NAME?</v>
      </c>
      <c r="H722" s="23" t="e">
        <f ca="1">_xludf.BETA.INV(X722,'04_PSA_INPUTS'!H11,'04_PSA_INPUTS'!I11)</f>
        <v>#NAME?</v>
      </c>
      <c r="I722" s="27" t="e">
        <f ca="1">D722+B722*F722+'01_INPUTS'!B20</f>
        <v>#NAME?</v>
      </c>
      <c r="J722" s="27" t="e">
        <f ca="1">E722+C722*F722+'01_INPUTS'!B21</f>
        <v>#NAME?</v>
      </c>
      <c r="K722" s="27" t="e">
        <f t="shared" ca="1" si="66"/>
        <v>#NAME?</v>
      </c>
      <c r="L722" s="23" t="e">
        <f t="shared" ca="1" si="67"/>
        <v>#NAME?</v>
      </c>
      <c r="M722" s="23" t="e">
        <f t="shared" ca="1" si="68"/>
        <v>#NAME?</v>
      </c>
      <c r="N722" s="23" t="e">
        <f t="shared" ca="1" si="69"/>
        <v>#NAME?</v>
      </c>
      <c r="O722" s="27" t="e">
        <f t="shared" ca="1" si="70"/>
        <v>#NAME?</v>
      </c>
      <c r="P722" s="27" t="e">
        <f ca="1">'01_INPUTS'!B9*N722-K722</f>
        <v>#NAME?</v>
      </c>
      <c r="Q722" s="1" t="e">
        <f t="shared" ca="1" si="71"/>
        <v>#NAME?</v>
      </c>
      <c r="R722" s="28">
        <v>0.62837190111167729</v>
      </c>
      <c r="S722" s="28">
        <v>0.90169547684490681</v>
      </c>
      <c r="T722" s="28">
        <v>0.26484484528191388</v>
      </c>
      <c r="U722" s="28">
        <v>0.57353679300285876</v>
      </c>
      <c r="V722" s="28">
        <v>0.27151106111705303</v>
      </c>
      <c r="W722" s="28">
        <v>2.0758449798449874E-2</v>
      </c>
      <c r="X722" s="28">
        <v>0.61342639126814902</v>
      </c>
    </row>
    <row r="723" spans="1:24" ht="13.9">
      <c r="A723" s="1">
        <v>722</v>
      </c>
      <c r="B723" s="23" t="e">
        <f ca="1">_xludf.BETA.INV(R723,'04_PSA_INPUTS'!H5,'04_PSA_INPUTS'!I5)</f>
        <v>#NAME?</v>
      </c>
      <c r="C723" s="23" t="e">
        <f ca="1">_xludf.BETA.INV(S723,'04_PSA_INPUTS'!H6,'04_PSA_INPUTS'!I6)</f>
        <v>#NAME?</v>
      </c>
      <c r="D723" s="27" t="e">
        <f ca="1">_xludf.GAMMA.INV(T723,'04_PSA_INPUTS'!H7,'04_PSA_INPUTS'!I7)</f>
        <v>#NAME?</v>
      </c>
      <c r="E723" s="27" t="e">
        <f ca="1">_xludf.GAMMA.INV(U723,'04_PSA_INPUTS'!H8,'04_PSA_INPUTS'!I8)</f>
        <v>#NAME?</v>
      </c>
      <c r="F723" s="27" t="e">
        <f ca="1">_xludf.GAMMA.INV(V723,'04_PSA_INPUTS'!H9,'04_PSA_INPUTS'!I9)</f>
        <v>#NAME?</v>
      </c>
      <c r="G723" s="23" t="e">
        <f ca="1">_xludf.BETA.INV(W723,'04_PSA_INPUTS'!H10,'04_PSA_INPUTS'!I10)</f>
        <v>#NAME?</v>
      </c>
      <c r="H723" s="23" t="e">
        <f ca="1">_xludf.BETA.INV(X723,'04_PSA_INPUTS'!H11,'04_PSA_INPUTS'!I11)</f>
        <v>#NAME?</v>
      </c>
      <c r="I723" s="27" t="e">
        <f ca="1">D723+B723*F723+'01_INPUTS'!B20</f>
        <v>#NAME?</v>
      </c>
      <c r="J723" s="27" t="e">
        <f ca="1">E723+C723*F723+'01_INPUTS'!B21</f>
        <v>#NAME?</v>
      </c>
      <c r="K723" s="27" t="e">
        <f t="shared" ca="1" si="66"/>
        <v>#NAME?</v>
      </c>
      <c r="L723" s="23" t="e">
        <f t="shared" ca="1" si="67"/>
        <v>#NAME?</v>
      </c>
      <c r="M723" s="23" t="e">
        <f t="shared" ca="1" si="68"/>
        <v>#NAME?</v>
      </c>
      <c r="N723" s="23" t="e">
        <f t="shared" ca="1" si="69"/>
        <v>#NAME?</v>
      </c>
      <c r="O723" s="27" t="e">
        <f t="shared" ca="1" si="70"/>
        <v>#NAME?</v>
      </c>
      <c r="P723" s="27" t="e">
        <f ca="1">'01_INPUTS'!B9*N723-K723</f>
        <v>#NAME?</v>
      </c>
      <c r="Q723" s="1" t="e">
        <f t="shared" ca="1" si="71"/>
        <v>#NAME?</v>
      </c>
      <c r="R723" s="28">
        <v>0.53658976289443672</v>
      </c>
      <c r="S723" s="28">
        <v>0.57536277244798839</v>
      </c>
      <c r="T723" s="28">
        <v>0.27308053150773048</v>
      </c>
      <c r="U723" s="28">
        <v>0.25473457481712103</v>
      </c>
      <c r="V723" s="28">
        <v>0.23690701834857464</v>
      </c>
      <c r="W723" s="28">
        <v>0.34208005433902144</v>
      </c>
      <c r="X723" s="28">
        <v>0.19555229577235878</v>
      </c>
    </row>
    <row r="724" spans="1:24" ht="13.9">
      <c r="A724" s="1">
        <v>723</v>
      </c>
      <c r="B724" s="23" t="e">
        <f ca="1">_xludf.BETA.INV(R724,'04_PSA_INPUTS'!H5,'04_PSA_INPUTS'!I5)</f>
        <v>#NAME?</v>
      </c>
      <c r="C724" s="23" t="e">
        <f ca="1">_xludf.BETA.INV(S724,'04_PSA_INPUTS'!H6,'04_PSA_INPUTS'!I6)</f>
        <v>#NAME?</v>
      </c>
      <c r="D724" s="27" t="e">
        <f ca="1">_xludf.GAMMA.INV(T724,'04_PSA_INPUTS'!H7,'04_PSA_INPUTS'!I7)</f>
        <v>#NAME?</v>
      </c>
      <c r="E724" s="27" t="e">
        <f ca="1">_xludf.GAMMA.INV(U724,'04_PSA_INPUTS'!H8,'04_PSA_INPUTS'!I8)</f>
        <v>#NAME?</v>
      </c>
      <c r="F724" s="27" t="e">
        <f ca="1">_xludf.GAMMA.INV(V724,'04_PSA_INPUTS'!H9,'04_PSA_INPUTS'!I9)</f>
        <v>#NAME?</v>
      </c>
      <c r="G724" s="23" t="e">
        <f ca="1">_xludf.BETA.INV(W724,'04_PSA_INPUTS'!H10,'04_PSA_INPUTS'!I10)</f>
        <v>#NAME?</v>
      </c>
      <c r="H724" s="23" t="e">
        <f ca="1">_xludf.BETA.INV(X724,'04_PSA_INPUTS'!H11,'04_PSA_INPUTS'!I11)</f>
        <v>#NAME?</v>
      </c>
      <c r="I724" s="27" t="e">
        <f ca="1">D724+B724*F724+'01_INPUTS'!B20</f>
        <v>#NAME?</v>
      </c>
      <c r="J724" s="27" t="e">
        <f ca="1">E724+C724*F724+'01_INPUTS'!B21</f>
        <v>#NAME?</v>
      </c>
      <c r="K724" s="27" t="e">
        <f t="shared" ca="1" si="66"/>
        <v>#NAME?</v>
      </c>
      <c r="L724" s="23" t="e">
        <f t="shared" ca="1" si="67"/>
        <v>#NAME?</v>
      </c>
      <c r="M724" s="23" t="e">
        <f t="shared" ca="1" si="68"/>
        <v>#NAME?</v>
      </c>
      <c r="N724" s="23" t="e">
        <f t="shared" ca="1" si="69"/>
        <v>#NAME?</v>
      </c>
      <c r="O724" s="27" t="e">
        <f t="shared" ca="1" si="70"/>
        <v>#NAME?</v>
      </c>
      <c r="P724" s="27" t="e">
        <f ca="1">'01_INPUTS'!B9*N724-K724</f>
        <v>#NAME?</v>
      </c>
      <c r="Q724" s="1" t="e">
        <f t="shared" ca="1" si="71"/>
        <v>#NAME?</v>
      </c>
      <c r="R724" s="28">
        <v>0.14887138223275542</v>
      </c>
      <c r="S724" s="28">
        <v>0.1960776096675545</v>
      </c>
      <c r="T724" s="28">
        <v>0.78729777038097382</v>
      </c>
      <c r="U724" s="28">
        <v>0.45646226732060313</v>
      </c>
      <c r="V724" s="28">
        <v>0.59314967901445925</v>
      </c>
      <c r="W724" s="28">
        <v>0.11960669420659542</v>
      </c>
      <c r="X724" s="28">
        <v>0.96427889331243932</v>
      </c>
    </row>
    <row r="725" spans="1:24" ht="13.9">
      <c r="A725" s="1">
        <v>724</v>
      </c>
      <c r="B725" s="23" t="e">
        <f ca="1">_xludf.BETA.INV(R725,'04_PSA_INPUTS'!H5,'04_PSA_INPUTS'!I5)</f>
        <v>#NAME?</v>
      </c>
      <c r="C725" s="23" t="e">
        <f ca="1">_xludf.BETA.INV(S725,'04_PSA_INPUTS'!H6,'04_PSA_INPUTS'!I6)</f>
        <v>#NAME?</v>
      </c>
      <c r="D725" s="27" t="e">
        <f ca="1">_xludf.GAMMA.INV(T725,'04_PSA_INPUTS'!H7,'04_PSA_INPUTS'!I7)</f>
        <v>#NAME?</v>
      </c>
      <c r="E725" s="27" t="e">
        <f ca="1">_xludf.GAMMA.INV(U725,'04_PSA_INPUTS'!H8,'04_PSA_INPUTS'!I8)</f>
        <v>#NAME?</v>
      </c>
      <c r="F725" s="27" t="e">
        <f ca="1">_xludf.GAMMA.INV(V725,'04_PSA_INPUTS'!H9,'04_PSA_INPUTS'!I9)</f>
        <v>#NAME?</v>
      </c>
      <c r="G725" s="23" t="e">
        <f ca="1">_xludf.BETA.INV(W725,'04_PSA_INPUTS'!H10,'04_PSA_INPUTS'!I10)</f>
        <v>#NAME?</v>
      </c>
      <c r="H725" s="23" t="e">
        <f ca="1">_xludf.BETA.INV(X725,'04_PSA_INPUTS'!H11,'04_PSA_INPUTS'!I11)</f>
        <v>#NAME?</v>
      </c>
      <c r="I725" s="27" t="e">
        <f ca="1">D725+B725*F725+'01_INPUTS'!B20</f>
        <v>#NAME?</v>
      </c>
      <c r="J725" s="27" t="e">
        <f ca="1">E725+C725*F725+'01_INPUTS'!B21</f>
        <v>#NAME?</v>
      </c>
      <c r="K725" s="27" t="e">
        <f t="shared" ca="1" si="66"/>
        <v>#NAME?</v>
      </c>
      <c r="L725" s="23" t="e">
        <f t="shared" ca="1" si="67"/>
        <v>#NAME?</v>
      </c>
      <c r="M725" s="23" t="e">
        <f t="shared" ca="1" si="68"/>
        <v>#NAME?</v>
      </c>
      <c r="N725" s="23" t="e">
        <f t="shared" ca="1" si="69"/>
        <v>#NAME?</v>
      </c>
      <c r="O725" s="27" t="e">
        <f t="shared" ca="1" si="70"/>
        <v>#NAME?</v>
      </c>
      <c r="P725" s="27" t="e">
        <f ca="1">'01_INPUTS'!B9*N725-K725</f>
        <v>#NAME?</v>
      </c>
      <c r="Q725" s="1" t="e">
        <f t="shared" ca="1" si="71"/>
        <v>#NAME?</v>
      </c>
      <c r="R725" s="28">
        <v>0.35181549703702331</v>
      </c>
      <c r="S725" s="28">
        <v>0.64091293001547456</v>
      </c>
      <c r="T725" s="28">
        <v>0.39010958909057081</v>
      </c>
      <c r="U725" s="28">
        <v>0.59721276466734707</v>
      </c>
      <c r="V725" s="28">
        <v>8.0781836295500398E-2</v>
      </c>
      <c r="W725" s="28">
        <v>0.34153343318030238</v>
      </c>
      <c r="X725" s="28">
        <v>0.39696908160112798</v>
      </c>
    </row>
    <row r="726" spans="1:24" ht="13.9">
      <c r="A726" s="1">
        <v>725</v>
      </c>
      <c r="B726" s="23" t="e">
        <f ca="1">_xludf.BETA.INV(R726,'04_PSA_INPUTS'!H5,'04_PSA_INPUTS'!I5)</f>
        <v>#NAME?</v>
      </c>
      <c r="C726" s="23" t="e">
        <f ca="1">_xludf.BETA.INV(S726,'04_PSA_INPUTS'!H6,'04_PSA_INPUTS'!I6)</f>
        <v>#NAME?</v>
      </c>
      <c r="D726" s="27" t="e">
        <f ca="1">_xludf.GAMMA.INV(T726,'04_PSA_INPUTS'!H7,'04_PSA_INPUTS'!I7)</f>
        <v>#NAME?</v>
      </c>
      <c r="E726" s="27" t="e">
        <f ca="1">_xludf.GAMMA.INV(U726,'04_PSA_INPUTS'!H8,'04_PSA_INPUTS'!I8)</f>
        <v>#NAME?</v>
      </c>
      <c r="F726" s="27" t="e">
        <f ca="1">_xludf.GAMMA.INV(V726,'04_PSA_INPUTS'!H9,'04_PSA_INPUTS'!I9)</f>
        <v>#NAME?</v>
      </c>
      <c r="G726" s="23" t="e">
        <f ca="1">_xludf.BETA.INV(W726,'04_PSA_INPUTS'!H10,'04_PSA_INPUTS'!I10)</f>
        <v>#NAME?</v>
      </c>
      <c r="H726" s="23" t="e">
        <f ca="1">_xludf.BETA.INV(X726,'04_PSA_INPUTS'!H11,'04_PSA_INPUTS'!I11)</f>
        <v>#NAME?</v>
      </c>
      <c r="I726" s="27" t="e">
        <f ca="1">D726+B726*F726+'01_INPUTS'!B20</f>
        <v>#NAME?</v>
      </c>
      <c r="J726" s="27" t="e">
        <f ca="1">E726+C726*F726+'01_INPUTS'!B21</f>
        <v>#NAME?</v>
      </c>
      <c r="K726" s="27" t="e">
        <f t="shared" ca="1" si="66"/>
        <v>#NAME?</v>
      </c>
      <c r="L726" s="23" t="e">
        <f t="shared" ca="1" si="67"/>
        <v>#NAME?</v>
      </c>
      <c r="M726" s="23" t="e">
        <f t="shared" ca="1" si="68"/>
        <v>#NAME?</v>
      </c>
      <c r="N726" s="23" t="e">
        <f t="shared" ca="1" si="69"/>
        <v>#NAME?</v>
      </c>
      <c r="O726" s="27" t="e">
        <f t="shared" ca="1" si="70"/>
        <v>#NAME?</v>
      </c>
      <c r="P726" s="27" t="e">
        <f ca="1">'01_INPUTS'!B9*N726-K726</f>
        <v>#NAME?</v>
      </c>
      <c r="Q726" s="1" t="e">
        <f t="shared" ca="1" si="71"/>
        <v>#NAME?</v>
      </c>
      <c r="R726" s="28">
        <v>0.43498946540057659</v>
      </c>
      <c r="S726" s="28">
        <v>0.86377445748075843</v>
      </c>
      <c r="T726" s="28">
        <v>0.96678534033708274</v>
      </c>
      <c r="U726" s="28">
        <v>0.41864198818802834</v>
      </c>
      <c r="V726" s="28">
        <v>0.23107230453751981</v>
      </c>
      <c r="W726" s="28">
        <v>3.6575212609022856E-2</v>
      </c>
      <c r="X726" s="28">
        <v>0.35255039087496698</v>
      </c>
    </row>
    <row r="727" spans="1:24" ht="13.9">
      <c r="A727" s="1">
        <v>726</v>
      </c>
      <c r="B727" s="23" t="e">
        <f ca="1">_xludf.BETA.INV(R727,'04_PSA_INPUTS'!H5,'04_PSA_INPUTS'!I5)</f>
        <v>#NAME?</v>
      </c>
      <c r="C727" s="23" t="e">
        <f ca="1">_xludf.BETA.INV(S727,'04_PSA_INPUTS'!H6,'04_PSA_INPUTS'!I6)</f>
        <v>#NAME?</v>
      </c>
      <c r="D727" s="27" t="e">
        <f ca="1">_xludf.GAMMA.INV(T727,'04_PSA_INPUTS'!H7,'04_PSA_INPUTS'!I7)</f>
        <v>#NAME?</v>
      </c>
      <c r="E727" s="27" t="e">
        <f ca="1">_xludf.GAMMA.INV(U727,'04_PSA_INPUTS'!H8,'04_PSA_INPUTS'!I8)</f>
        <v>#NAME?</v>
      </c>
      <c r="F727" s="27" t="e">
        <f ca="1">_xludf.GAMMA.INV(V727,'04_PSA_INPUTS'!H9,'04_PSA_INPUTS'!I9)</f>
        <v>#NAME?</v>
      </c>
      <c r="G727" s="23" t="e">
        <f ca="1">_xludf.BETA.INV(W727,'04_PSA_INPUTS'!H10,'04_PSA_INPUTS'!I10)</f>
        <v>#NAME?</v>
      </c>
      <c r="H727" s="23" t="e">
        <f ca="1">_xludf.BETA.INV(X727,'04_PSA_INPUTS'!H11,'04_PSA_INPUTS'!I11)</f>
        <v>#NAME?</v>
      </c>
      <c r="I727" s="27" t="e">
        <f ca="1">D727+B727*F727+'01_INPUTS'!B20</f>
        <v>#NAME?</v>
      </c>
      <c r="J727" s="27" t="e">
        <f ca="1">E727+C727*F727+'01_INPUTS'!B21</f>
        <v>#NAME?</v>
      </c>
      <c r="K727" s="27" t="e">
        <f t="shared" ca="1" si="66"/>
        <v>#NAME?</v>
      </c>
      <c r="L727" s="23" t="e">
        <f t="shared" ca="1" si="67"/>
        <v>#NAME?</v>
      </c>
      <c r="M727" s="23" t="e">
        <f t="shared" ca="1" si="68"/>
        <v>#NAME?</v>
      </c>
      <c r="N727" s="23" t="e">
        <f t="shared" ca="1" si="69"/>
        <v>#NAME?</v>
      </c>
      <c r="O727" s="27" t="e">
        <f t="shared" ca="1" si="70"/>
        <v>#NAME?</v>
      </c>
      <c r="P727" s="27" t="e">
        <f ca="1">'01_INPUTS'!B9*N727-K727</f>
        <v>#NAME?</v>
      </c>
      <c r="Q727" s="1" t="e">
        <f t="shared" ca="1" si="71"/>
        <v>#NAME?</v>
      </c>
      <c r="R727" s="28">
        <v>0.22465978469699621</v>
      </c>
      <c r="S727" s="28">
        <v>0.15593455429188907</v>
      </c>
      <c r="T727" s="28">
        <v>0.40630527609027922</v>
      </c>
      <c r="U727" s="28">
        <v>0.47798279556445777</v>
      </c>
      <c r="V727" s="28">
        <v>0.46440887614153326</v>
      </c>
      <c r="W727" s="28">
        <v>0.25848845695145428</v>
      </c>
      <c r="X727" s="28">
        <v>0.13820337667129934</v>
      </c>
    </row>
    <row r="728" spans="1:24" ht="13.9">
      <c r="A728" s="1">
        <v>727</v>
      </c>
      <c r="B728" s="23" t="e">
        <f ca="1">_xludf.BETA.INV(R728,'04_PSA_INPUTS'!H5,'04_PSA_INPUTS'!I5)</f>
        <v>#NAME?</v>
      </c>
      <c r="C728" s="23" t="e">
        <f ca="1">_xludf.BETA.INV(S728,'04_PSA_INPUTS'!H6,'04_PSA_INPUTS'!I6)</f>
        <v>#NAME?</v>
      </c>
      <c r="D728" s="27" t="e">
        <f ca="1">_xludf.GAMMA.INV(T728,'04_PSA_INPUTS'!H7,'04_PSA_INPUTS'!I7)</f>
        <v>#NAME?</v>
      </c>
      <c r="E728" s="27" t="e">
        <f ca="1">_xludf.GAMMA.INV(U728,'04_PSA_INPUTS'!H8,'04_PSA_INPUTS'!I8)</f>
        <v>#NAME?</v>
      </c>
      <c r="F728" s="27" t="e">
        <f ca="1">_xludf.GAMMA.INV(V728,'04_PSA_INPUTS'!H9,'04_PSA_INPUTS'!I9)</f>
        <v>#NAME?</v>
      </c>
      <c r="G728" s="23" t="e">
        <f ca="1">_xludf.BETA.INV(W728,'04_PSA_INPUTS'!H10,'04_PSA_INPUTS'!I10)</f>
        <v>#NAME?</v>
      </c>
      <c r="H728" s="23" t="e">
        <f ca="1">_xludf.BETA.INV(X728,'04_PSA_INPUTS'!H11,'04_PSA_INPUTS'!I11)</f>
        <v>#NAME?</v>
      </c>
      <c r="I728" s="27" t="e">
        <f ca="1">D728+B728*F728+'01_INPUTS'!B20</f>
        <v>#NAME?</v>
      </c>
      <c r="J728" s="27" t="e">
        <f ca="1">E728+C728*F728+'01_INPUTS'!B21</f>
        <v>#NAME?</v>
      </c>
      <c r="K728" s="27" t="e">
        <f t="shared" ca="1" si="66"/>
        <v>#NAME?</v>
      </c>
      <c r="L728" s="23" t="e">
        <f t="shared" ca="1" si="67"/>
        <v>#NAME?</v>
      </c>
      <c r="M728" s="23" t="e">
        <f t="shared" ca="1" si="68"/>
        <v>#NAME?</v>
      </c>
      <c r="N728" s="23" t="e">
        <f t="shared" ca="1" si="69"/>
        <v>#NAME?</v>
      </c>
      <c r="O728" s="27" t="e">
        <f t="shared" ca="1" si="70"/>
        <v>#NAME?</v>
      </c>
      <c r="P728" s="27" t="e">
        <f ca="1">'01_INPUTS'!B9*N728-K728</f>
        <v>#NAME?</v>
      </c>
      <c r="Q728" s="1" t="e">
        <f t="shared" ca="1" si="71"/>
        <v>#NAME?</v>
      </c>
      <c r="R728" s="28">
        <v>0.23835184029303491</v>
      </c>
      <c r="S728" s="28">
        <v>0.30866529326885939</v>
      </c>
      <c r="T728" s="28">
        <v>0.41388195822946727</v>
      </c>
      <c r="U728" s="28">
        <v>4.8092848155647516E-3</v>
      </c>
      <c r="V728" s="28">
        <v>0.98118861019611359</v>
      </c>
      <c r="W728" s="28">
        <v>0.92298335605300963</v>
      </c>
      <c r="X728" s="28">
        <v>0.89986213203519583</v>
      </c>
    </row>
    <row r="729" spans="1:24" ht="13.9">
      <c r="A729" s="1">
        <v>728</v>
      </c>
      <c r="B729" s="23" t="e">
        <f ca="1">_xludf.BETA.INV(R729,'04_PSA_INPUTS'!H5,'04_PSA_INPUTS'!I5)</f>
        <v>#NAME?</v>
      </c>
      <c r="C729" s="23" t="e">
        <f ca="1">_xludf.BETA.INV(S729,'04_PSA_INPUTS'!H6,'04_PSA_INPUTS'!I6)</f>
        <v>#NAME?</v>
      </c>
      <c r="D729" s="27" t="e">
        <f ca="1">_xludf.GAMMA.INV(T729,'04_PSA_INPUTS'!H7,'04_PSA_INPUTS'!I7)</f>
        <v>#NAME?</v>
      </c>
      <c r="E729" s="27" t="e">
        <f ca="1">_xludf.GAMMA.INV(U729,'04_PSA_INPUTS'!H8,'04_PSA_INPUTS'!I8)</f>
        <v>#NAME?</v>
      </c>
      <c r="F729" s="27" t="e">
        <f ca="1">_xludf.GAMMA.INV(V729,'04_PSA_INPUTS'!H9,'04_PSA_INPUTS'!I9)</f>
        <v>#NAME?</v>
      </c>
      <c r="G729" s="23" t="e">
        <f ca="1">_xludf.BETA.INV(W729,'04_PSA_INPUTS'!H10,'04_PSA_INPUTS'!I10)</f>
        <v>#NAME?</v>
      </c>
      <c r="H729" s="23" t="e">
        <f ca="1">_xludf.BETA.INV(X729,'04_PSA_INPUTS'!H11,'04_PSA_INPUTS'!I11)</f>
        <v>#NAME?</v>
      </c>
      <c r="I729" s="27" t="e">
        <f ca="1">D729+B729*F729+'01_INPUTS'!B20</f>
        <v>#NAME?</v>
      </c>
      <c r="J729" s="27" t="e">
        <f ca="1">E729+C729*F729+'01_INPUTS'!B21</f>
        <v>#NAME?</v>
      </c>
      <c r="K729" s="27" t="e">
        <f t="shared" ca="1" si="66"/>
        <v>#NAME?</v>
      </c>
      <c r="L729" s="23" t="e">
        <f t="shared" ca="1" si="67"/>
        <v>#NAME?</v>
      </c>
      <c r="M729" s="23" t="e">
        <f t="shared" ca="1" si="68"/>
        <v>#NAME?</v>
      </c>
      <c r="N729" s="23" t="e">
        <f t="shared" ca="1" si="69"/>
        <v>#NAME?</v>
      </c>
      <c r="O729" s="27" t="e">
        <f t="shared" ca="1" si="70"/>
        <v>#NAME?</v>
      </c>
      <c r="P729" s="27" t="e">
        <f ca="1">'01_INPUTS'!B9*N729-K729</f>
        <v>#NAME?</v>
      </c>
      <c r="Q729" s="1" t="e">
        <f t="shared" ca="1" si="71"/>
        <v>#NAME?</v>
      </c>
      <c r="R729" s="28">
        <v>0.65805333270691335</v>
      </c>
      <c r="S729" s="28">
        <v>0.92655122000724077</v>
      </c>
      <c r="T729" s="28">
        <v>7.8997307922691107E-2</v>
      </c>
      <c r="U729" s="28">
        <v>0.72850294038653374</v>
      </c>
      <c r="V729" s="28">
        <v>0.61719723790884018</v>
      </c>
      <c r="W729" s="28">
        <v>0.83277251455001533</v>
      </c>
      <c r="X729" s="28">
        <v>0.69071652833372355</v>
      </c>
    </row>
    <row r="730" spans="1:24" ht="13.9">
      <c r="A730" s="1">
        <v>729</v>
      </c>
      <c r="B730" s="23" t="e">
        <f ca="1">_xludf.BETA.INV(R730,'04_PSA_INPUTS'!H5,'04_PSA_INPUTS'!I5)</f>
        <v>#NAME?</v>
      </c>
      <c r="C730" s="23" t="e">
        <f ca="1">_xludf.BETA.INV(S730,'04_PSA_INPUTS'!H6,'04_PSA_INPUTS'!I6)</f>
        <v>#NAME?</v>
      </c>
      <c r="D730" s="27" t="e">
        <f ca="1">_xludf.GAMMA.INV(T730,'04_PSA_INPUTS'!H7,'04_PSA_INPUTS'!I7)</f>
        <v>#NAME?</v>
      </c>
      <c r="E730" s="27" t="e">
        <f ca="1">_xludf.GAMMA.INV(U730,'04_PSA_INPUTS'!H8,'04_PSA_INPUTS'!I8)</f>
        <v>#NAME?</v>
      </c>
      <c r="F730" s="27" t="e">
        <f ca="1">_xludf.GAMMA.INV(V730,'04_PSA_INPUTS'!H9,'04_PSA_INPUTS'!I9)</f>
        <v>#NAME?</v>
      </c>
      <c r="G730" s="23" t="e">
        <f ca="1">_xludf.BETA.INV(W730,'04_PSA_INPUTS'!H10,'04_PSA_INPUTS'!I10)</f>
        <v>#NAME?</v>
      </c>
      <c r="H730" s="23" t="e">
        <f ca="1">_xludf.BETA.INV(X730,'04_PSA_INPUTS'!H11,'04_PSA_INPUTS'!I11)</f>
        <v>#NAME?</v>
      </c>
      <c r="I730" s="27" t="e">
        <f ca="1">D730+B730*F730+'01_INPUTS'!B20</f>
        <v>#NAME?</v>
      </c>
      <c r="J730" s="27" t="e">
        <f ca="1">E730+C730*F730+'01_INPUTS'!B21</f>
        <v>#NAME?</v>
      </c>
      <c r="K730" s="27" t="e">
        <f t="shared" ca="1" si="66"/>
        <v>#NAME?</v>
      </c>
      <c r="L730" s="23" t="e">
        <f t="shared" ca="1" si="67"/>
        <v>#NAME?</v>
      </c>
      <c r="M730" s="23" t="e">
        <f t="shared" ca="1" si="68"/>
        <v>#NAME?</v>
      </c>
      <c r="N730" s="23" t="e">
        <f t="shared" ca="1" si="69"/>
        <v>#NAME?</v>
      </c>
      <c r="O730" s="27" t="e">
        <f t="shared" ca="1" si="70"/>
        <v>#NAME?</v>
      </c>
      <c r="P730" s="27" t="e">
        <f ca="1">'01_INPUTS'!B9*N730-K730</f>
        <v>#NAME?</v>
      </c>
      <c r="Q730" s="1" t="e">
        <f t="shared" ca="1" si="71"/>
        <v>#NAME?</v>
      </c>
      <c r="R730" s="28">
        <v>0.33308993745595217</v>
      </c>
      <c r="S730" s="28">
        <v>0.26095237699337304</v>
      </c>
      <c r="T730" s="28">
        <v>0.43966638622805476</v>
      </c>
      <c r="U730" s="28">
        <v>1.4070085948333144E-2</v>
      </c>
      <c r="V730" s="28">
        <v>0.82520930049940944</v>
      </c>
      <c r="W730" s="28">
        <v>0.66434428049251437</v>
      </c>
      <c r="X730" s="28">
        <v>0.89603027747943997</v>
      </c>
    </row>
    <row r="731" spans="1:24" ht="13.9">
      <c r="A731" s="1">
        <v>730</v>
      </c>
      <c r="B731" s="23" t="e">
        <f ca="1">_xludf.BETA.INV(R731,'04_PSA_INPUTS'!H5,'04_PSA_INPUTS'!I5)</f>
        <v>#NAME?</v>
      </c>
      <c r="C731" s="23" t="e">
        <f ca="1">_xludf.BETA.INV(S731,'04_PSA_INPUTS'!H6,'04_PSA_INPUTS'!I6)</f>
        <v>#NAME?</v>
      </c>
      <c r="D731" s="27" t="e">
        <f ca="1">_xludf.GAMMA.INV(T731,'04_PSA_INPUTS'!H7,'04_PSA_INPUTS'!I7)</f>
        <v>#NAME?</v>
      </c>
      <c r="E731" s="27" t="e">
        <f ca="1">_xludf.GAMMA.INV(U731,'04_PSA_INPUTS'!H8,'04_PSA_INPUTS'!I8)</f>
        <v>#NAME?</v>
      </c>
      <c r="F731" s="27" t="e">
        <f ca="1">_xludf.GAMMA.INV(V731,'04_PSA_INPUTS'!H9,'04_PSA_INPUTS'!I9)</f>
        <v>#NAME?</v>
      </c>
      <c r="G731" s="23" t="e">
        <f ca="1">_xludf.BETA.INV(W731,'04_PSA_INPUTS'!H10,'04_PSA_INPUTS'!I10)</f>
        <v>#NAME?</v>
      </c>
      <c r="H731" s="23" t="e">
        <f ca="1">_xludf.BETA.INV(X731,'04_PSA_INPUTS'!H11,'04_PSA_INPUTS'!I11)</f>
        <v>#NAME?</v>
      </c>
      <c r="I731" s="27" t="e">
        <f ca="1">D731+B731*F731+'01_INPUTS'!B20</f>
        <v>#NAME?</v>
      </c>
      <c r="J731" s="27" t="e">
        <f ca="1">E731+C731*F731+'01_INPUTS'!B21</f>
        <v>#NAME?</v>
      </c>
      <c r="K731" s="27" t="e">
        <f t="shared" ca="1" si="66"/>
        <v>#NAME?</v>
      </c>
      <c r="L731" s="23" t="e">
        <f t="shared" ca="1" si="67"/>
        <v>#NAME?</v>
      </c>
      <c r="M731" s="23" t="e">
        <f t="shared" ca="1" si="68"/>
        <v>#NAME?</v>
      </c>
      <c r="N731" s="23" t="e">
        <f t="shared" ca="1" si="69"/>
        <v>#NAME?</v>
      </c>
      <c r="O731" s="27" t="e">
        <f t="shared" ca="1" si="70"/>
        <v>#NAME?</v>
      </c>
      <c r="P731" s="27" t="e">
        <f ca="1">'01_INPUTS'!B9*N731-K731</f>
        <v>#NAME?</v>
      </c>
      <c r="Q731" s="1" t="e">
        <f t="shared" ca="1" si="71"/>
        <v>#NAME?</v>
      </c>
      <c r="R731" s="28">
        <v>0.17893226537853479</v>
      </c>
      <c r="S731" s="28">
        <v>0.80084160366095603</v>
      </c>
      <c r="T731" s="28">
        <v>0.64215126633644104</v>
      </c>
      <c r="U731" s="28">
        <v>0.2521890876814723</v>
      </c>
      <c r="V731" s="28">
        <v>0.71131375036202371</v>
      </c>
      <c r="W731" s="28">
        <v>0.23420028924010694</v>
      </c>
      <c r="X731" s="28">
        <v>0.96879283711314201</v>
      </c>
    </row>
    <row r="732" spans="1:24" ht="13.9">
      <c r="A732" s="1">
        <v>731</v>
      </c>
      <c r="B732" s="23" t="e">
        <f ca="1">_xludf.BETA.INV(R732,'04_PSA_INPUTS'!H5,'04_PSA_INPUTS'!I5)</f>
        <v>#NAME?</v>
      </c>
      <c r="C732" s="23" t="e">
        <f ca="1">_xludf.BETA.INV(S732,'04_PSA_INPUTS'!H6,'04_PSA_INPUTS'!I6)</f>
        <v>#NAME?</v>
      </c>
      <c r="D732" s="27" t="e">
        <f ca="1">_xludf.GAMMA.INV(T732,'04_PSA_INPUTS'!H7,'04_PSA_INPUTS'!I7)</f>
        <v>#NAME?</v>
      </c>
      <c r="E732" s="27" t="e">
        <f ca="1">_xludf.GAMMA.INV(U732,'04_PSA_INPUTS'!H8,'04_PSA_INPUTS'!I8)</f>
        <v>#NAME?</v>
      </c>
      <c r="F732" s="27" t="e">
        <f ca="1">_xludf.GAMMA.INV(V732,'04_PSA_INPUTS'!H9,'04_PSA_INPUTS'!I9)</f>
        <v>#NAME?</v>
      </c>
      <c r="G732" s="23" t="e">
        <f ca="1">_xludf.BETA.INV(W732,'04_PSA_INPUTS'!H10,'04_PSA_INPUTS'!I10)</f>
        <v>#NAME?</v>
      </c>
      <c r="H732" s="23" t="e">
        <f ca="1">_xludf.BETA.INV(X732,'04_PSA_INPUTS'!H11,'04_PSA_INPUTS'!I11)</f>
        <v>#NAME?</v>
      </c>
      <c r="I732" s="27" t="e">
        <f ca="1">D732+B732*F732+'01_INPUTS'!B20</f>
        <v>#NAME?</v>
      </c>
      <c r="J732" s="27" t="e">
        <f ca="1">E732+C732*F732+'01_INPUTS'!B21</f>
        <v>#NAME?</v>
      </c>
      <c r="K732" s="27" t="e">
        <f t="shared" ca="1" si="66"/>
        <v>#NAME?</v>
      </c>
      <c r="L732" s="23" t="e">
        <f t="shared" ca="1" si="67"/>
        <v>#NAME?</v>
      </c>
      <c r="M732" s="23" t="e">
        <f t="shared" ca="1" si="68"/>
        <v>#NAME?</v>
      </c>
      <c r="N732" s="23" t="e">
        <f t="shared" ca="1" si="69"/>
        <v>#NAME?</v>
      </c>
      <c r="O732" s="27" t="e">
        <f t="shared" ca="1" si="70"/>
        <v>#NAME?</v>
      </c>
      <c r="P732" s="27" t="e">
        <f ca="1">'01_INPUTS'!B9*N732-K732</f>
        <v>#NAME?</v>
      </c>
      <c r="Q732" s="1" t="e">
        <f t="shared" ca="1" si="71"/>
        <v>#NAME?</v>
      </c>
      <c r="R732" s="28">
        <v>0.41482704319059849</v>
      </c>
      <c r="S732" s="28">
        <v>0.80415514227934182</v>
      </c>
      <c r="T732" s="28">
        <v>0.62214012513868511</v>
      </c>
      <c r="U732" s="28">
        <v>0.49564968049526215</v>
      </c>
      <c r="V732" s="28">
        <v>0.98622450768016279</v>
      </c>
      <c r="W732" s="28">
        <v>0.50887919985689223</v>
      </c>
      <c r="X732" s="28">
        <v>3.0362541321665049E-2</v>
      </c>
    </row>
    <row r="733" spans="1:24" ht="13.9">
      <c r="A733" s="1">
        <v>732</v>
      </c>
      <c r="B733" s="23" t="e">
        <f ca="1">_xludf.BETA.INV(R733,'04_PSA_INPUTS'!H5,'04_PSA_INPUTS'!I5)</f>
        <v>#NAME?</v>
      </c>
      <c r="C733" s="23" t="e">
        <f ca="1">_xludf.BETA.INV(S733,'04_PSA_INPUTS'!H6,'04_PSA_INPUTS'!I6)</f>
        <v>#NAME?</v>
      </c>
      <c r="D733" s="27" t="e">
        <f ca="1">_xludf.GAMMA.INV(T733,'04_PSA_INPUTS'!H7,'04_PSA_INPUTS'!I7)</f>
        <v>#NAME?</v>
      </c>
      <c r="E733" s="27" t="e">
        <f ca="1">_xludf.GAMMA.INV(U733,'04_PSA_INPUTS'!H8,'04_PSA_INPUTS'!I8)</f>
        <v>#NAME?</v>
      </c>
      <c r="F733" s="27" t="e">
        <f ca="1">_xludf.GAMMA.INV(V733,'04_PSA_INPUTS'!H9,'04_PSA_INPUTS'!I9)</f>
        <v>#NAME?</v>
      </c>
      <c r="G733" s="23" t="e">
        <f ca="1">_xludf.BETA.INV(W733,'04_PSA_INPUTS'!H10,'04_PSA_INPUTS'!I10)</f>
        <v>#NAME?</v>
      </c>
      <c r="H733" s="23" t="e">
        <f ca="1">_xludf.BETA.INV(X733,'04_PSA_INPUTS'!H11,'04_PSA_INPUTS'!I11)</f>
        <v>#NAME?</v>
      </c>
      <c r="I733" s="27" t="e">
        <f ca="1">D733+B733*F733+'01_INPUTS'!B20</f>
        <v>#NAME?</v>
      </c>
      <c r="J733" s="27" t="e">
        <f ca="1">E733+C733*F733+'01_INPUTS'!B21</f>
        <v>#NAME?</v>
      </c>
      <c r="K733" s="27" t="e">
        <f t="shared" ca="1" si="66"/>
        <v>#NAME?</v>
      </c>
      <c r="L733" s="23" t="e">
        <f t="shared" ca="1" si="67"/>
        <v>#NAME?</v>
      </c>
      <c r="M733" s="23" t="e">
        <f t="shared" ca="1" si="68"/>
        <v>#NAME?</v>
      </c>
      <c r="N733" s="23" t="e">
        <f t="shared" ca="1" si="69"/>
        <v>#NAME?</v>
      </c>
      <c r="O733" s="27" t="e">
        <f t="shared" ca="1" si="70"/>
        <v>#NAME?</v>
      </c>
      <c r="P733" s="27" t="e">
        <f ca="1">'01_INPUTS'!B9*N733-K733</f>
        <v>#NAME?</v>
      </c>
      <c r="Q733" s="1" t="e">
        <f t="shared" ca="1" si="71"/>
        <v>#NAME?</v>
      </c>
      <c r="R733" s="28">
        <v>3.9660785114392638E-2</v>
      </c>
      <c r="S733" s="28">
        <v>0.57489041611552238</v>
      </c>
      <c r="T733" s="28">
        <v>0.65042786882258952</v>
      </c>
      <c r="U733" s="28">
        <v>0.96158550120890141</v>
      </c>
      <c r="V733" s="28">
        <v>0.4031199268065393</v>
      </c>
      <c r="W733" s="28">
        <v>0.74176136311143637</v>
      </c>
      <c r="X733" s="28">
        <v>0.13343249773606658</v>
      </c>
    </row>
    <row r="734" spans="1:24" ht="13.9">
      <c r="A734" s="1">
        <v>733</v>
      </c>
      <c r="B734" s="23" t="e">
        <f ca="1">_xludf.BETA.INV(R734,'04_PSA_INPUTS'!H5,'04_PSA_INPUTS'!I5)</f>
        <v>#NAME?</v>
      </c>
      <c r="C734" s="23" t="e">
        <f ca="1">_xludf.BETA.INV(S734,'04_PSA_INPUTS'!H6,'04_PSA_INPUTS'!I6)</f>
        <v>#NAME?</v>
      </c>
      <c r="D734" s="27" t="e">
        <f ca="1">_xludf.GAMMA.INV(T734,'04_PSA_INPUTS'!H7,'04_PSA_INPUTS'!I7)</f>
        <v>#NAME?</v>
      </c>
      <c r="E734" s="27" t="e">
        <f ca="1">_xludf.GAMMA.INV(U734,'04_PSA_INPUTS'!H8,'04_PSA_INPUTS'!I8)</f>
        <v>#NAME?</v>
      </c>
      <c r="F734" s="27" t="e">
        <f ca="1">_xludf.GAMMA.INV(V734,'04_PSA_INPUTS'!H9,'04_PSA_INPUTS'!I9)</f>
        <v>#NAME?</v>
      </c>
      <c r="G734" s="23" t="e">
        <f ca="1">_xludf.BETA.INV(W734,'04_PSA_INPUTS'!H10,'04_PSA_INPUTS'!I10)</f>
        <v>#NAME?</v>
      </c>
      <c r="H734" s="23" t="e">
        <f ca="1">_xludf.BETA.INV(X734,'04_PSA_INPUTS'!H11,'04_PSA_INPUTS'!I11)</f>
        <v>#NAME?</v>
      </c>
      <c r="I734" s="27" t="e">
        <f ca="1">D734+B734*F734+'01_INPUTS'!B20</f>
        <v>#NAME?</v>
      </c>
      <c r="J734" s="27" t="e">
        <f ca="1">E734+C734*F734+'01_INPUTS'!B21</f>
        <v>#NAME?</v>
      </c>
      <c r="K734" s="27" t="e">
        <f t="shared" ca="1" si="66"/>
        <v>#NAME?</v>
      </c>
      <c r="L734" s="23" t="e">
        <f t="shared" ca="1" si="67"/>
        <v>#NAME?</v>
      </c>
      <c r="M734" s="23" t="e">
        <f t="shared" ca="1" si="68"/>
        <v>#NAME?</v>
      </c>
      <c r="N734" s="23" t="e">
        <f t="shared" ca="1" si="69"/>
        <v>#NAME?</v>
      </c>
      <c r="O734" s="27" t="e">
        <f t="shared" ca="1" si="70"/>
        <v>#NAME?</v>
      </c>
      <c r="P734" s="27" t="e">
        <f ca="1">'01_INPUTS'!B9*N734-K734</f>
        <v>#NAME?</v>
      </c>
      <c r="Q734" s="1" t="e">
        <f t="shared" ca="1" si="71"/>
        <v>#NAME?</v>
      </c>
      <c r="R734" s="28">
        <v>0.75375212612561882</v>
      </c>
      <c r="S734" s="28">
        <v>0.30276958900503814</v>
      </c>
      <c r="T734" s="28">
        <v>0.57880067569203675</v>
      </c>
      <c r="U734" s="28">
        <v>0.67493747710250318</v>
      </c>
      <c r="V734" s="28">
        <v>0.86459976271726191</v>
      </c>
      <c r="W734" s="28">
        <v>0.55153438914567232</v>
      </c>
      <c r="X734" s="28">
        <v>0.39904740452766418</v>
      </c>
    </row>
    <row r="735" spans="1:24" ht="13.9">
      <c r="A735" s="1">
        <v>734</v>
      </c>
      <c r="B735" s="23" t="e">
        <f ca="1">_xludf.BETA.INV(R735,'04_PSA_INPUTS'!H5,'04_PSA_INPUTS'!I5)</f>
        <v>#NAME?</v>
      </c>
      <c r="C735" s="23" t="e">
        <f ca="1">_xludf.BETA.INV(S735,'04_PSA_INPUTS'!H6,'04_PSA_INPUTS'!I6)</f>
        <v>#NAME?</v>
      </c>
      <c r="D735" s="27" t="e">
        <f ca="1">_xludf.GAMMA.INV(T735,'04_PSA_INPUTS'!H7,'04_PSA_INPUTS'!I7)</f>
        <v>#NAME?</v>
      </c>
      <c r="E735" s="27" t="e">
        <f ca="1">_xludf.GAMMA.INV(U735,'04_PSA_INPUTS'!H8,'04_PSA_INPUTS'!I8)</f>
        <v>#NAME?</v>
      </c>
      <c r="F735" s="27" t="e">
        <f ca="1">_xludf.GAMMA.INV(V735,'04_PSA_INPUTS'!H9,'04_PSA_INPUTS'!I9)</f>
        <v>#NAME?</v>
      </c>
      <c r="G735" s="23" t="e">
        <f ca="1">_xludf.BETA.INV(W735,'04_PSA_INPUTS'!H10,'04_PSA_INPUTS'!I10)</f>
        <v>#NAME?</v>
      </c>
      <c r="H735" s="23" t="e">
        <f ca="1">_xludf.BETA.INV(X735,'04_PSA_INPUTS'!H11,'04_PSA_INPUTS'!I11)</f>
        <v>#NAME?</v>
      </c>
      <c r="I735" s="27" t="e">
        <f ca="1">D735+B735*F735+'01_INPUTS'!B20</f>
        <v>#NAME?</v>
      </c>
      <c r="J735" s="27" t="e">
        <f ca="1">E735+C735*F735+'01_INPUTS'!B21</f>
        <v>#NAME?</v>
      </c>
      <c r="K735" s="27" t="e">
        <f t="shared" ca="1" si="66"/>
        <v>#NAME?</v>
      </c>
      <c r="L735" s="23" t="e">
        <f t="shared" ca="1" si="67"/>
        <v>#NAME?</v>
      </c>
      <c r="M735" s="23" t="e">
        <f t="shared" ca="1" si="68"/>
        <v>#NAME?</v>
      </c>
      <c r="N735" s="23" t="e">
        <f t="shared" ca="1" si="69"/>
        <v>#NAME?</v>
      </c>
      <c r="O735" s="27" t="e">
        <f t="shared" ca="1" si="70"/>
        <v>#NAME?</v>
      </c>
      <c r="P735" s="27" t="e">
        <f ca="1">'01_INPUTS'!B9*N735-K735</f>
        <v>#NAME?</v>
      </c>
      <c r="Q735" s="1" t="e">
        <f t="shared" ca="1" si="71"/>
        <v>#NAME?</v>
      </c>
      <c r="R735" s="28">
        <v>0.63426677323877811</v>
      </c>
      <c r="S735" s="28">
        <v>6.3442173879593611E-2</v>
      </c>
      <c r="T735" s="28">
        <v>0.1225884931627661</v>
      </c>
      <c r="U735" s="28">
        <v>0.81351363565772772</v>
      </c>
      <c r="V735" s="28">
        <v>0.29907933133654296</v>
      </c>
      <c r="W735" s="28">
        <v>0.24517152435146272</v>
      </c>
      <c r="X735" s="28">
        <v>0.27858335268683732</v>
      </c>
    </row>
    <row r="736" spans="1:24" ht="13.9">
      <c r="A736" s="1">
        <v>735</v>
      </c>
      <c r="B736" s="23" t="e">
        <f ca="1">_xludf.BETA.INV(R736,'04_PSA_INPUTS'!H5,'04_PSA_INPUTS'!I5)</f>
        <v>#NAME?</v>
      </c>
      <c r="C736" s="23" t="e">
        <f ca="1">_xludf.BETA.INV(S736,'04_PSA_INPUTS'!H6,'04_PSA_INPUTS'!I6)</f>
        <v>#NAME?</v>
      </c>
      <c r="D736" s="27" t="e">
        <f ca="1">_xludf.GAMMA.INV(T736,'04_PSA_INPUTS'!H7,'04_PSA_INPUTS'!I7)</f>
        <v>#NAME?</v>
      </c>
      <c r="E736" s="27" t="e">
        <f ca="1">_xludf.GAMMA.INV(U736,'04_PSA_INPUTS'!H8,'04_PSA_INPUTS'!I8)</f>
        <v>#NAME?</v>
      </c>
      <c r="F736" s="27" t="e">
        <f ca="1">_xludf.GAMMA.INV(V736,'04_PSA_INPUTS'!H9,'04_PSA_INPUTS'!I9)</f>
        <v>#NAME?</v>
      </c>
      <c r="G736" s="23" t="e">
        <f ca="1">_xludf.BETA.INV(W736,'04_PSA_INPUTS'!H10,'04_PSA_INPUTS'!I10)</f>
        <v>#NAME?</v>
      </c>
      <c r="H736" s="23" t="e">
        <f ca="1">_xludf.BETA.INV(X736,'04_PSA_INPUTS'!H11,'04_PSA_INPUTS'!I11)</f>
        <v>#NAME?</v>
      </c>
      <c r="I736" s="27" t="e">
        <f ca="1">D736+B736*F736+'01_INPUTS'!B20</f>
        <v>#NAME?</v>
      </c>
      <c r="J736" s="27" t="e">
        <f ca="1">E736+C736*F736+'01_INPUTS'!B21</f>
        <v>#NAME?</v>
      </c>
      <c r="K736" s="27" t="e">
        <f t="shared" ca="1" si="66"/>
        <v>#NAME?</v>
      </c>
      <c r="L736" s="23" t="e">
        <f t="shared" ca="1" si="67"/>
        <v>#NAME?</v>
      </c>
      <c r="M736" s="23" t="e">
        <f t="shared" ca="1" si="68"/>
        <v>#NAME?</v>
      </c>
      <c r="N736" s="23" t="e">
        <f t="shared" ca="1" si="69"/>
        <v>#NAME?</v>
      </c>
      <c r="O736" s="27" t="e">
        <f t="shared" ca="1" si="70"/>
        <v>#NAME?</v>
      </c>
      <c r="P736" s="27" t="e">
        <f ca="1">'01_INPUTS'!B9*N736-K736</f>
        <v>#NAME?</v>
      </c>
      <c r="Q736" s="1" t="e">
        <f t="shared" ca="1" si="71"/>
        <v>#NAME?</v>
      </c>
      <c r="R736" s="28">
        <v>0.95832263864576817</v>
      </c>
      <c r="S736" s="28">
        <v>0.55958349187858403</v>
      </c>
      <c r="T736" s="28">
        <v>0.16540088737383485</v>
      </c>
      <c r="U736" s="28">
        <v>0.47559252800419927</v>
      </c>
      <c r="V736" s="28">
        <v>0.9290722485166043</v>
      </c>
      <c r="W736" s="28">
        <v>0.23300412204116583</v>
      </c>
      <c r="X736" s="28">
        <v>0.95965726114809513</v>
      </c>
    </row>
    <row r="737" spans="1:24" ht="13.9">
      <c r="A737" s="1">
        <v>736</v>
      </c>
      <c r="B737" s="23" t="e">
        <f ca="1">_xludf.BETA.INV(R737,'04_PSA_INPUTS'!H5,'04_PSA_INPUTS'!I5)</f>
        <v>#NAME?</v>
      </c>
      <c r="C737" s="23" t="e">
        <f ca="1">_xludf.BETA.INV(S737,'04_PSA_INPUTS'!H6,'04_PSA_INPUTS'!I6)</f>
        <v>#NAME?</v>
      </c>
      <c r="D737" s="27" t="e">
        <f ca="1">_xludf.GAMMA.INV(T737,'04_PSA_INPUTS'!H7,'04_PSA_INPUTS'!I7)</f>
        <v>#NAME?</v>
      </c>
      <c r="E737" s="27" t="e">
        <f ca="1">_xludf.GAMMA.INV(U737,'04_PSA_INPUTS'!H8,'04_PSA_INPUTS'!I8)</f>
        <v>#NAME?</v>
      </c>
      <c r="F737" s="27" t="e">
        <f ca="1">_xludf.GAMMA.INV(V737,'04_PSA_INPUTS'!H9,'04_PSA_INPUTS'!I9)</f>
        <v>#NAME?</v>
      </c>
      <c r="G737" s="23" t="e">
        <f ca="1">_xludf.BETA.INV(W737,'04_PSA_INPUTS'!H10,'04_PSA_INPUTS'!I10)</f>
        <v>#NAME?</v>
      </c>
      <c r="H737" s="23" t="e">
        <f ca="1">_xludf.BETA.INV(X737,'04_PSA_INPUTS'!H11,'04_PSA_INPUTS'!I11)</f>
        <v>#NAME?</v>
      </c>
      <c r="I737" s="27" t="e">
        <f ca="1">D737+B737*F737+'01_INPUTS'!B20</f>
        <v>#NAME?</v>
      </c>
      <c r="J737" s="27" t="e">
        <f ca="1">E737+C737*F737+'01_INPUTS'!B21</f>
        <v>#NAME?</v>
      </c>
      <c r="K737" s="27" t="e">
        <f t="shared" ca="1" si="66"/>
        <v>#NAME?</v>
      </c>
      <c r="L737" s="23" t="e">
        <f t="shared" ca="1" si="67"/>
        <v>#NAME?</v>
      </c>
      <c r="M737" s="23" t="e">
        <f t="shared" ca="1" si="68"/>
        <v>#NAME?</v>
      </c>
      <c r="N737" s="23" t="e">
        <f t="shared" ca="1" si="69"/>
        <v>#NAME?</v>
      </c>
      <c r="O737" s="27" t="e">
        <f t="shared" ca="1" si="70"/>
        <v>#NAME?</v>
      </c>
      <c r="P737" s="27" t="e">
        <f ca="1">'01_INPUTS'!B9*N737-K737</f>
        <v>#NAME?</v>
      </c>
      <c r="Q737" s="1" t="e">
        <f t="shared" ca="1" si="71"/>
        <v>#NAME?</v>
      </c>
      <c r="R737" s="28">
        <v>0.49169828020967543</v>
      </c>
      <c r="S737" s="28">
        <v>0.91832077247090638</v>
      </c>
      <c r="T737" s="28">
        <v>0.44238524837419391</v>
      </c>
      <c r="U737" s="28">
        <v>0.71335099544376135</v>
      </c>
      <c r="V737" s="28">
        <v>0.51904346351511776</v>
      </c>
      <c r="W737" s="28">
        <v>0.48367010848596692</v>
      </c>
      <c r="X737" s="28">
        <v>6.2867560423910618E-2</v>
      </c>
    </row>
    <row r="738" spans="1:24" ht="13.9">
      <c r="A738" s="1">
        <v>737</v>
      </c>
      <c r="B738" s="23" t="e">
        <f ca="1">_xludf.BETA.INV(R738,'04_PSA_INPUTS'!H5,'04_PSA_INPUTS'!I5)</f>
        <v>#NAME?</v>
      </c>
      <c r="C738" s="23" t="e">
        <f ca="1">_xludf.BETA.INV(S738,'04_PSA_INPUTS'!H6,'04_PSA_INPUTS'!I6)</f>
        <v>#NAME?</v>
      </c>
      <c r="D738" s="27" t="e">
        <f ca="1">_xludf.GAMMA.INV(T738,'04_PSA_INPUTS'!H7,'04_PSA_INPUTS'!I7)</f>
        <v>#NAME?</v>
      </c>
      <c r="E738" s="27" t="e">
        <f ca="1">_xludf.GAMMA.INV(U738,'04_PSA_INPUTS'!H8,'04_PSA_INPUTS'!I8)</f>
        <v>#NAME?</v>
      </c>
      <c r="F738" s="27" t="e">
        <f ca="1">_xludf.GAMMA.INV(V738,'04_PSA_INPUTS'!H9,'04_PSA_INPUTS'!I9)</f>
        <v>#NAME?</v>
      </c>
      <c r="G738" s="23" t="e">
        <f ca="1">_xludf.BETA.INV(W738,'04_PSA_INPUTS'!H10,'04_PSA_INPUTS'!I10)</f>
        <v>#NAME?</v>
      </c>
      <c r="H738" s="23" t="e">
        <f ca="1">_xludf.BETA.INV(X738,'04_PSA_INPUTS'!H11,'04_PSA_INPUTS'!I11)</f>
        <v>#NAME?</v>
      </c>
      <c r="I738" s="27" t="e">
        <f ca="1">D738+B738*F738+'01_INPUTS'!B20</f>
        <v>#NAME?</v>
      </c>
      <c r="J738" s="27" t="e">
        <f ca="1">E738+C738*F738+'01_INPUTS'!B21</f>
        <v>#NAME?</v>
      </c>
      <c r="K738" s="27" t="e">
        <f t="shared" ca="1" si="66"/>
        <v>#NAME?</v>
      </c>
      <c r="L738" s="23" t="e">
        <f t="shared" ca="1" si="67"/>
        <v>#NAME?</v>
      </c>
      <c r="M738" s="23" t="e">
        <f t="shared" ca="1" si="68"/>
        <v>#NAME?</v>
      </c>
      <c r="N738" s="23" t="e">
        <f t="shared" ca="1" si="69"/>
        <v>#NAME?</v>
      </c>
      <c r="O738" s="27" t="e">
        <f t="shared" ca="1" si="70"/>
        <v>#NAME?</v>
      </c>
      <c r="P738" s="27" t="e">
        <f ca="1">'01_INPUTS'!B9*N738-K738</f>
        <v>#NAME?</v>
      </c>
      <c r="Q738" s="1" t="e">
        <f t="shared" ca="1" si="71"/>
        <v>#NAME?</v>
      </c>
      <c r="R738" s="28">
        <v>0.75478969397954643</v>
      </c>
      <c r="S738" s="28">
        <v>0.6836842477787286</v>
      </c>
      <c r="T738" s="28">
        <v>2.5743183214217424E-2</v>
      </c>
      <c r="U738" s="28">
        <v>0.77175673376768827</v>
      </c>
      <c r="V738" s="28">
        <v>0.47129110363312066</v>
      </c>
      <c r="W738" s="28">
        <v>0.10893193748779595</v>
      </c>
      <c r="X738" s="28">
        <v>8.7944812839850783E-2</v>
      </c>
    </row>
    <row r="739" spans="1:24" ht="13.9">
      <c r="A739" s="1">
        <v>738</v>
      </c>
      <c r="B739" s="23" t="e">
        <f ca="1">_xludf.BETA.INV(R739,'04_PSA_INPUTS'!H5,'04_PSA_INPUTS'!I5)</f>
        <v>#NAME?</v>
      </c>
      <c r="C739" s="23" t="e">
        <f ca="1">_xludf.BETA.INV(S739,'04_PSA_INPUTS'!H6,'04_PSA_INPUTS'!I6)</f>
        <v>#NAME?</v>
      </c>
      <c r="D739" s="27" t="e">
        <f ca="1">_xludf.GAMMA.INV(T739,'04_PSA_INPUTS'!H7,'04_PSA_INPUTS'!I7)</f>
        <v>#NAME?</v>
      </c>
      <c r="E739" s="27" t="e">
        <f ca="1">_xludf.GAMMA.INV(U739,'04_PSA_INPUTS'!H8,'04_PSA_INPUTS'!I8)</f>
        <v>#NAME?</v>
      </c>
      <c r="F739" s="27" t="e">
        <f ca="1">_xludf.GAMMA.INV(V739,'04_PSA_INPUTS'!H9,'04_PSA_INPUTS'!I9)</f>
        <v>#NAME?</v>
      </c>
      <c r="G739" s="23" t="e">
        <f ca="1">_xludf.BETA.INV(W739,'04_PSA_INPUTS'!H10,'04_PSA_INPUTS'!I10)</f>
        <v>#NAME?</v>
      </c>
      <c r="H739" s="23" t="e">
        <f ca="1">_xludf.BETA.INV(X739,'04_PSA_INPUTS'!H11,'04_PSA_INPUTS'!I11)</f>
        <v>#NAME?</v>
      </c>
      <c r="I739" s="27" t="e">
        <f ca="1">D739+B739*F739+'01_INPUTS'!B20</f>
        <v>#NAME?</v>
      </c>
      <c r="J739" s="27" t="e">
        <f ca="1">E739+C739*F739+'01_INPUTS'!B21</f>
        <v>#NAME?</v>
      </c>
      <c r="K739" s="27" t="e">
        <f t="shared" ca="1" si="66"/>
        <v>#NAME?</v>
      </c>
      <c r="L739" s="23" t="e">
        <f t="shared" ca="1" si="67"/>
        <v>#NAME?</v>
      </c>
      <c r="M739" s="23" t="e">
        <f t="shared" ca="1" si="68"/>
        <v>#NAME?</v>
      </c>
      <c r="N739" s="23" t="e">
        <f t="shared" ca="1" si="69"/>
        <v>#NAME?</v>
      </c>
      <c r="O739" s="27" t="e">
        <f t="shared" ca="1" si="70"/>
        <v>#NAME?</v>
      </c>
      <c r="P739" s="27" t="e">
        <f ca="1">'01_INPUTS'!B9*N739-K739</f>
        <v>#NAME?</v>
      </c>
      <c r="Q739" s="1" t="e">
        <f t="shared" ca="1" si="71"/>
        <v>#NAME?</v>
      </c>
      <c r="R739" s="28">
        <v>0.64484627638012171</v>
      </c>
      <c r="S739" s="28">
        <v>0.21365625457838178</v>
      </c>
      <c r="T739" s="28">
        <v>0.73589276126585901</v>
      </c>
      <c r="U739" s="28">
        <v>0.20019847177900374</v>
      </c>
      <c r="V739" s="28">
        <v>0.26686109905131161</v>
      </c>
      <c r="W739" s="28">
        <v>0.42463239468634129</v>
      </c>
      <c r="X739" s="28">
        <v>8.7029964430257678E-2</v>
      </c>
    </row>
    <row r="740" spans="1:24" ht="13.9">
      <c r="A740" s="1">
        <v>739</v>
      </c>
      <c r="B740" s="23" t="e">
        <f ca="1">_xludf.BETA.INV(R740,'04_PSA_INPUTS'!H5,'04_PSA_INPUTS'!I5)</f>
        <v>#NAME?</v>
      </c>
      <c r="C740" s="23" t="e">
        <f ca="1">_xludf.BETA.INV(S740,'04_PSA_INPUTS'!H6,'04_PSA_INPUTS'!I6)</f>
        <v>#NAME?</v>
      </c>
      <c r="D740" s="27" t="e">
        <f ca="1">_xludf.GAMMA.INV(T740,'04_PSA_INPUTS'!H7,'04_PSA_INPUTS'!I7)</f>
        <v>#NAME?</v>
      </c>
      <c r="E740" s="27" t="e">
        <f ca="1">_xludf.GAMMA.INV(U740,'04_PSA_INPUTS'!H8,'04_PSA_INPUTS'!I8)</f>
        <v>#NAME?</v>
      </c>
      <c r="F740" s="27" t="e">
        <f ca="1">_xludf.GAMMA.INV(V740,'04_PSA_INPUTS'!H9,'04_PSA_INPUTS'!I9)</f>
        <v>#NAME?</v>
      </c>
      <c r="G740" s="23" t="e">
        <f ca="1">_xludf.BETA.INV(W740,'04_PSA_INPUTS'!H10,'04_PSA_INPUTS'!I10)</f>
        <v>#NAME?</v>
      </c>
      <c r="H740" s="23" t="e">
        <f ca="1">_xludf.BETA.INV(X740,'04_PSA_INPUTS'!H11,'04_PSA_INPUTS'!I11)</f>
        <v>#NAME?</v>
      </c>
      <c r="I740" s="27" t="e">
        <f ca="1">D740+B740*F740+'01_INPUTS'!B20</f>
        <v>#NAME?</v>
      </c>
      <c r="J740" s="27" t="e">
        <f ca="1">E740+C740*F740+'01_INPUTS'!B21</f>
        <v>#NAME?</v>
      </c>
      <c r="K740" s="27" t="e">
        <f t="shared" ca="1" si="66"/>
        <v>#NAME?</v>
      </c>
      <c r="L740" s="23" t="e">
        <f t="shared" ca="1" si="67"/>
        <v>#NAME?</v>
      </c>
      <c r="M740" s="23" t="e">
        <f t="shared" ca="1" si="68"/>
        <v>#NAME?</v>
      </c>
      <c r="N740" s="23" t="e">
        <f t="shared" ca="1" si="69"/>
        <v>#NAME?</v>
      </c>
      <c r="O740" s="27" t="e">
        <f t="shared" ca="1" si="70"/>
        <v>#NAME?</v>
      </c>
      <c r="P740" s="27" t="e">
        <f ca="1">'01_INPUTS'!B9*N740-K740</f>
        <v>#NAME?</v>
      </c>
      <c r="Q740" s="1" t="e">
        <f t="shared" ca="1" si="71"/>
        <v>#NAME?</v>
      </c>
      <c r="R740" s="28">
        <v>0.47261677542701364</v>
      </c>
      <c r="S740" s="28">
        <v>0.24110246519558132</v>
      </c>
      <c r="T740" s="28">
        <v>0.97574285673908889</v>
      </c>
      <c r="U740" s="28">
        <v>0.43430298147723079</v>
      </c>
      <c r="V740" s="28">
        <v>0.59363468852825463</v>
      </c>
      <c r="W740" s="28">
        <v>8.3930832101032138E-2</v>
      </c>
      <c r="X740" s="28">
        <v>0.51913185184821486</v>
      </c>
    </row>
    <row r="741" spans="1:24" ht="13.9">
      <c r="A741" s="1">
        <v>740</v>
      </c>
      <c r="B741" s="23" t="e">
        <f ca="1">_xludf.BETA.INV(R741,'04_PSA_INPUTS'!H5,'04_PSA_INPUTS'!I5)</f>
        <v>#NAME?</v>
      </c>
      <c r="C741" s="23" t="e">
        <f ca="1">_xludf.BETA.INV(S741,'04_PSA_INPUTS'!H6,'04_PSA_INPUTS'!I6)</f>
        <v>#NAME?</v>
      </c>
      <c r="D741" s="27" t="e">
        <f ca="1">_xludf.GAMMA.INV(T741,'04_PSA_INPUTS'!H7,'04_PSA_INPUTS'!I7)</f>
        <v>#NAME?</v>
      </c>
      <c r="E741" s="27" t="e">
        <f ca="1">_xludf.GAMMA.INV(U741,'04_PSA_INPUTS'!H8,'04_PSA_INPUTS'!I8)</f>
        <v>#NAME?</v>
      </c>
      <c r="F741" s="27" t="e">
        <f ca="1">_xludf.GAMMA.INV(V741,'04_PSA_INPUTS'!H9,'04_PSA_INPUTS'!I9)</f>
        <v>#NAME?</v>
      </c>
      <c r="G741" s="23" t="e">
        <f ca="1">_xludf.BETA.INV(W741,'04_PSA_INPUTS'!H10,'04_PSA_INPUTS'!I10)</f>
        <v>#NAME?</v>
      </c>
      <c r="H741" s="23" t="e">
        <f ca="1">_xludf.BETA.INV(X741,'04_PSA_INPUTS'!H11,'04_PSA_INPUTS'!I11)</f>
        <v>#NAME?</v>
      </c>
      <c r="I741" s="27" t="e">
        <f ca="1">D741+B741*F741+'01_INPUTS'!B20</f>
        <v>#NAME?</v>
      </c>
      <c r="J741" s="27" t="e">
        <f ca="1">E741+C741*F741+'01_INPUTS'!B21</f>
        <v>#NAME?</v>
      </c>
      <c r="K741" s="27" t="e">
        <f t="shared" ca="1" si="66"/>
        <v>#NAME?</v>
      </c>
      <c r="L741" s="23" t="e">
        <f t="shared" ca="1" si="67"/>
        <v>#NAME?</v>
      </c>
      <c r="M741" s="23" t="e">
        <f t="shared" ca="1" si="68"/>
        <v>#NAME?</v>
      </c>
      <c r="N741" s="23" t="e">
        <f t="shared" ca="1" si="69"/>
        <v>#NAME?</v>
      </c>
      <c r="O741" s="27" t="e">
        <f t="shared" ca="1" si="70"/>
        <v>#NAME?</v>
      </c>
      <c r="P741" s="27" t="e">
        <f ca="1">'01_INPUTS'!B9*N741-K741</f>
        <v>#NAME?</v>
      </c>
      <c r="Q741" s="1" t="e">
        <f t="shared" ca="1" si="71"/>
        <v>#NAME?</v>
      </c>
      <c r="R741" s="28">
        <v>0.29381664609536529</v>
      </c>
      <c r="S741" s="28">
        <v>0.9303918827790767</v>
      </c>
      <c r="T741" s="28">
        <v>0.36741209332831204</v>
      </c>
      <c r="U741" s="28">
        <v>0.23742753244005144</v>
      </c>
      <c r="V741" s="28">
        <v>0.2667245042975992</v>
      </c>
      <c r="W741" s="28">
        <v>0.98137506539933383</v>
      </c>
      <c r="X741" s="28">
        <v>0.24794282438233495</v>
      </c>
    </row>
    <row r="742" spans="1:24" ht="13.9">
      <c r="A742" s="1">
        <v>741</v>
      </c>
      <c r="B742" s="23" t="e">
        <f ca="1">_xludf.BETA.INV(R742,'04_PSA_INPUTS'!H5,'04_PSA_INPUTS'!I5)</f>
        <v>#NAME?</v>
      </c>
      <c r="C742" s="23" t="e">
        <f ca="1">_xludf.BETA.INV(S742,'04_PSA_INPUTS'!H6,'04_PSA_INPUTS'!I6)</f>
        <v>#NAME?</v>
      </c>
      <c r="D742" s="27" t="e">
        <f ca="1">_xludf.GAMMA.INV(T742,'04_PSA_INPUTS'!H7,'04_PSA_INPUTS'!I7)</f>
        <v>#NAME?</v>
      </c>
      <c r="E742" s="27" t="e">
        <f ca="1">_xludf.GAMMA.INV(U742,'04_PSA_INPUTS'!H8,'04_PSA_INPUTS'!I8)</f>
        <v>#NAME?</v>
      </c>
      <c r="F742" s="27" t="e">
        <f ca="1">_xludf.GAMMA.INV(V742,'04_PSA_INPUTS'!H9,'04_PSA_INPUTS'!I9)</f>
        <v>#NAME?</v>
      </c>
      <c r="G742" s="23" t="e">
        <f ca="1">_xludf.BETA.INV(W742,'04_PSA_INPUTS'!H10,'04_PSA_INPUTS'!I10)</f>
        <v>#NAME?</v>
      </c>
      <c r="H742" s="23" t="e">
        <f ca="1">_xludf.BETA.INV(X742,'04_PSA_INPUTS'!H11,'04_PSA_INPUTS'!I11)</f>
        <v>#NAME?</v>
      </c>
      <c r="I742" s="27" t="e">
        <f ca="1">D742+B742*F742+'01_INPUTS'!B20</f>
        <v>#NAME?</v>
      </c>
      <c r="J742" s="27" t="e">
        <f ca="1">E742+C742*F742+'01_INPUTS'!B21</f>
        <v>#NAME?</v>
      </c>
      <c r="K742" s="27" t="e">
        <f t="shared" ca="1" si="66"/>
        <v>#NAME?</v>
      </c>
      <c r="L742" s="23" t="e">
        <f t="shared" ca="1" si="67"/>
        <v>#NAME?</v>
      </c>
      <c r="M742" s="23" t="e">
        <f t="shared" ca="1" si="68"/>
        <v>#NAME?</v>
      </c>
      <c r="N742" s="23" t="e">
        <f t="shared" ca="1" si="69"/>
        <v>#NAME?</v>
      </c>
      <c r="O742" s="27" t="e">
        <f t="shared" ca="1" si="70"/>
        <v>#NAME?</v>
      </c>
      <c r="P742" s="27" t="e">
        <f ca="1">'01_INPUTS'!B9*N742-K742</f>
        <v>#NAME?</v>
      </c>
      <c r="Q742" s="1" t="e">
        <f t="shared" ca="1" si="71"/>
        <v>#NAME?</v>
      </c>
      <c r="R742" s="28">
        <v>0.31780167575925589</v>
      </c>
      <c r="S742" s="28">
        <v>0.83003015420399606</v>
      </c>
      <c r="T742" s="28">
        <v>0.47685411293059587</v>
      </c>
      <c r="U742" s="28">
        <v>0.50815692287869751</v>
      </c>
      <c r="V742" s="28">
        <v>0.58530182694084942</v>
      </c>
      <c r="W742" s="28">
        <v>0.34587362012825906</v>
      </c>
      <c r="X742" s="28">
        <v>0.75061122910119593</v>
      </c>
    </row>
    <row r="743" spans="1:24" ht="13.9">
      <c r="A743" s="1">
        <v>742</v>
      </c>
      <c r="B743" s="23" t="e">
        <f ca="1">_xludf.BETA.INV(R743,'04_PSA_INPUTS'!H5,'04_PSA_INPUTS'!I5)</f>
        <v>#NAME?</v>
      </c>
      <c r="C743" s="23" t="e">
        <f ca="1">_xludf.BETA.INV(S743,'04_PSA_INPUTS'!H6,'04_PSA_INPUTS'!I6)</f>
        <v>#NAME?</v>
      </c>
      <c r="D743" s="27" t="e">
        <f ca="1">_xludf.GAMMA.INV(T743,'04_PSA_INPUTS'!H7,'04_PSA_INPUTS'!I7)</f>
        <v>#NAME?</v>
      </c>
      <c r="E743" s="27" t="e">
        <f ca="1">_xludf.GAMMA.INV(U743,'04_PSA_INPUTS'!H8,'04_PSA_INPUTS'!I8)</f>
        <v>#NAME?</v>
      </c>
      <c r="F743" s="27" t="e">
        <f ca="1">_xludf.GAMMA.INV(V743,'04_PSA_INPUTS'!H9,'04_PSA_INPUTS'!I9)</f>
        <v>#NAME?</v>
      </c>
      <c r="G743" s="23" t="e">
        <f ca="1">_xludf.BETA.INV(W743,'04_PSA_INPUTS'!H10,'04_PSA_INPUTS'!I10)</f>
        <v>#NAME?</v>
      </c>
      <c r="H743" s="23" t="e">
        <f ca="1">_xludf.BETA.INV(X743,'04_PSA_INPUTS'!H11,'04_PSA_INPUTS'!I11)</f>
        <v>#NAME?</v>
      </c>
      <c r="I743" s="27" t="e">
        <f ca="1">D743+B743*F743+'01_INPUTS'!B20</f>
        <v>#NAME?</v>
      </c>
      <c r="J743" s="27" t="e">
        <f ca="1">E743+C743*F743+'01_INPUTS'!B21</f>
        <v>#NAME?</v>
      </c>
      <c r="K743" s="27" t="e">
        <f t="shared" ca="1" si="66"/>
        <v>#NAME?</v>
      </c>
      <c r="L743" s="23" t="e">
        <f t="shared" ca="1" si="67"/>
        <v>#NAME?</v>
      </c>
      <c r="M743" s="23" t="e">
        <f t="shared" ca="1" si="68"/>
        <v>#NAME?</v>
      </c>
      <c r="N743" s="23" t="e">
        <f t="shared" ca="1" si="69"/>
        <v>#NAME?</v>
      </c>
      <c r="O743" s="27" t="e">
        <f t="shared" ca="1" si="70"/>
        <v>#NAME?</v>
      </c>
      <c r="P743" s="27" t="e">
        <f ca="1">'01_INPUTS'!B9*N743-K743</f>
        <v>#NAME?</v>
      </c>
      <c r="Q743" s="1" t="e">
        <f t="shared" ca="1" si="71"/>
        <v>#NAME?</v>
      </c>
      <c r="R743" s="28">
        <v>0.33378686010837555</v>
      </c>
      <c r="S743" s="28">
        <v>5.4466305766254663E-2</v>
      </c>
      <c r="T743" s="28">
        <v>0.22872420982457697</v>
      </c>
      <c r="U743" s="28">
        <v>0.78725130041129887</v>
      </c>
      <c r="V743" s="28">
        <v>0.51494993502274156</v>
      </c>
      <c r="W743" s="28">
        <v>0.75798359513282776</v>
      </c>
      <c r="X743" s="28">
        <v>0.41726978006772697</v>
      </c>
    </row>
    <row r="744" spans="1:24" ht="13.9">
      <c r="A744" s="1">
        <v>743</v>
      </c>
      <c r="B744" s="23" t="e">
        <f ca="1">_xludf.BETA.INV(R744,'04_PSA_INPUTS'!H5,'04_PSA_INPUTS'!I5)</f>
        <v>#NAME?</v>
      </c>
      <c r="C744" s="23" t="e">
        <f ca="1">_xludf.BETA.INV(S744,'04_PSA_INPUTS'!H6,'04_PSA_INPUTS'!I6)</f>
        <v>#NAME?</v>
      </c>
      <c r="D744" s="27" t="e">
        <f ca="1">_xludf.GAMMA.INV(T744,'04_PSA_INPUTS'!H7,'04_PSA_INPUTS'!I7)</f>
        <v>#NAME?</v>
      </c>
      <c r="E744" s="27" t="e">
        <f ca="1">_xludf.GAMMA.INV(U744,'04_PSA_INPUTS'!H8,'04_PSA_INPUTS'!I8)</f>
        <v>#NAME?</v>
      </c>
      <c r="F744" s="27" t="e">
        <f ca="1">_xludf.GAMMA.INV(V744,'04_PSA_INPUTS'!H9,'04_PSA_INPUTS'!I9)</f>
        <v>#NAME?</v>
      </c>
      <c r="G744" s="23" t="e">
        <f ca="1">_xludf.BETA.INV(W744,'04_PSA_INPUTS'!H10,'04_PSA_INPUTS'!I10)</f>
        <v>#NAME?</v>
      </c>
      <c r="H744" s="23" t="e">
        <f ca="1">_xludf.BETA.INV(X744,'04_PSA_INPUTS'!H11,'04_PSA_INPUTS'!I11)</f>
        <v>#NAME?</v>
      </c>
      <c r="I744" s="27" t="e">
        <f ca="1">D744+B744*F744+'01_INPUTS'!B20</f>
        <v>#NAME?</v>
      </c>
      <c r="J744" s="27" t="e">
        <f ca="1">E744+C744*F744+'01_INPUTS'!B21</f>
        <v>#NAME?</v>
      </c>
      <c r="K744" s="27" t="e">
        <f t="shared" ca="1" si="66"/>
        <v>#NAME?</v>
      </c>
      <c r="L744" s="23" t="e">
        <f t="shared" ca="1" si="67"/>
        <v>#NAME?</v>
      </c>
      <c r="M744" s="23" t="e">
        <f t="shared" ca="1" si="68"/>
        <v>#NAME?</v>
      </c>
      <c r="N744" s="23" t="e">
        <f t="shared" ca="1" si="69"/>
        <v>#NAME?</v>
      </c>
      <c r="O744" s="27" t="e">
        <f t="shared" ca="1" si="70"/>
        <v>#NAME?</v>
      </c>
      <c r="P744" s="27" t="e">
        <f ca="1">'01_INPUTS'!B9*N744-K744</f>
        <v>#NAME?</v>
      </c>
      <c r="Q744" s="1" t="e">
        <f t="shared" ca="1" si="71"/>
        <v>#NAME?</v>
      </c>
      <c r="R744" s="28">
        <v>0.99408017098903656</v>
      </c>
      <c r="S744" s="28">
        <v>0.30150100099854171</v>
      </c>
      <c r="T744" s="28">
        <v>0.57258883630856872</v>
      </c>
      <c r="U744" s="28">
        <v>0.68877628212794662</v>
      </c>
      <c r="V744" s="28">
        <v>0.95656494260765612</v>
      </c>
      <c r="W744" s="28">
        <v>0.99275495600886643</v>
      </c>
      <c r="X744" s="28">
        <v>0.20123449759557843</v>
      </c>
    </row>
    <row r="745" spans="1:24" ht="13.9">
      <c r="A745" s="1">
        <v>744</v>
      </c>
      <c r="B745" s="23" t="e">
        <f ca="1">_xludf.BETA.INV(R745,'04_PSA_INPUTS'!H5,'04_PSA_INPUTS'!I5)</f>
        <v>#NAME?</v>
      </c>
      <c r="C745" s="23" t="e">
        <f ca="1">_xludf.BETA.INV(S745,'04_PSA_INPUTS'!H6,'04_PSA_INPUTS'!I6)</f>
        <v>#NAME?</v>
      </c>
      <c r="D745" s="27" t="e">
        <f ca="1">_xludf.GAMMA.INV(T745,'04_PSA_INPUTS'!H7,'04_PSA_INPUTS'!I7)</f>
        <v>#NAME?</v>
      </c>
      <c r="E745" s="27" t="e">
        <f ca="1">_xludf.GAMMA.INV(U745,'04_PSA_INPUTS'!H8,'04_PSA_INPUTS'!I8)</f>
        <v>#NAME?</v>
      </c>
      <c r="F745" s="27" t="e">
        <f ca="1">_xludf.GAMMA.INV(V745,'04_PSA_INPUTS'!H9,'04_PSA_INPUTS'!I9)</f>
        <v>#NAME?</v>
      </c>
      <c r="G745" s="23" t="e">
        <f ca="1">_xludf.BETA.INV(W745,'04_PSA_INPUTS'!H10,'04_PSA_INPUTS'!I10)</f>
        <v>#NAME?</v>
      </c>
      <c r="H745" s="23" t="e">
        <f ca="1">_xludf.BETA.INV(X745,'04_PSA_INPUTS'!H11,'04_PSA_INPUTS'!I11)</f>
        <v>#NAME?</v>
      </c>
      <c r="I745" s="27" t="e">
        <f ca="1">D745+B745*F745+'01_INPUTS'!B20</f>
        <v>#NAME?</v>
      </c>
      <c r="J745" s="27" t="e">
        <f ca="1">E745+C745*F745+'01_INPUTS'!B21</f>
        <v>#NAME?</v>
      </c>
      <c r="K745" s="27" t="e">
        <f t="shared" ca="1" si="66"/>
        <v>#NAME?</v>
      </c>
      <c r="L745" s="23" t="e">
        <f t="shared" ca="1" si="67"/>
        <v>#NAME?</v>
      </c>
      <c r="M745" s="23" t="e">
        <f t="shared" ca="1" si="68"/>
        <v>#NAME?</v>
      </c>
      <c r="N745" s="23" t="e">
        <f t="shared" ca="1" si="69"/>
        <v>#NAME?</v>
      </c>
      <c r="O745" s="27" t="e">
        <f t="shared" ca="1" si="70"/>
        <v>#NAME?</v>
      </c>
      <c r="P745" s="27" t="e">
        <f ca="1">'01_INPUTS'!B9*N745-K745</f>
        <v>#NAME?</v>
      </c>
      <c r="Q745" s="1" t="e">
        <f t="shared" ca="1" si="71"/>
        <v>#NAME?</v>
      </c>
      <c r="R745" s="28">
        <v>0.57170529081486166</v>
      </c>
      <c r="S745" s="28">
        <v>1.9140196498483419E-2</v>
      </c>
      <c r="T745" s="28">
        <v>5.8539413148537278E-2</v>
      </c>
      <c r="U745" s="28">
        <v>0.35420115664601326</v>
      </c>
      <c r="V745" s="28">
        <v>0.37237973744049668</v>
      </c>
      <c r="W745" s="28">
        <v>0.2474693541880697</v>
      </c>
      <c r="X745" s="28">
        <v>0.93175380281172693</v>
      </c>
    </row>
    <row r="746" spans="1:24" ht="13.9">
      <c r="A746" s="1">
        <v>745</v>
      </c>
      <c r="B746" s="23" t="e">
        <f ca="1">_xludf.BETA.INV(R746,'04_PSA_INPUTS'!H5,'04_PSA_INPUTS'!I5)</f>
        <v>#NAME?</v>
      </c>
      <c r="C746" s="23" t="e">
        <f ca="1">_xludf.BETA.INV(S746,'04_PSA_INPUTS'!H6,'04_PSA_INPUTS'!I6)</f>
        <v>#NAME?</v>
      </c>
      <c r="D746" s="27" t="e">
        <f ca="1">_xludf.GAMMA.INV(T746,'04_PSA_INPUTS'!H7,'04_PSA_INPUTS'!I7)</f>
        <v>#NAME?</v>
      </c>
      <c r="E746" s="27" t="e">
        <f ca="1">_xludf.GAMMA.INV(U746,'04_PSA_INPUTS'!H8,'04_PSA_INPUTS'!I8)</f>
        <v>#NAME?</v>
      </c>
      <c r="F746" s="27" t="e">
        <f ca="1">_xludf.GAMMA.INV(V746,'04_PSA_INPUTS'!H9,'04_PSA_INPUTS'!I9)</f>
        <v>#NAME?</v>
      </c>
      <c r="G746" s="23" t="e">
        <f ca="1">_xludf.BETA.INV(W746,'04_PSA_INPUTS'!H10,'04_PSA_INPUTS'!I10)</f>
        <v>#NAME?</v>
      </c>
      <c r="H746" s="23" t="e">
        <f ca="1">_xludf.BETA.INV(X746,'04_PSA_INPUTS'!H11,'04_PSA_INPUTS'!I11)</f>
        <v>#NAME?</v>
      </c>
      <c r="I746" s="27" t="e">
        <f ca="1">D746+B746*F746+'01_INPUTS'!B20</f>
        <v>#NAME?</v>
      </c>
      <c r="J746" s="27" t="e">
        <f ca="1">E746+C746*F746+'01_INPUTS'!B21</f>
        <v>#NAME?</v>
      </c>
      <c r="K746" s="27" t="e">
        <f t="shared" ca="1" si="66"/>
        <v>#NAME?</v>
      </c>
      <c r="L746" s="23" t="e">
        <f t="shared" ca="1" si="67"/>
        <v>#NAME?</v>
      </c>
      <c r="M746" s="23" t="e">
        <f t="shared" ca="1" si="68"/>
        <v>#NAME?</v>
      </c>
      <c r="N746" s="23" t="e">
        <f t="shared" ca="1" si="69"/>
        <v>#NAME?</v>
      </c>
      <c r="O746" s="27" t="e">
        <f t="shared" ca="1" si="70"/>
        <v>#NAME?</v>
      </c>
      <c r="P746" s="27" t="e">
        <f ca="1">'01_INPUTS'!B9*N746-K746</f>
        <v>#NAME?</v>
      </c>
      <c r="Q746" s="1" t="e">
        <f t="shared" ca="1" si="71"/>
        <v>#NAME?</v>
      </c>
      <c r="R746" s="28">
        <v>0.62000511470250785</v>
      </c>
      <c r="S746" s="28">
        <v>0.50065016280859709</v>
      </c>
      <c r="T746" s="28">
        <v>0.84086871962063015</v>
      </c>
      <c r="U746" s="28">
        <v>0.21657473407685757</v>
      </c>
      <c r="V746" s="28">
        <v>0.75768198585137725</v>
      </c>
      <c r="W746" s="28">
        <v>0.68934563780203462</v>
      </c>
      <c r="X746" s="28">
        <v>0.10514361597597599</v>
      </c>
    </row>
    <row r="747" spans="1:24" ht="13.9">
      <c r="A747" s="1">
        <v>746</v>
      </c>
      <c r="B747" s="23" t="e">
        <f ca="1">_xludf.BETA.INV(R747,'04_PSA_INPUTS'!H5,'04_PSA_INPUTS'!I5)</f>
        <v>#NAME?</v>
      </c>
      <c r="C747" s="23" t="e">
        <f ca="1">_xludf.BETA.INV(S747,'04_PSA_INPUTS'!H6,'04_PSA_INPUTS'!I6)</f>
        <v>#NAME?</v>
      </c>
      <c r="D747" s="27" t="e">
        <f ca="1">_xludf.GAMMA.INV(T747,'04_PSA_INPUTS'!H7,'04_PSA_INPUTS'!I7)</f>
        <v>#NAME?</v>
      </c>
      <c r="E747" s="27" t="e">
        <f ca="1">_xludf.GAMMA.INV(U747,'04_PSA_INPUTS'!H8,'04_PSA_INPUTS'!I8)</f>
        <v>#NAME?</v>
      </c>
      <c r="F747" s="27" t="e">
        <f ca="1">_xludf.GAMMA.INV(V747,'04_PSA_INPUTS'!H9,'04_PSA_INPUTS'!I9)</f>
        <v>#NAME?</v>
      </c>
      <c r="G747" s="23" t="e">
        <f ca="1">_xludf.BETA.INV(W747,'04_PSA_INPUTS'!H10,'04_PSA_INPUTS'!I10)</f>
        <v>#NAME?</v>
      </c>
      <c r="H747" s="23" t="e">
        <f ca="1">_xludf.BETA.INV(X747,'04_PSA_INPUTS'!H11,'04_PSA_INPUTS'!I11)</f>
        <v>#NAME?</v>
      </c>
      <c r="I747" s="27" t="e">
        <f ca="1">D747+B747*F747+'01_INPUTS'!B20</f>
        <v>#NAME?</v>
      </c>
      <c r="J747" s="27" t="e">
        <f ca="1">E747+C747*F747+'01_INPUTS'!B21</f>
        <v>#NAME?</v>
      </c>
      <c r="K747" s="27" t="e">
        <f t="shared" ca="1" si="66"/>
        <v>#NAME?</v>
      </c>
      <c r="L747" s="23" t="e">
        <f t="shared" ca="1" si="67"/>
        <v>#NAME?</v>
      </c>
      <c r="M747" s="23" t="e">
        <f t="shared" ca="1" si="68"/>
        <v>#NAME?</v>
      </c>
      <c r="N747" s="23" t="e">
        <f t="shared" ca="1" si="69"/>
        <v>#NAME?</v>
      </c>
      <c r="O747" s="27" t="e">
        <f t="shared" ca="1" si="70"/>
        <v>#NAME?</v>
      </c>
      <c r="P747" s="27" t="e">
        <f ca="1">'01_INPUTS'!B9*N747-K747</f>
        <v>#NAME?</v>
      </c>
      <c r="Q747" s="1" t="e">
        <f t="shared" ca="1" si="71"/>
        <v>#NAME?</v>
      </c>
      <c r="R747" s="28">
        <v>0.35304728616029024</v>
      </c>
      <c r="S747" s="28">
        <v>0.85237188916653395</v>
      </c>
      <c r="T747" s="28">
        <v>0.91191044473089278</v>
      </c>
      <c r="U747" s="28">
        <v>0.11262249667197466</v>
      </c>
      <c r="V747" s="28">
        <v>0.99472888233140111</v>
      </c>
      <c r="W747" s="28">
        <v>2.9586062533780932E-2</v>
      </c>
      <c r="X747" s="28">
        <v>0.75602924847044051</v>
      </c>
    </row>
    <row r="748" spans="1:24" ht="13.9">
      <c r="A748" s="1">
        <v>747</v>
      </c>
      <c r="B748" s="23" t="e">
        <f ca="1">_xludf.BETA.INV(R748,'04_PSA_INPUTS'!H5,'04_PSA_INPUTS'!I5)</f>
        <v>#NAME?</v>
      </c>
      <c r="C748" s="23" t="e">
        <f ca="1">_xludf.BETA.INV(S748,'04_PSA_INPUTS'!H6,'04_PSA_INPUTS'!I6)</f>
        <v>#NAME?</v>
      </c>
      <c r="D748" s="27" t="e">
        <f ca="1">_xludf.GAMMA.INV(T748,'04_PSA_INPUTS'!H7,'04_PSA_INPUTS'!I7)</f>
        <v>#NAME?</v>
      </c>
      <c r="E748" s="27" t="e">
        <f ca="1">_xludf.GAMMA.INV(U748,'04_PSA_INPUTS'!H8,'04_PSA_INPUTS'!I8)</f>
        <v>#NAME?</v>
      </c>
      <c r="F748" s="27" t="e">
        <f ca="1">_xludf.GAMMA.INV(V748,'04_PSA_INPUTS'!H9,'04_PSA_INPUTS'!I9)</f>
        <v>#NAME?</v>
      </c>
      <c r="G748" s="23" t="e">
        <f ca="1">_xludf.BETA.INV(W748,'04_PSA_INPUTS'!H10,'04_PSA_INPUTS'!I10)</f>
        <v>#NAME?</v>
      </c>
      <c r="H748" s="23" t="e">
        <f ca="1">_xludf.BETA.INV(X748,'04_PSA_INPUTS'!H11,'04_PSA_INPUTS'!I11)</f>
        <v>#NAME?</v>
      </c>
      <c r="I748" s="27" t="e">
        <f ca="1">D748+B748*F748+'01_INPUTS'!B20</f>
        <v>#NAME?</v>
      </c>
      <c r="J748" s="27" t="e">
        <f ca="1">E748+C748*F748+'01_INPUTS'!B21</f>
        <v>#NAME?</v>
      </c>
      <c r="K748" s="27" t="e">
        <f t="shared" ca="1" si="66"/>
        <v>#NAME?</v>
      </c>
      <c r="L748" s="23" t="e">
        <f t="shared" ca="1" si="67"/>
        <v>#NAME?</v>
      </c>
      <c r="M748" s="23" t="e">
        <f t="shared" ca="1" si="68"/>
        <v>#NAME?</v>
      </c>
      <c r="N748" s="23" t="e">
        <f t="shared" ca="1" si="69"/>
        <v>#NAME?</v>
      </c>
      <c r="O748" s="27" t="e">
        <f t="shared" ca="1" si="70"/>
        <v>#NAME?</v>
      </c>
      <c r="P748" s="27" t="e">
        <f ca="1">'01_INPUTS'!B9*N748-K748</f>
        <v>#NAME?</v>
      </c>
      <c r="Q748" s="1" t="e">
        <f t="shared" ca="1" si="71"/>
        <v>#NAME?</v>
      </c>
      <c r="R748" s="28">
        <v>0.95931797311641276</v>
      </c>
      <c r="S748" s="28">
        <v>0.3219894312787801</v>
      </c>
      <c r="T748" s="28">
        <v>0.33775081438943744</v>
      </c>
      <c r="U748" s="28">
        <v>6.4532030373811722E-3</v>
      </c>
      <c r="V748" s="28">
        <v>0.17020307667553425</v>
      </c>
      <c r="W748" s="28">
        <v>0.6285452030133456</v>
      </c>
      <c r="X748" s="28">
        <v>0.55317123839631677</v>
      </c>
    </row>
    <row r="749" spans="1:24" ht="13.9">
      <c r="A749" s="1">
        <v>748</v>
      </c>
      <c r="B749" s="23" t="e">
        <f ca="1">_xludf.BETA.INV(R749,'04_PSA_INPUTS'!H5,'04_PSA_INPUTS'!I5)</f>
        <v>#NAME?</v>
      </c>
      <c r="C749" s="23" t="e">
        <f ca="1">_xludf.BETA.INV(S749,'04_PSA_INPUTS'!H6,'04_PSA_INPUTS'!I6)</f>
        <v>#NAME?</v>
      </c>
      <c r="D749" s="27" t="e">
        <f ca="1">_xludf.GAMMA.INV(T749,'04_PSA_INPUTS'!H7,'04_PSA_INPUTS'!I7)</f>
        <v>#NAME?</v>
      </c>
      <c r="E749" s="27" t="e">
        <f ca="1">_xludf.GAMMA.INV(U749,'04_PSA_INPUTS'!H8,'04_PSA_INPUTS'!I8)</f>
        <v>#NAME?</v>
      </c>
      <c r="F749" s="27" t="e">
        <f ca="1">_xludf.GAMMA.INV(V749,'04_PSA_INPUTS'!H9,'04_PSA_INPUTS'!I9)</f>
        <v>#NAME?</v>
      </c>
      <c r="G749" s="23" t="e">
        <f ca="1">_xludf.BETA.INV(W749,'04_PSA_INPUTS'!H10,'04_PSA_INPUTS'!I10)</f>
        <v>#NAME?</v>
      </c>
      <c r="H749" s="23" t="e">
        <f ca="1">_xludf.BETA.INV(X749,'04_PSA_INPUTS'!H11,'04_PSA_INPUTS'!I11)</f>
        <v>#NAME?</v>
      </c>
      <c r="I749" s="27" t="e">
        <f ca="1">D749+B749*F749+'01_INPUTS'!B20</f>
        <v>#NAME?</v>
      </c>
      <c r="J749" s="27" t="e">
        <f ca="1">E749+C749*F749+'01_INPUTS'!B21</f>
        <v>#NAME?</v>
      </c>
      <c r="K749" s="27" t="e">
        <f t="shared" ca="1" si="66"/>
        <v>#NAME?</v>
      </c>
      <c r="L749" s="23" t="e">
        <f t="shared" ca="1" si="67"/>
        <v>#NAME?</v>
      </c>
      <c r="M749" s="23" t="e">
        <f t="shared" ca="1" si="68"/>
        <v>#NAME?</v>
      </c>
      <c r="N749" s="23" t="e">
        <f t="shared" ca="1" si="69"/>
        <v>#NAME?</v>
      </c>
      <c r="O749" s="27" t="e">
        <f t="shared" ca="1" si="70"/>
        <v>#NAME?</v>
      </c>
      <c r="P749" s="27" t="e">
        <f ca="1">'01_INPUTS'!B9*N749-K749</f>
        <v>#NAME?</v>
      </c>
      <c r="Q749" s="1" t="e">
        <f t="shared" ca="1" si="71"/>
        <v>#NAME?</v>
      </c>
      <c r="R749" s="28">
        <v>0.46791481482796371</v>
      </c>
      <c r="S749" s="28">
        <v>0.34664281620644033</v>
      </c>
      <c r="T749" s="28">
        <v>9.7154362592846155E-3</v>
      </c>
      <c r="U749" s="28">
        <v>0.6334652341902256</v>
      </c>
      <c r="V749" s="28">
        <v>0.11065372498705983</v>
      </c>
      <c r="W749" s="28">
        <v>0.75809075171127915</v>
      </c>
      <c r="X749" s="28">
        <v>0.88918776880018413</v>
      </c>
    </row>
    <row r="750" spans="1:24" ht="13.9">
      <c r="A750" s="1">
        <v>749</v>
      </c>
      <c r="B750" s="23" t="e">
        <f ca="1">_xludf.BETA.INV(R750,'04_PSA_INPUTS'!H5,'04_PSA_INPUTS'!I5)</f>
        <v>#NAME?</v>
      </c>
      <c r="C750" s="23" t="e">
        <f ca="1">_xludf.BETA.INV(S750,'04_PSA_INPUTS'!H6,'04_PSA_INPUTS'!I6)</f>
        <v>#NAME?</v>
      </c>
      <c r="D750" s="27" t="e">
        <f ca="1">_xludf.GAMMA.INV(T750,'04_PSA_INPUTS'!H7,'04_PSA_INPUTS'!I7)</f>
        <v>#NAME?</v>
      </c>
      <c r="E750" s="27" t="e">
        <f ca="1">_xludf.GAMMA.INV(U750,'04_PSA_INPUTS'!H8,'04_PSA_INPUTS'!I8)</f>
        <v>#NAME?</v>
      </c>
      <c r="F750" s="27" t="e">
        <f ca="1">_xludf.GAMMA.INV(V750,'04_PSA_INPUTS'!H9,'04_PSA_INPUTS'!I9)</f>
        <v>#NAME?</v>
      </c>
      <c r="G750" s="23" t="e">
        <f ca="1">_xludf.BETA.INV(W750,'04_PSA_INPUTS'!H10,'04_PSA_INPUTS'!I10)</f>
        <v>#NAME?</v>
      </c>
      <c r="H750" s="23" t="e">
        <f ca="1">_xludf.BETA.INV(X750,'04_PSA_INPUTS'!H11,'04_PSA_INPUTS'!I11)</f>
        <v>#NAME?</v>
      </c>
      <c r="I750" s="27" t="e">
        <f ca="1">D750+B750*F750+'01_INPUTS'!B20</f>
        <v>#NAME?</v>
      </c>
      <c r="J750" s="27" t="e">
        <f ca="1">E750+C750*F750+'01_INPUTS'!B21</f>
        <v>#NAME?</v>
      </c>
      <c r="K750" s="27" t="e">
        <f t="shared" ca="1" si="66"/>
        <v>#NAME?</v>
      </c>
      <c r="L750" s="23" t="e">
        <f t="shared" ca="1" si="67"/>
        <v>#NAME?</v>
      </c>
      <c r="M750" s="23" t="e">
        <f t="shared" ca="1" si="68"/>
        <v>#NAME?</v>
      </c>
      <c r="N750" s="23" t="e">
        <f t="shared" ca="1" si="69"/>
        <v>#NAME?</v>
      </c>
      <c r="O750" s="27" t="e">
        <f t="shared" ca="1" si="70"/>
        <v>#NAME?</v>
      </c>
      <c r="P750" s="27" t="e">
        <f ca="1">'01_INPUTS'!B9*N750-K750</f>
        <v>#NAME?</v>
      </c>
      <c r="Q750" s="1" t="e">
        <f t="shared" ca="1" si="71"/>
        <v>#NAME?</v>
      </c>
      <c r="R750" s="28">
        <v>0.11448010220192373</v>
      </c>
      <c r="S750" s="28">
        <v>0.41059093689545989</v>
      </c>
      <c r="T750" s="28">
        <v>0.50477422657422721</v>
      </c>
      <c r="U750" s="28">
        <v>0.94212120119482279</v>
      </c>
      <c r="V750" s="28">
        <v>0.95853932597674429</v>
      </c>
      <c r="W750" s="28">
        <v>0.10394762805663049</v>
      </c>
      <c r="X750" s="28">
        <v>0.53015377558767796</v>
      </c>
    </row>
    <row r="751" spans="1:24" ht="13.9">
      <c r="A751" s="1">
        <v>750</v>
      </c>
      <c r="B751" s="23" t="e">
        <f ca="1">_xludf.BETA.INV(R751,'04_PSA_INPUTS'!H5,'04_PSA_INPUTS'!I5)</f>
        <v>#NAME?</v>
      </c>
      <c r="C751" s="23" t="e">
        <f ca="1">_xludf.BETA.INV(S751,'04_PSA_INPUTS'!H6,'04_PSA_INPUTS'!I6)</f>
        <v>#NAME?</v>
      </c>
      <c r="D751" s="27" t="e">
        <f ca="1">_xludf.GAMMA.INV(T751,'04_PSA_INPUTS'!H7,'04_PSA_INPUTS'!I7)</f>
        <v>#NAME?</v>
      </c>
      <c r="E751" s="27" t="e">
        <f ca="1">_xludf.GAMMA.INV(U751,'04_PSA_INPUTS'!H8,'04_PSA_INPUTS'!I8)</f>
        <v>#NAME?</v>
      </c>
      <c r="F751" s="27" t="e">
        <f ca="1">_xludf.GAMMA.INV(V751,'04_PSA_INPUTS'!H9,'04_PSA_INPUTS'!I9)</f>
        <v>#NAME?</v>
      </c>
      <c r="G751" s="23" t="e">
        <f ca="1">_xludf.BETA.INV(W751,'04_PSA_INPUTS'!H10,'04_PSA_INPUTS'!I10)</f>
        <v>#NAME?</v>
      </c>
      <c r="H751" s="23" t="e">
        <f ca="1">_xludf.BETA.INV(X751,'04_PSA_INPUTS'!H11,'04_PSA_INPUTS'!I11)</f>
        <v>#NAME?</v>
      </c>
      <c r="I751" s="27" t="e">
        <f ca="1">D751+B751*F751+'01_INPUTS'!B20</f>
        <v>#NAME?</v>
      </c>
      <c r="J751" s="27" t="e">
        <f ca="1">E751+C751*F751+'01_INPUTS'!B21</f>
        <v>#NAME?</v>
      </c>
      <c r="K751" s="27" t="e">
        <f t="shared" ca="1" si="66"/>
        <v>#NAME?</v>
      </c>
      <c r="L751" s="23" t="e">
        <f t="shared" ca="1" si="67"/>
        <v>#NAME?</v>
      </c>
      <c r="M751" s="23" t="e">
        <f t="shared" ca="1" si="68"/>
        <v>#NAME?</v>
      </c>
      <c r="N751" s="23" t="e">
        <f t="shared" ca="1" si="69"/>
        <v>#NAME?</v>
      </c>
      <c r="O751" s="27" t="e">
        <f t="shared" ca="1" si="70"/>
        <v>#NAME?</v>
      </c>
      <c r="P751" s="27" t="e">
        <f ca="1">'01_INPUTS'!B9*N751-K751</f>
        <v>#NAME?</v>
      </c>
      <c r="Q751" s="1" t="e">
        <f t="shared" ca="1" si="71"/>
        <v>#NAME?</v>
      </c>
      <c r="R751" s="28">
        <v>0.13086747331544757</v>
      </c>
      <c r="S751" s="28">
        <v>0.99122523097321391</v>
      </c>
      <c r="T751" s="28">
        <v>9.4420870300382376E-2</v>
      </c>
      <c r="U751" s="28">
        <v>0.81398385483771563</v>
      </c>
      <c r="V751" s="28">
        <v>0.44240164617076516</v>
      </c>
      <c r="W751" s="28">
        <v>0.79884033650159836</v>
      </c>
      <c r="X751" s="28">
        <v>0.99342097225598991</v>
      </c>
    </row>
    <row r="752" spans="1:24" ht="13.9">
      <c r="A752" s="1">
        <v>751</v>
      </c>
      <c r="B752" s="23" t="e">
        <f ca="1">_xludf.BETA.INV(R752,'04_PSA_INPUTS'!H5,'04_PSA_INPUTS'!I5)</f>
        <v>#NAME?</v>
      </c>
      <c r="C752" s="23" t="e">
        <f ca="1">_xludf.BETA.INV(S752,'04_PSA_INPUTS'!H6,'04_PSA_INPUTS'!I6)</f>
        <v>#NAME?</v>
      </c>
      <c r="D752" s="27" t="e">
        <f ca="1">_xludf.GAMMA.INV(T752,'04_PSA_INPUTS'!H7,'04_PSA_INPUTS'!I7)</f>
        <v>#NAME?</v>
      </c>
      <c r="E752" s="27" t="e">
        <f ca="1">_xludf.GAMMA.INV(U752,'04_PSA_INPUTS'!H8,'04_PSA_INPUTS'!I8)</f>
        <v>#NAME?</v>
      </c>
      <c r="F752" s="27" t="e">
        <f ca="1">_xludf.GAMMA.INV(V752,'04_PSA_INPUTS'!H9,'04_PSA_INPUTS'!I9)</f>
        <v>#NAME?</v>
      </c>
      <c r="G752" s="23" t="e">
        <f ca="1">_xludf.BETA.INV(W752,'04_PSA_INPUTS'!H10,'04_PSA_INPUTS'!I10)</f>
        <v>#NAME?</v>
      </c>
      <c r="H752" s="23" t="e">
        <f ca="1">_xludf.BETA.INV(X752,'04_PSA_INPUTS'!H11,'04_PSA_INPUTS'!I11)</f>
        <v>#NAME?</v>
      </c>
      <c r="I752" s="27" t="e">
        <f ca="1">D752+B752*F752+'01_INPUTS'!B20</f>
        <v>#NAME?</v>
      </c>
      <c r="J752" s="27" t="e">
        <f ca="1">E752+C752*F752+'01_INPUTS'!B21</f>
        <v>#NAME?</v>
      </c>
      <c r="K752" s="27" t="e">
        <f t="shared" ca="1" si="66"/>
        <v>#NAME?</v>
      </c>
      <c r="L752" s="23" t="e">
        <f t="shared" ca="1" si="67"/>
        <v>#NAME?</v>
      </c>
      <c r="M752" s="23" t="e">
        <f t="shared" ca="1" si="68"/>
        <v>#NAME?</v>
      </c>
      <c r="N752" s="23" t="e">
        <f t="shared" ca="1" si="69"/>
        <v>#NAME?</v>
      </c>
      <c r="O752" s="27" t="e">
        <f t="shared" ca="1" si="70"/>
        <v>#NAME?</v>
      </c>
      <c r="P752" s="27" t="e">
        <f ca="1">'01_INPUTS'!B9*N752-K752</f>
        <v>#NAME?</v>
      </c>
      <c r="Q752" s="1" t="e">
        <f t="shared" ca="1" si="71"/>
        <v>#NAME?</v>
      </c>
      <c r="R752" s="28">
        <v>0.68386363028548658</v>
      </c>
      <c r="S752" s="28">
        <v>0.41006572265177965</v>
      </c>
      <c r="T752" s="28">
        <v>8.495431998744607E-2</v>
      </c>
      <c r="U752" s="28">
        <v>0.56979195144958794</v>
      </c>
      <c r="V752" s="28">
        <v>0.88185966154560447</v>
      </c>
      <c r="W752" s="28">
        <v>0.67054963717237115</v>
      </c>
      <c r="X752" s="28">
        <v>0.70440602046437562</v>
      </c>
    </row>
    <row r="753" spans="1:24" ht="13.9">
      <c r="A753" s="1">
        <v>752</v>
      </c>
      <c r="B753" s="23" t="e">
        <f ca="1">_xludf.BETA.INV(R753,'04_PSA_INPUTS'!H5,'04_PSA_INPUTS'!I5)</f>
        <v>#NAME?</v>
      </c>
      <c r="C753" s="23" t="e">
        <f ca="1">_xludf.BETA.INV(S753,'04_PSA_INPUTS'!H6,'04_PSA_INPUTS'!I6)</f>
        <v>#NAME?</v>
      </c>
      <c r="D753" s="27" t="e">
        <f ca="1">_xludf.GAMMA.INV(T753,'04_PSA_INPUTS'!H7,'04_PSA_INPUTS'!I7)</f>
        <v>#NAME?</v>
      </c>
      <c r="E753" s="27" t="e">
        <f ca="1">_xludf.GAMMA.INV(U753,'04_PSA_INPUTS'!H8,'04_PSA_INPUTS'!I8)</f>
        <v>#NAME?</v>
      </c>
      <c r="F753" s="27" t="e">
        <f ca="1">_xludf.GAMMA.INV(V753,'04_PSA_INPUTS'!H9,'04_PSA_INPUTS'!I9)</f>
        <v>#NAME?</v>
      </c>
      <c r="G753" s="23" t="e">
        <f ca="1">_xludf.BETA.INV(W753,'04_PSA_INPUTS'!H10,'04_PSA_INPUTS'!I10)</f>
        <v>#NAME?</v>
      </c>
      <c r="H753" s="23" t="e">
        <f ca="1">_xludf.BETA.INV(X753,'04_PSA_INPUTS'!H11,'04_PSA_INPUTS'!I11)</f>
        <v>#NAME?</v>
      </c>
      <c r="I753" s="27" t="e">
        <f ca="1">D753+B753*F753+'01_INPUTS'!B20</f>
        <v>#NAME?</v>
      </c>
      <c r="J753" s="27" t="e">
        <f ca="1">E753+C753*F753+'01_INPUTS'!B21</f>
        <v>#NAME?</v>
      </c>
      <c r="K753" s="27" t="e">
        <f t="shared" ca="1" si="66"/>
        <v>#NAME?</v>
      </c>
      <c r="L753" s="23" t="e">
        <f t="shared" ca="1" si="67"/>
        <v>#NAME?</v>
      </c>
      <c r="M753" s="23" t="e">
        <f t="shared" ca="1" si="68"/>
        <v>#NAME?</v>
      </c>
      <c r="N753" s="23" t="e">
        <f t="shared" ca="1" si="69"/>
        <v>#NAME?</v>
      </c>
      <c r="O753" s="27" t="e">
        <f t="shared" ca="1" si="70"/>
        <v>#NAME?</v>
      </c>
      <c r="P753" s="27" t="e">
        <f ca="1">'01_INPUTS'!B9*N753-K753</f>
        <v>#NAME?</v>
      </c>
      <c r="Q753" s="1" t="e">
        <f t="shared" ca="1" si="71"/>
        <v>#NAME?</v>
      </c>
      <c r="R753" s="28">
        <v>0.90117470477707684</v>
      </c>
      <c r="S753" s="28">
        <v>0.90126193570904434</v>
      </c>
      <c r="T753" s="28">
        <v>0.92989249876700342</v>
      </c>
      <c r="U753" s="28">
        <v>0.18462386564351618</v>
      </c>
      <c r="V753" s="28">
        <v>0.95187326986342669</v>
      </c>
      <c r="W753" s="28">
        <v>0.34350078040733933</v>
      </c>
      <c r="X753" s="28">
        <v>0.45023592165671289</v>
      </c>
    </row>
    <row r="754" spans="1:24" ht="13.9">
      <c r="A754" s="1">
        <v>753</v>
      </c>
      <c r="B754" s="23" t="e">
        <f ca="1">_xludf.BETA.INV(R754,'04_PSA_INPUTS'!H5,'04_PSA_INPUTS'!I5)</f>
        <v>#NAME?</v>
      </c>
      <c r="C754" s="23" t="e">
        <f ca="1">_xludf.BETA.INV(S754,'04_PSA_INPUTS'!H6,'04_PSA_INPUTS'!I6)</f>
        <v>#NAME?</v>
      </c>
      <c r="D754" s="27" t="e">
        <f ca="1">_xludf.GAMMA.INV(T754,'04_PSA_INPUTS'!H7,'04_PSA_INPUTS'!I7)</f>
        <v>#NAME?</v>
      </c>
      <c r="E754" s="27" t="e">
        <f ca="1">_xludf.GAMMA.INV(U754,'04_PSA_INPUTS'!H8,'04_PSA_INPUTS'!I8)</f>
        <v>#NAME?</v>
      </c>
      <c r="F754" s="27" t="e">
        <f ca="1">_xludf.GAMMA.INV(V754,'04_PSA_INPUTS'!H9,'04_PSA_INPUTS'!I9)</f>
        <v>#NAME?</v>
      </c>
      <c r="G754" s="23" t="e">
        <f ca="1">_xludf.BETA.INV(W754,'04_PSA_INPUTS'!H10,'04_PSA_INPUTS'!I10)</f>
        <v>#NAME?</v>
      </c>
      <c r="H754" s="23" t="e">
        <f ca="1">_xludf.BETA.INV(X754,'04_PSA_INPUTS'!H11,'04_PSA_INPUTS'!I11)</f>
        <v>#NAME?</v>
      </c>
      <c r="I754" s="27" t="e">
        <f ca="1">D754+B754*F754+'01_INPUTS'!B20</f>
        <v>#NAME?</v>
      </c>
      <c r="J754" s="27" t="e">
        <f ca="1">E754+C754*F754+'01_INPUTS'!B21</f>
        <v>#NAME?</v>
      </c>
      <c r="K754" s="27" t="e">
        <f t="shared" ca="1" si="66"/>
        <v>#NAME?</v>
      </c>
      <c r="L754" s="23" t="e">
        <f t="shared" ca="1" si="67"/>
        <v>#NAME?</v>
      </c>
      <c r="M754" s="23" t="e">
        <f t="shared" ca="1" si="68"/>
        <v>#NAME?</v>
      </c>
      <c r="N754" s="23" t="e">
        <f t="shared" ca="1" si="69"/>
        <v>#NAME?</v>
      </c>
      <c r="O754" s="27" t="e">
        <f t="shared" ca="1" si="70"/>
        <v>#NAME?</v>
      </c>
      <c r="P754" s="27" t="e">
        <f ca="1">'01_INPUTS'!B9*N754-K754</f>
        <v>#NAME?</v>
      </c>
      <c r="Q754" s="1" t="e">
        <f t="shared" ca="1" si="71"/>
        <v>#NAME?</v>
      </c>
      <c r="R754" s="28">
        <v>0.71430708188563585</v>
      </c>
      <c r="S754" s="28">
        <v>0.4566473497543484</v>
      </c>
      <c r="T754" s="28">
        <v>0.54434322076849639</v>
      </c>
      <c r="U754" s="28">
        <v>0.1580377051141113</v>
      </c>
      <c r="V754" s="28">
        <v>1.5319524798542261E-2</v>
      </c>
      <c r="W754" s="28">
        <v>0.85916381981223822</v>
      </c>
      <c r="X754" s="28">
        <v>0.33489949884824455</v>
      </c>
    </row>
    <row r="755" spans="1:24" ht="13.9">
      <c r="A755" s="1">
        <v>754</v>
      </c>
      <c r="B755" s="23" t="e">
        <f ca="1">_xludf.BETA.INV(R755,'04_PSA_INPUTS'!H5,'04_PSA_INPUTS'!I5)</f>
        <v>#NAME?</v>
      </c>
      <c r="C755" s="23" t="e">
        <f ca="1">_xludf.BETA.INV(S755,'04_PSA_INPUTS'!H6,'04_PSA_INPUTS'!I6)</f>
        <v>#NAME?</v>
      </c>
      <c r="D755" s="27" t="e">
        <f ca="1">_xludf.GAMMA.INV(T755,'04_PSA_INPUTS'!H7,'04_PSA_INPUTS'!I7)</f>
        <v>#NAME?</v>
      </c>
      <c r="E755" s="27" t="e">
        <f ca="1">_xludf.GAMMA.INV(U755,'04_PSA_INPUTS'!H8,'04_PSA_INPUTS'!I8)</f>
        <v>#NAME?</v>
      </c>
      <c r="F755" s="27" t="e">
        <f ca="1">_xludf.GAMMA.INV(V755,'04_PSA_INPUTS'!H9,'04_PSA_INPUTS'!I9)</f>
        <v>#NAME?</v>
      </c>
      <c r="G755" s="23" t="e">
        <f ca="1">_xludf.BETA.INV(W755,'04_PSA_INPUTS'!H10,'04_PSA_INPUTS'!I10)</f>
        <v>#NAME?</v>
      </c>
      <c r="H755" s="23" t="e">
        <f ca="1">_xludf.BETA.INV(X755,'04_PSA_INPUTS'!H11,'04_PSA_INPUTS'!I11)</f>
        <v>#NAME?</v>
      </c>
      <c r="I755" s="27" t="e">
        <f ca="1">D755+B755*F755+'01_INPUTS'!B20</f>
        <v>#NAME?</v>
      </c>
      <c r="J755" s="27" t="e">
        <f ca="1">E755+C755*F755+'01_INPUTS'!B21</f>
        <v>#NAME?</v>
      </c>
      <c r="K755" s="27" t="e">
        <f t="shared" ca="1" si="66"/>
        <v>#NAME?</v>
      </c>
      <c r="L755" s="23" t="e">
        <f t="shared" ca="1" si="67"/>
        <v>#NAME?</v>
      </c>
      <c r="M755" s="23" t="e">
        <f t="shared" ca="1" si="68"/>
        <v>#NAME?</v>
      </c>
      <c r="N755" s="23" t="e">
        <f t="shared" ca="1" si="69"/>
        <v>#NAME?</v>
      </c>
      <c r="O755" s="27" t="e">
        <f t="shared" ca="1" si="70"/>
        <v>#NAME?</v>
      </c>
      <c r="P755" s="27" t="e">
        <f ca="1">'01_INPUTS'!B9*N755-K755</f>
        <v>#NAME?</v>
      </c>
      <c r="Q755" s="1" t="e">
        <f t="shared" ca="1" si="71"/>
        <v>#NAME?</v>
      </c>
      <c r="R755" s="28">
        <v>5.0975729711353779E-2</v>
      </c>
      <c r="S755" s="28">
        <v>0.38119067694060504</v>
      </c>
      <c r="T755" s="28">
        <v>0.35172174335457385</v>
      </c>
      <c r="U755" s="28">
        <v>0.82918526558205485</v>
      </c>
      <c r="V755" s="28">
        <v>0.27181619894690812</v>
      </c>
      <c r="W755" s="28">
        <v>0.26394851366057992</v>
      </c>
      <c r="X755" s="28">
        <v>0.83233926421962678</v>
      </c>
    </row>
    <row r="756" spans="1:24" ht="13.9">
      <c r="A756" s="1">
        <v>755</v>
      </c>
      <c r="B756" s="23" t="e">
        <f ca="1">_xludf.BETA.INV(R756,'04_PSA_INPUTS'!H5,'04_PSA_INPUTS'!I5)</f>
        <v>#NAME?</v>
      </c>
      <c r="C756" s="23" t="e">
        <f ca="1">_xludf.BETA.INV(S756,'04_PSA_INPUTS'!H6,'04_PSA_INPUTS'!I6)</f>
        <v>#NAME?</v>
      </c>
      <c r="D756" s="27" t="e">
        <f ca="1">_xludf.GAMMA.INV(T756,'04_PSA_INPUTS'!H7,'04_PSA_INPUTS'!I7)</f>
        <v>#NAME?</v>
      </c>
      <c r="E756" s="27" t="e">
        <f ca="1">_xludf.GAMMA.INV(U756,'04_PSA_INPUTS'!H8,'04_PSA_INPUTS'!I8)</f>
        <v>#NAME?</v>
      </c>
      <c r="F756" s="27" t="e">
        <f ca="1">_xludf.GAMMA.INV(V756,'04_PSA_INPUTS'!H9,'04_PSA_INPUTS'!I9)</f>
        <v>#NAME?</v>
      </c>
      <c r="G756" s="23" t="e">
        <f ca="1">_xludf.BETA.INV(W756,'04_PSA_INPUTS'!H10,'04_PSA_INPUTS'!I10)</f>
        <v>#NAME?</v>
      </c>
      <c r="H756" s="23" t="e">
        <f ca="1">_xludf.BETA.INV(X756,'04_PSA_INPUTS'!H11,'04_PSA_INPUTS'!I11)</f>
        <v>#NAME?</v>
      </c>
      <c r="I756" s="27" t="e">
        <f ca="1">D756+B756*F756+'01_INPUTS'!B20</f>
        <v>#NAME?</v>
      </c>
      <c r="J756" s="27" t="e">
        <f ca="1">E756+C756*F756+'01_INPUTS'!B21</f>
        <v>#NAME?</v>
      </c>
      <c r="K756" s="27" t="e">
        <f t="shared" ca="1" si="66"/>
        <v>#NAME?</v>
      </c>
      <c r="L756" s="23" t="e">
        <f t="shared" ca="1" si="67"/>
        <v>#NAME?</v>
      </c>
      <c r="M756" s="23" t="e">
        <f t="shared" ca="1" si="68"/>
        <v>#NAME?</v>
      </c>
      <c r="N756" s="23" t="e">
        <f t="shared" ca="1" si="69"/>
        <v>#NAME?</v>
      </c>
      <c r="O756" s="27" t="e">
        <f t="shared" ca="1" si="70"/>
        <v>#NAME?</v>
      </c>
      <c r="P756" s="27" t="e">
        <f ca="1">'01_INPUTS'!B9*N756-K756</f>
        <v>#NAME?</v>
      </c>
      <c r="Q756" s="1" t="e">
        <f t="shared" ca="1" si="71"/>
        <v>#NAME?</v>
      </c>
      <c r="R756" s="28">
        <v>0.51840128703042865</v>
      </c>
      <c r="S756" s="28">
        <v>0.36596505879424512</v>
      </c>
      <c r="T756" s="28">
        <v>0.64394493028521538</v>
      </c>
      <c r="U756" s="28">
        <v>0.93531804019585252</v>
      </c>
      <c r="V756" s="28">
        <v>0.42509924108162522</v>
      </c>
      <c r="W756" s="28">
        <v>8.6275339126586914E-2</v>
      </c>
      <c r="X756" s="28">
        <v>0.32150711747817695</v>
      </c>
    </row>
    <row r="757" spans="1:24" ht="13.9">
      <c r="A757" s="1">
        <v>756</v>
      </c>
      <c r="B757" s="23" t="e">
        <f ca="1">_xludf.BETA.INV(R757,'04_PSA_INPUTS'!H5,'04_PSA_INPUTS'!I5)</f>
        <v>#NAME?</v>
      </c>
      <c r="C757" s="23" t="e">
        <f ca="1">_xludf.BETA.INV(S757,'04_PSA_INPUTS'!H6,'04_PSA_INPUTS'!I6)</f>
        <v>#NAME?</v>
      </c>
      <c r="D757" s="27" t="e">
        <f ca="1">_xludf.GAMMA.INV(T757,'04_PSA_INPUTS'!H7,'04_PSA_INPUTS'!I7)</f>
        <v>#NAME?</v>
      </c>
      <c r="E757" s="27" t="e">
        <f ca="1">_xludf.GAMMA.INV(U757,'04_PSA_INPUTS'!H8,'04_PSA_INPUTS'!I8)</f>
        <v>#NAME?</v>
      </c>
      <c r="F757" s="27" t="e">
        <f ca="1">_xludf.GAMMA.INV(V757,'04_PSA_INPUTS'!H9,'04_PSA_INPUTS'!I9)</f>
        <v>#NAME?</v>
      </c>
      <c r="G757" s="23" t="e">
        <f ca="1">_xludf.BETA.INV(W757,'04_PSA_INPUTS'!H10,'04_PSA_INPUTS'!I10)</f>
        <v>#NAME?</v>
      </c>
      <c r="H757" s="23" t="e">
        <f ca="1">_xludf.BETA.INV(X757,'04_PSA_INPUTS'!H11,'04_PSA_INPUTS'!I11)</f>
        <v>#NAME?</v>
      </c>
      <c r="I757" s="27" t="e">
        <f ca="1">D757+B757*F757+'01_INPUTS'!B20</f>
        <v>#NAME?</v>
      </c>
      <c r="J757" s="27" t="e">
        <f ca="1">E757+C757*F757+'01_INPUTS'!B21</f>
        <v>#NAME?</v>
      </c>
      <c r="K757" s="27" t="e">
        <f t="shared" ca="1" si="66"/>
        <v>#NAME?</v>
      </c>
      <c r="L757" s="23" t="e">
        <f t="shared" ca="1" si="67"/>
        <v>#NAME?</v>
      </c>
      <c r="M757" s="23" t="e">
        <f t="shared" ca="1" si="68"/>
        <v>#NAME?</v>
      </c>
      <c r="N757" s="23" t="e">
        <f t="shared" ca="1" si="69"/>
        <v>#NAME?</v>
      </c>
      <c r="O757" s="27" t="e">
        <f t="shared" ca="1" si="70"/>
        <v>#NAME?</v>
      </c>
      <c r="P757" s="27" t="e">
        <f ca="1">'01_INPUTS'!B9*N757-K757</f>
        <v>#NAME?</v>
      </c>
      <c r="Q757" s="1" t="e">
        <f t="shared" ca="1" si="71"/>
        <v>#NAME?</v>
      </c>
      <c r="R757" s="28">
        <v>6.4724190160632133E-2</v>
      </c>
      <c r="S757" s="28">
        <v>0.36072578234598041</v>
      </c>
      <c r="T757" s="28">
        <v>0.59493347397074103</v>
      </c>
      <c r="U757" s="28">
        <v>0.16368893883191049</v>
      </c>
      <c r="V757" s="28">
        <v>0.85575477057136595</v>
      </c>
      <c r="W757" s="28">
        <v>0.9100639121606946</v>
      </c>
      <c r="X757" s="28">
        <v>3.087723720818758E-2</v>
      </c>
    </row>
    <row r="758" spans="1:24" ht="13.9">
      <c r="A758" s="1">
        <v>757</v>
      </c>
      <c r="B758" s="23" t="e">
        <f ca="1">_xludf.BETA.INV(R758,'04_PSA_INPUTS'!H5,'04_PSA_INPUTS'!I5)</f>
        <v>#NAME?</v>
      </c>
      <c r="C758" s="23" t="e">
        <f ca="1">_xludf.BETA.INV(S758,'04_PSA_INPUTS'!H6,'04_PSA_INPUTS'!I6)</f>
        <v>#NAME?</v>
      </c>
      <c r="D758" s="27" t="e">
        <f ca="1">_xludf.GAMMA.INV(T758,'04_PSA_INPUTS'!H7,'04_PSA_INPUTS'!I7)</f>
        <v>#NAME?</v>
      </c>
      <c r="E758" s="27" t="e">
        <f ca="1">_xludf.GAMMA.INV(U758,'04_PSA_INPUTS'!H8,'04_PSA_INPUTS'!I8)</f>
        <v>#NAME?</v>
      </c>
      <c r="F758" s="27" t="e">
        <f ca="1">_xludf.GAMMA.INV(V758,'04_PSA_INPUTS'!H9,'04_PSA_INPUTS'!I9)</f>
        <v>#NAME?</v>
      </c>
      <c r="G758" s="23" t="e">
        <f ca="1">_xludf.BETA.INV(W758,'04_PSA_INPUTS'!H10,'04_PSA_INPUTS'!I10)</f>
        <v>#NAME?</v>
      </c>
      <c r="H758" s="23" t="e">
        <f ca="1">_xludf.BETA.INV(X758,'04_PSA_INPUTS'!H11,'04_PSA_INPUTS'!I11)</f>
        <v>#NAME?</v>
      </c>
      <c r="I758" s="27" t="e">
        <f ca="1">D758+B758*F758+'01_INPUTS'!B20</f>
        <v>#NAME?</v>
      </c>
      <c r="J758" s="27" t="e">
        <f ca="1">E758+C758*F758+'01_INPUTS'!B21</f>
        <v>#NAME?</v>
      </c>
      <c r="K758" s="27" t="e">
        <f t="shared" ca="1" si="66"/>
        <v>#NAME?</v>
      </c>
      <c r="L758" s="23" t="e">
        <f t="shared" ca="1" si="67"/>
        <v>#NAME?</v>
      </c>
      <c r="M758" s="23" t="e">
        <f t="shared" ca="1" si="68"/>
        <v>#NAME?</v>
      </c>
      <c r="N758" s="23" t="e">
        <f t="shared" ca="1" si="69"/>
        <v>#NAME?</v>
      </c>
      <c r="O758" s="27" t="e">
        <f t="shared" ca="1" si="70"/>
        <v>#NAME?</v>
      </c>
      <c r="P758" s="27" t="e">
        <f ca="1">'01_INPUTS'!B9*N758-K758</f>
        <v>#NAME?</v>
      </c>
      <c r="Q758" s="1" t="e">
        <f t="shared" ca="1" si="71"/>
        <v>#NAME?</v>
      </c>
      <c r="R758" s="28">
        <v>0.88300436176359653</v>
      </c>
      <c r="S758" s="28">
        <v>0.2836983660236001</v>
      </c>
      <c r="T758" s="28">
        <v>0.27367121819406748</v>
      </c>
      <c r="U758" s="28">
        <v>0.44475383567623794</v>
      </c>
      <c r="V758" s="28">
        <v>0.99304771330207586</v>
      </c>
      <c r="W758" s="28">
        <v>3.5187902627512813E-2</v>
      </c>
      <c r="X758" s="28">
        <v>0.87729479069821537</v>
      </c>
    </row>
    <row r="759" spans="1:24" ht="13.9">
      <c r="A759" s="1">
        <v>758</v>
      </c>
      <c r="B759" s="23" t="e">
        <f ca="1">_xludf.BETA.INV(R759,'04_PSA_INPUTS'!H5,'04_PSA_INPUTS'!I5)</f>
        <v>#NAME?</v>
      </c>
      <c r="C759" s="23" t="e">
        <f ca="1">_xludf.BETA.INV(S759,'04_PSA_INPUTS'!H6,'04_PSA_INPUTS'!I6)</f>
        <v>#NAME?</v>
      </c>
      <c r="D759" s="27" t="e">
        <f ca="1">_xludf.GAMMA.INV(T759,'04_PSA_INPUTS'!H7,'04_PSA_INPUTS'!I7)</f>
        <v>#NAME?</v>
      </c>
      <c r="E759" s="27" t="e">
        <f ca="1">_xludf.GAMMA.INV(U759,'04_PSA_INPUTS'!H8,'04_PSA_INPUTS'!I8)</f>
        <v>#NAME?</v>
      </c>
      <c r="F759" s="27" t="e">
        <f ca="1">_xludf.GAMMA.INV(V759,'04_PSA_INPUTS'!H9,'04_PSA_INPUTS'!I9)</f>
        <v>#NAME?</v>
      </c>
      <c r="G759" s="23" t="e">
        <f ca="1">_xludf.BETA.INV(W759,'04_PSA_INPUTS'!H10,'04_PSA_INPUTS'!I10)</f>
        <v>#NAME?</v>
      </c>
      <c r="H759" s="23" t="e">
        <f ca="1">_xludf.BETA.INV(X759,'04_PSA_INPUTS'!H11,'04_PSA_INPUTS'!I11)</f>
        <v>#NAME?</v>
      </c>
      <c r="I759" s="27" t="e">
        <f ca="1">D759+B759*F759+'01_INPUTS'!B20</f>
        <v>#NAME?</v>
      </c>
      <c r="J759" s="27" t="e">
        <f ca="1">E759+C759*F759+'01_INPUTS'!B21</f>
        <v>#NAME?</v>
      </c>
      <c r="K759" s="27" t="e">
        <f t="shared" ca="1" si="66"/>
        <v>#NAME?</v>
      </c>
      <c r="L759" s="23" t="e">
        <f t="shared" ca="1" si="67"/>
        <v>#NAME?</v>
      </c>
      <c r="M759" s="23" t="e">
        <f t="shared" ca="1" si="68"/>
        <v>#NAME?</v>
      </c>
      <c r="N759" s="23" t="e">
        <f t="shared" ca="1" si="69"/>
        <v>#NAME?</v>
      </c>
      <c r="O759" s="27" t="e">
        <f t="shared" ca="1" si="70"/>
        <v>#NAME?</v>
      </c>
      <c r="P759" s="27" t="e">
        <f ca="1">'01_INPUTS'!B9*N759-K759</f>
        <v>#NAME?</v>
      </c>
      <c r="Q759" s="1" t="e">
        <f t="shared" ca="1" si="71"/>
        <v>#NAME?</v>
      </c>
      <c r="R759" s="28">
        <v>0.16130619798786938</v>
      </c>
      <c r="S759" s="28">
        <v>0.64078391110524535</v>
      </c>
      <c r="T759" s="28">
        <v>0.49695761897601187</v>
      </c>
      <c r="U759" s="28">
        <v>0.59534324263222516</v>
      </c>
      <c r="V759" s="28">
        <v>0.42088789422996342</v>
      </c>
      <c r="W759" s="28">
        <v>0.37660839408636093</v>
      </c>
      <c r="X759" s="28">
        <v>0.79289485956542194</v>
      </c>
    </row>
    <row r="760" spans="1:24" ht="13.9">
      <c r="A760" s="1">
        <v>759</v>
      </c>
      <c r="B760" s="23" t="e">
        <f ca="1">_xludf.BETA.INV(R760,'04_PSA_INPUTS'!H5,'04_PSA_INPUTS'!I5)</f>
        <v>#NAME?</v>
      </c>
      <c r="C760" s="23" t="e">
        <f ca="1">_xludf.BETA.INV(S760,'04_PSA_INPUTS'!H6,'04_PSA_INPUTS'!I6)</f>
        <v>#NAME?</v>
      </c>
      <c r="D760" s="27" t="e">
        <f ca="1">_xludf.GAMMA.INV(T760,'04_PSA_INPUTS'!H7,'04_PSA_INPUTS'!I7)</f>
        <v>#NAME?</v>
      </c>
      <c r="E760" s="27" t="e">
        <f ca="1">_xludf.GAMMA.INV(U760,'04_PSA_INPUTS'!H8,'04_PSA_INPUTS'!I8)</f>
        <v>#NAME?</v>
      </c>
      <c r="F760" s="27" t="e">
        <f ca="1">_xludf.GAMMA.INV(V760,'04_PSA_INPUTS'!H9,'04_PSA_INPUTS'!I9)</f>
        <v>#NAME?</v>
      </c>
      <c r="G760" s="23" t="e">
        <f ca="1">_xludf.BETA.INV(W760,'04_PSA_INPUTS'!H10,'04_PSA_INPUTS'!I10)</f>
        <v>#NAME?</v>
      </c>
      <c r="H760" s="23" t="e">
        <f ca="1">_xludf.BETA.INV(X760,'04_PSA_INPUTS'!H11,'04_PSA_INPUTS'!I11)</f>
        <v>#NAME?</v>
      </c>
      <c r="I760" s="27" t="e">
        <f ca="1">D760+B760*F760+'01_INPUTS'!B20</f>
        <v>#NAME?</v>
      </c>
      <c r="J760" s="27" t="e">
        <f ca="1">E760+C760*F760+'01_INPUTS'!B21</f>
        <v>#NAME?</v>
      </c>
      <c r="K760" s="27" t="e">
        <f t="shared" ca="1" si="66"/>
        <v>#NAME?</v>
      </c>
      <c r="L760" s="23" t="e">
        <f t="shared" ca="1" si="67"/>
        <v>#NAME?</v>
      </c>
      <c r="M760" s="23" t="e">
        <f t="shared" ca="1" si="68"/>
        <v>#NAME?</v>
      </c>
      <c r="N760" s="23" t="e">
        <f t="shared" ca="1" si="69"/>
        <v>#NAME?</v>
      </c>
      <c r="O760" s="27" t="e">
        <f t="shared" ca="1" si="70"/>
        <v>#NAME?</v>
      </c>
      <c r="P760" s="27" t="e">
        <f ca="1">'01_INPUTS'!B9*N760-K760</f>
        <v>#NAME?</v>
      </c>
      <c r="Q760" s="1" t="e">
        <f t="shared" ca="1" si="71"/>
        <v>#NAME?</v>
      </c>
      <c r="R760" s="28">
        <v>0.98560474906116724</v>
      </c>
      <c r="S760" s="28">
        <v>2.6180297136306763E-2</v>
      </c>
      <c r="T760" s="28">
        <v>0.98892637668177485</v>
      </c>
      <c r="U760" s="28">
        <v>0.10036852676421404</v>
      </c>
      <c r="V760" s="28">
        <v>0.34608950954861939</v>
      </c>
      <c r="W760" s="28">
        <v>0.28946965862996876</v>
      </c>
      <c r="X760" s="28">
        <v>0.68850014521740377</v>
      </c>
    </row>
    <row r="761" spans="1:24" ht="13.9">
      <c r="A761" s="1">
        <v>760</v>
      </c>
      <c r="B761" s="23" t="e">
        <f ca="1">_xludf.BETA.INV(R761,'04_PSA_INPUTS'!H5,'04_PSA_INPUTS'!I5)</f>
        <v>#NAME?</v>
      </c>
      <c r="C761" s="23" t="e">
        <f ca="1">_xludf.BETA.INV(S761,'04_PSA_INPUTS'!H6,'04_PSA_INPUTS'!I6)</f>
        <v>#NAME?</v>
      </c>
      <c r="D761" s="27" t="e">
        <f ca="1">_xludf.GAMMA.INV(T761,'04_PSA_INPUTS'!H7,'04_PSA_INPUTS'!I7)</f>
        <v>#NAME?</v>
      </c>
      <c r="E761" s="27" t="e">
        <f ca="1">_xludf.GAMMA.INV(U761,'04_PSA_INPUTS'!H8,'04_PSA_INPUTS'!I8)</f>
        <v>#NAME?</v>
      </c>
      <c r="F761" s="27" t="e">
        <f ca="1">_xludf.GAMMA.INV(V761,'04_PSA_INPUTS'!H9,'04_PSA_INPUTS'!I9)</f>
        <v>#NAME?</v>
      </c>
      <c r="G761" s="23" t="e">
        <f ca="1">_xludf.BETA.INV(W761,'04_PSA_INPUTS'!H10,'04_PSA_INPUTS'!I10)</f>
        <v>#NAME?</v>
      </c>
      <c r="H761" s="23" t="e">
        <f ca="1">_xludf.BETA.INV(X761,'04_PSA_INPUTS'!H11,'04_PSA_INPUTS'!I11)</f>
        <v>#NAME?</v>
      </c>
      <c r="I761" s="27" t="e">
        <f ca="1">D761+B761*F761+'01_INPUTS'!B20</f>
        <v>#NAME?</v>
      </c>
      <c r="J761" s="27" t="e">
        <f ca="1">E761+C761*F761+'01_INPUTS'!B21</f>
        <v>#NAME?</v>
      </c>
      <c r="K761" s="27" t="e">
        <f t="shared" ca="1" si="66"/>
        <v>#NAME?</v>
      </c>
      <c r="L761" s="23" t="e">
        <f t="shared" ca="1" si="67"/>
        <v>#NAME?</v>
      </c>
      <c r="M761" s="23" t="e">
        <f t="shared" ca="1" si="68"/>
        <v>#NAME?</v>
      </c>
      <c r="N761" s="23" t="e">
        <f t="shared" ca="1" si="69"/>
        <v>#NAME?</v>
      </c>
      <c r="O761" s="27" t="e">
        <f t="shared" ca="1" si="70"/>
        <v>#NAME?</v>
      </c>
      <c r="P761" s="27" t="e">
        <f ca="1">'01_INPUTS'!B9*N761-K761</f>
        <v>#NAME?</v>
      </c>
      <c r="Q761" s="1" t="e">
        <f t="shared" ca="1" si="71"/>
        <v>#NAME?</v>
      </c>
      <c r="R761" s="28">
        <v>0.3523846787866205</v>
      </c>
      <c r="S761" s="28">
        <v>0.66591505287215114</v>
      </c>
      <c r="T761" s="28">
        <v>0.49358310759998858</v>
      </c>
      <c r="U761" s="28">
        <v>0.70096973818726838</v>
      </c>
      <c r="V761" s="28">
        <v>0.28629172779619694</v>
      </c>
      <c r="W761" s="28">
        <v>0.43684746045619249</v>
      </c>
      <c r="X761" s="28">
        <v>0.27050805627368391</v>
      </c>
    </row>
    <row r="762" spans="1:24" ht="13.9">
      <c r="A762" s="1">
        <v>761</v>
      </c>
      <c r="B762" s="23" t="e">
        <f ca="1">_xludf.BETA.INV(R762,'04_PSA_INPUTS'!H5,'04_PSA_INPUTS'!I5)</f>
        <v>#NAME?</v>
      </c>
      <c r="C762" s="23" t="e">
        <f ca="1">_xludf.BETA.INV(S762,'04_PSA_INPUTS'!H6,'04_PSA_INPUTS'!I6)</f>
        <v>#NAME?</v>
      </c>
      <c r="D762" s="27" t="e">
        <f ca="1">_xludf.GAMMA.INV(T762,'04_PSA_INPUTS'!H7,'04_PSA_INPUTS'!I7)</f>
        <v>#NAME?</v>
      </c>
      <c r="E762" s="27" t="e">
        <f ca="1">_xludf.GAMMA.INV(U762,'04_PSA_INPUTS'!H8,'04_PSA_INPUTS'!I8)</f>
        <v>#NAME?</v>
      </c>
      <c r="F762" s="27" t="e">
        <f ca="1">_xludf.GAMMA.INV(V762,'04_PSA_INPUTS'!H9,'04_PSA_INPUTS'!I9)</f>
        <v>#NAME?</v>
      </c>
      <c r="G762" s="23" t="e">
        <f ca="1">_xludf.BETA.INV(W762,'04_PSA_INPUTS'!H10,'04_PSA_INPUTS'!I10)</f>
        <v>#NAME?</v>
      </c>
      <c r="H762" s="23" t="e">
        <f ca="1">_xludf.BETA.INV(X762,'04_PSA_INPUTS'!H11,'04_PSA_INPUTS'!I11)</f>
        <v>#NAME?</v>
      </c>
      <c r="I762" s="27" t="e">
        <f ca="1">D762+B762*F762+'01_INPUTS'!B20</f>
        <v>#NAME?</v>
      </c>
      <c r="J762" s="27" t="e">
        <f ca="1">E762+C762*F762+'01_INPUTS'!B21</f>
        <v>#NAME?</v>
      </c>
      <c r="K762" s="27" t="e">
        <f t="shared" ca="1" si="66"/>
        <v>#NAME?</v>
      </c>
      <c r="L762" s="23" t="e">
        <f t="shared" ca="1" si="67"/>
        <v>#NAME?</v>
      </c>
      <c r="M762" s="23" t="e">
        <f t="shared" ca="1" si="68"/>
        <v>#NAME?</v>
      </c>
      <c r="N762" s="23" t="e">
        <f t="shared" ca="1" si="69"/>
        <v>#NAME?</v>
      </c>
      <c r="O762" s="27" t="e">
        <f t="shared" ca="1" si="70"/>
        <v>#NAME?</v>
      </c>
      <c r="P762" s="27" t="e">
        <f ca="1">'01_INPUTS'!B9*N762-K762</f>
        <v>#NAME?</v>
      </c>
      <c r="Q762" s="1" t="e">
        <f t="shared" ca="1" si="71"/>
        <v>#NAME?</v>
      </c>
      <c r="R762" s="28">
        <v>0.18345412169583142</v>
      </c>
      <c r="S762" s="28">
        <v>0.58125097048468888</v>
      </c>
      <c r="T762" s="28">
        <v>0.83882312383502722</v>
      </c>
      <c r="U762" s="28">
        <v>0.86263768817298114</v>
      </c>
      <c r="V762" s="28">
        <v>0.50709641631692648</v>
      </c>
      <c r="W762" s="28">
        <v>0.6021511391736567</v>
      </c>
      <c r="X762" s="28">
        <v>6.077352655120194E-2</v>
      </c>
    </row>
    <row r="763" spans="1:24" ht="13.9">
      <c r="A763" s="1">
        <v>762</v>
      </c>
      <c r="B763" s="23" t="e">
        <f ca="1">_xludf.BETA.INV(R763,'04_PSA_INPUTS'!H5,'04_PSA_INPUTS'!I5)</f>
        <v>#NAME?</v>
      </c>
      <c r="C763" s="23" t="e">
        <f ca="1">_xludf.BETA.INV(S763,'04_PSA_INPUTS'!H6,'04_PSA_INPUTS'!I6)</f>
        <v>#NAME?</v>
      </c>
      <c r="D763" s="27" t="e">
        <f ca="1">_xludf.GAMMA.INV(T763,'04_PSA_INPUTS'!H7,'04_PSA_INPUTS'!I7)</f>
        <v>#NAME?</v>
      </c>
      <c r="E763" s="27" t="e">
        <f ca="1">_xludf.GAMMA.INV(U763,'04_PSA_INPUTS'!H8,'04_PSA_INPUTS'!I8)</f>
        <v>#NAME?</v>
      </c>
      <c r="F763" s="27" t="e">
        <f ca="1">_xludf.GAMMA.INV(V763,'04_PSA_INPUTS'!H9,'04_PSA_INPUTS'!I9)</f>
        <v>#NAME?</v>
      </c>
      <c r="G763" s="23" t="e">
        <f ca="1">_xludf.BETA.INV(W763,'04_PSA_INPUTS'!H10,'04_PSA_INPUTS'!I10)</f>
        <v>#NAME?</v>
      </c>
      <c r="H763" s="23" t="e">
        <f ca="1">_xludf.BETA.INV(X763,'04_PSA_INPUTS'!H11,'04_PSA_INPUTS'!I11)</f>
        <v>#NAME?</v>
      </c>
      <c r="I763" s="27" t="e">
        <f ca="1">D763+B763*F763+'01_INPUTS'!B20</f>
        <v>#NAME?</v>
      </c>
      <c r="J763" s="27" t="e">
        <f ca="1">E763+C763*F763+'01_INPUTS'!B21</f>
        <v>#NAME?</v>
      </c>
      <c r="K763" s="27" t="e">
        <f t="shared" ca="1" si="66"/>
        <v>#NAME?</v>
      </c>
      <c r="L763" s="23" t="e">
        <f t="shared" ca="1" si="67"/>
        <v>#NAME?</v>
      </c>
      <c r="M763" s="23" t="e">
        <f t="shared" ca="1" si="68"/>
        <v>#NAME?</v>
      </c>
      <c r="N763" s="23" t="e">
        <f t="shared" ca="1" si="69"/>
        <v>#NAME?</v>
      </c>
      <c r="O763" s="27" t="e">
        <f t="shared" ca="1" si="70"/>
        <v>#NAME?</v>
      </c>
      <c r="P763" s="27" t="e">
        <f ca="1">'01_INPUTS'!B9*N763-K763</f>
        <v>#NAME?</v>
      </c>
      <c r="Q763" s="1" t="e">
        <f t="shared" ca="1" si="71"/>
        <v>#NAME?</v>
      </c>
      <c r="R763" s="28">
        <v>0.37016407190822065</v>
      </c>
      <c r="S763" s="28">
        <v>0.43943293066695333</v>
      </c>
      <c r="T763" s="28">
        <v>0.37032786849886179</v>
      </c>
      <c r="U763" s="28">
        <v>8.1653716741129756E-2</v>
      </c>
      <c r="V763" s="28">
        <v>0.83314920053817332</v>
      </c>
      <c r="W763" s="28">
        <v>4.7741880640387535E-2</v>
      </c>
      <c r="X763" s="28">
        <v>0.64779419964179397</v>
      </c>
    </row>
    <row r="764" spans="1:24" ht="13.9">
      <c r="A764" s="1">
        <v>763</v>
      </c>
      <c r="B764" s="23" t="e">
        <f ca="1">_xludf.BETA.INV(R764,'04_PSA_INPUTS'!H5,'04_PSA_INPUTS'!I5)</f>
        <v>#NAME?</v>
      </c>
      <c r="C764" s="23" t="e">
        <f ca="1">_xludf.BETA.INV(S764,'04_PSA_INPUTS'!H6,'04_PSA_INPUTS'!I6)</f>
        <v>#NAME?</v>
      </c>
      <c r="D764" s="27" t="e">
        <f ca="1">_xludf.GAMMA.INV(T764,'04_PSA_INPUTS'!H7,'04_PSA_INPUTS'!I7)</f>
        <v>#NAME?</v>
      </c>
      <c r="E764" s="27" t="e">
        <f ca="1">_xludf.GAMMA.INV(U764,'04_PSA_INPUTS'!H8,'04_PSA_INPUTS'!I8)</f>
        <v>#NAME?</v>
      </c>
      <c r="F764" s="27" t="e">
        <f ca="1">_xludf.GAMMA.INV(V764,'04_PSA_INPUTS'!H9,'04_PSA_INPUTS'!I9)</f>
        <v>#NAME?</v>
      </c>
      <c r="G764" s="23" t="e">
        <f ca="1">_xludf.BETA.INV(W764,'04_PSA_INPUTS'!H10,'04_PSA_INPUTS'!I10)</f>
        <v>#NAME?</v>
      </c>
      <c r="H764" s="23" t="e">
        <f ca="1">_xludf.BETA.INV(X764,'04_PSA_INPUTS'!H11,'04_PSA_INPUTS'!I11)</f>
        <v>#NAME?</v>
      </c>
      <c r="I764" s="27" t="e">
        <f ca="1">D764+B764*F764+'01_INPUTS'!B20</f>
        <v>#NAME?</v>
      </c>
      <c r="J764" s="27" t="e">
        <f ca="1">E764+C764*F764+'01_INPUTS'!B21</f>
        <v>#NAME?</v>
      </c>
      <c r="K764" s="27" t="e">
        <f t="shared" ca="1" si="66"/>
        <v>#NAME?</v>
      </c>
      <c r="L764" s="23" t="e">
        <f t="shared" ca="1" si="67"/>
        <v>#NAME?</v>
      </c>
      <c r="M764" s="23" t="e">
        <f t="shared" ca="1" si="68"/>
        <v>#NAME?</v>
      </c>
      <c r="N764" s="23" t="e">
        <f t="shared" ca="1" si="69"/>
        <v>#NAME?</v>
      </c>
      <c r="O764" s="27" t="e">
        <f t="shared" ca="1" si="70"/>
        <v>#NAME?</v>
      </c>
      <c r="P764" s="27" t="e">
        <f ca="1">'01_INPUTS'!B9*N764-K764</f>
        <v>#NAME?</v>
      </c>
      <c r="Q764" s="1" t="e">
        <f t="shared" ca="1" si="71"/>
        <v>#NAME?</v>
      </c>
      <c r="R764" s="28">
        <v>0.77733069797977805</v>
      </c>
      <c r="S764" s="28">
        <v>0.21155616221949458</v>
      </c>
      <c r="T764" s="28">
        <v>0.58126588421873748</v>
      </c>
      <c r="U764" s="28">
        <v>0.40681179682724178</v>
      </c>
      <c r="V764" s="28">
        <v>0.1318173804320395</v>
      </c>
      <c r="W764" s="28">
        <v>0.64150143996812403</v>
      </c>
      <c r="X764" s="28">
        <v>0.76512546790763736</v>
      </c>
    </row>
    <row r="765" spans="1:24" ht="13.9">
      <c r="A765" s="1">
        <v>764</v>
      </c>
      <c r="B765" s="23" t="e">
        <f ca="1">_xludf.BETA.INV(R765,'04_PSA_INPUTS'!H5,'04_PSA_INPUTS'!I5)</f>
        <v>#NAME?</v>
      </c>
      <c r="C765" s="23" t="e">
        <f ca="1">_xludf.BETA.INV(S765,'04_PSA_INPUTS'!H6,'04_PSA_INPUTS'!I6)</f>
        <v>#NAME?</v>
      </c>
      <c r="D765" s="27" t="e">
        <f ca="1">_xludf.GAMMA.INV(T765,'04_PSA_INPUTS'!H7,'04_PSA_INPUTS'!I7)</f>
        <v>#NAME?</v>
      </c>
      <c r="E765" s="27" t="e">
        <f ca="1">_xludf.GAMMA.INV(U765,'04_PSA_INPUTS'!H8,'04_PSA_INPUTS'!I8)</f>
        <v>#NAME?</v>
      </c>
      <c r="F765" s="27" t="e">
        <f ca="1">_xludf.GAMMA.INV(V765,'04_PSA_INPUTS'!H9,'04_PSA_INPUTS'!I9)</f>
        <v>#NAME?</v>
      </c>
      <c r="G765" s="23" t="e">
        <f ca="1">_xludf.BETA.INV(W765,'04_PSA_INPUTS'!H10,'04_PSA_INPUTS'!I10)</f>
        <v>#NAME?</v>
      </c>
      <c r="H765" s="23" t="e">
        <f ca="1">_xludf.BETA.INV(X765,'04_PSA_INPUTS'!H11,'04_PSA_INPUTS'!I11)</f>
        <v>#NAME?</v>
      </c>
      <c r="I765" s="27" t="e">
        <f ca="1">D765+B765*F765+'01_INPUTS'!B20</f>
        <v>#NAME?</v>
      </c>
      <c r="J765" s="27" t="e">
        <f ca="1">E765+C765*F765+'01_INPUTS'!B21</f>
        <v>#NAME?</v>
      </c>
      <c r="K765" s="27" t="e">
        <f t="shared" ca="1" si="66"/>
        <v>#NAME?</v>
      </c>
      <c r="L765" s="23" t="e">
        <f t="shared" ca="1" si="67"/>
        <v>#NAME?</v>
      </c>
      <c r="M765" s="23" t="e">
        <f t="shared" ca="1" si="68"/>
        <v>#NAME?</v>
      </c>
      <c r="N765" s="23" t="e">
        <f t="shared" ca="1" si="69"/>
        <v>#NAME?</v>
      </c>
      <c r="O765" s="27" t="e">
        <f t="shared" ca="1" si="70"/>
        <v>#NAME?</v>
      </c>
      <c r="P765" s="27" t="e">
        <f ca="1">'01_INPUTS'!B9*N765-K765</f>
        <v>#NAME?</v>
      </c>
      <c r="Q765" s="1" t="e">
        <f t="shared" ca="1" si="71"/>
        <v>#NAME?</v>
      </c>
      <c r="R765" s="28">
        <v>0.52400163025595248</v>
      </c>
      <c r="S765" s="28">
        <v>0.16473398311063647</v>
      </c>
      <c r="T765" s="28">
        <v>0.27029083063825965</v>
      </c>
      <c r="U765" s="28">
        <v>0.28415424982085824</v>
      </c>
      <c r="V765" s="28">
        <v>0.46933180233463645</v>
      </c>
      <c r="W765" s="28">
        <v>0.97528233425691724</v>
      </c>
      <c r="X765" s="28">
        <v>0.25282068992964923</v>
      </c>
    </row>
    <row r="766" spans="1:24" ht="13.9">
      <c r="A766" s="1">
        <v>765</v>
      </c>
      <c r="B766" s="23" t="e">
        <f ca="1">_xludf.BETA.INV(R766,'04_PSA_INPUTS'!H5,'04_PSA_INPUTS'!I5)</f>
        <v>#NAME?</v>
      </c>
      <c r="C766" s="23" t="e">
        <f ca="1">_xludf.BETA.INV(S766,'04_PSA_INPUTS'!H6,'04_PSA_INPUTS'!I6)</f>
        <v>#NAME?</v>
      </c>
      <c r="D766" s="27" t="e">
        <f ca="1">_xludf.GAMMA.INV(T766,'04_PSA_INPUTS'!H7,'04_PSA_INPUTS'!I7)</f>
        <v>#NAME?</v>
      </c>
      <c r="E766" s="27" t="e">
        <f ca="1">_xludf.GAMMA.INV(U766,'04_PSA_INPUTS'!H8,'04_PSA_INPUTS'!I8)</f>
        <v>#NAME?</v>
      </c>
      <c r="F766" s="27" t="e">
        <f ca="1">_xludf.GAMMA.INV(V766,'04_PSA_INPUTS'!H9,'04_PSA_INPUTS'!I9)</f>
        <v>#NAME?</v>
      </c>
      <c r="G766" s="23" t="e">
        <f ca="1">_xludf.BETA.INV(W766,'04_PSA_INPUTS'!H10,'04_PSA_INPUTS'!I10)</f>
        <v>#NAME?</v>
      </c>
      <c r="H766" s="23" t="e">
        <f ca="1">_xludf.BETA.INV(X766,'04_PSA_INPUTS'!H11,'04_PSA_INPUTS'!I11)</f>
        <v>#NAME?</v>
      </c>
      <c r="I766" s="27" t="e">
        <f ca="1">D766+B766*F766+'01_INPUTS'!B20</f>
        <v>#NAME?</v>
      </c>
      <c r="J766" s="27" t="e">
        <f ca="1">E766+C766*F766+'01_INPUTS'!B21</f>
        <v>#NAME?</v>
      </c>
      <c r="K766" s="27" t="e">
        <f t="shared" ca="1" si="66"/>
        <v>#NAME?</v>
      </c>
      <c r="L766" s="23" t="e">
        <f t="shared" ca="1" si="67"/>
        <v>#NAME?</v>
      </c>
      <c r="M766" s="23" t="e">
        <f t="shared" ca="1" si="68"/>
        <v>#NAME?</v>
      </c>
      <c r="N766" s="23" t="e">
        <f t="shared" ca="1" si="69"/>
        <v>#NAME?</v>
      </c>
      <c r="O766" s="27" t="e">
        <f t="shared" ca="1" si="70"/>
        <v>#NAME?</v>
      </c>
      <c r="P766" s="27" t="e">
        <f ca="1">'01_INPUTS'!B9*N766-K766</f>
        <v>#NAME?</v>
      </c>
      <c r="Q766" s="1" t="e">
        <f t="shared" ca="1" si="71"/>
        <v>#NAME?</v>
      </c>
      <c r="R766" s="28">
        <v>0.13118793535977602</v>
      </c>
      <c r="S766" s="28">
        <v>0.24773984029889107</v>
      </c>
      <c r="T766" s="28">
        <v>0.69088788609951735</v>
      </c>
      <c r="U766" s="28">
        <v>0.58693605335429311</v>
      </c>
      <c r="V766" s="28">
        <v>0.16412422386929393</v>
      </c>
      <c r="W766" s="28">
        <v>0.63857450522482395</v>
      </c>
      <c r="X766" s="28">
        <v>0.43960733106359839</v>
      </c>
    </row>
    <row r="767" spans="1:24" ht="13.9">
      <c r="A767" s="1">
        <v>766</v>
      </c>
      <c r="B767" s="23" t="e">
        <f ca="1">_xludf.BETA.INV(R767,'04_PSA_INPUTS'!H5,'04_PSA_INPUTS'!I5)</f>
        <v>#NAME?</v>
      </c>
      <c r="C767" s="23" t="e">
        <f ca="1">_xludf.BETA.INV(S767,'04_PSA_INPUTS'!H6,'04_PSA_INPUTS'!I6)</f>
        <v>#NAME?</v>
      </c>
      <c r="D767" s="27" t="e">
        <f ca="1">_xludf.GAMMA.INV(T767,'04_PSA_INPUTS'!H7,'04_PSA_INPUTS'!I7)</f>
        <v>#NAME?</v>
      </c>
      <c r="E767" s="27" t="e">
        <f ca="1">_xludf.GAMMA.INV(U767,'04_PSA_INPUTS'!H8,'04_PSA_INPUTS'!I8)</f>
        <v>#NAME?</v>
      </c>
      <c r="F767" s="27" t="e">
        <f ca="1">_xludf.GAMMA.INV(V767,'04_PSA_INPUTS'!H9,'04_PSA_INPUTS'!I9)</f>
        <v>#NAME?</v>
      </c>
      <c r="G767" s="23" t="e">
        <f ca="1">_xludf.BETA.INV(W767,'04_PSA_INPUTS'!H10,'04_PSA_INPUTS'!I10)</f>
        <v>#NAME?</v>
      </c>
      <c r="H767" s="23" t="e">
        <f ca="1">_xludf.BETA.INV(X767,'04_PSA_INPUTS'!H11,'04_PSA_INPUTS'!I11)</f>
        <v>#NAME?</v>
      </c>
      <c r="I767" s="27" t="e">
        <f ca="1">D767+B767*F767+'01_INPUTS'!B20</f>
        <v>#NAME?</v>
      </c>
      <c r="J767" s="27" t="e">
        <f ca="1">E767+C767*F767+'01_INPUTS'!B21</f>
        <v>#NAME?</v>
      </c>
      <c r="K767" s="27" t="e">
        <f t="shared" ca="1" si="66"/>
        <v>#NAME?</v>
      </c>
      <c r="L767" s="23" t="e">
        <f t="shared" ca="1" si="67"/>
        <v>#NAME?</v>
      </c>
      <c r="M767" s="23" t="e">
        <f t="shared" ca="1" si="68"/>
        <v>#NAME?</v>
      </c>
      <c r="N767" s="23" t="e">
        <f t="shared" ca="1" si="69"/>
        <v>#NAME?</v>
      </c>
      <c r="O767" s="27" t="e">
        <f t="shared" ca="1" si="70"/>
        <v>#NAME?</v>
      </c>
      <c r="P767" s="27" t="e">
        <f ca="1">'01_INPUTS'!B9*N767-K767</f>
        <v>#NAME?</v>
      </c>
      <c r="Q767" s="1" t="e">
        <f t="shared" ca="1" si="71"/>
        <v>#NAME?</v>
      </c>
      <c r="R767" s="28">
        <v>0.2086897362023592</v>
      </c>
      <c r="S767" s="28">
        <v>0.11024617194198072</v>
      </c>
      <c r="T767" s="28">
        <v>5.1122992997989058E-2</v>
      </c>
      <c r="U767" s="28">
        <v>0.15182867064140737</v>
      </c>
      <c r="V767" s="28">
        <v>0.44749841350130737</v>
      </c>
      <c r="W767" s="28">
        <v>0.58144721458666027</v>
      </c>
      <c r="X767" s="28">
        <v>0.99130149418488145</v>
      </c>
    </row>
    <row r="768" spans="1:24" ht="13.9">
      <c r="A768" s="1">
        <v>767</v>
      </c>
      <c r="B768" s="23" t="e">
        <f ca="1">_xludf.BETA.INV(R768,'04_PSA_INPUTS'!H5,'04_PSA_INPUTS'!I5)</f>
        <v>#NAME?</v>
      </c>
      <c r="C768" s="23" t="e">
        <f ca="1">_xludf.BETA.INV(S768,'04_PSA_INPUTS'!H6,'04_PSA_INPUTS'!I6)</f>
        <v>#NAME?</v>
      </c>
      <c r="D768" s="27" t="e">
        <f ca="1">_xludf.GAMMA.INV(T768,'04_PSA_INPUTS'!H7,'04_PSA_INPUTS'!I7)</f>
        <v>#NAME?</v>
      </c>
      <c r="E768" s="27" t="e">
        <f ca="1">_xludf.GAMMA.INV(U768,'04_PSA_INPUTS'!H8,'04_PSA_INPUTS'!I8)</f>
        <v>#NAME?</v>
      </c>
      <c r="F768" s="27" t="e">
        <f ca="1">_xludf.GAMMA.INV(V768,'04_PSA_INPUTS'!H9,'04_PSA_INPUTS'!I9)</f>
        <v>#NAME?</v>
      </c>
      <c r="G768" s="23" t="e">
        <f ca="1">_xludf.BETA.INV(W768,'04_PSA_INPUTS'!H10,'04_PSA_INPUTS'!I10)</f>
        <v>#NAME?</v>
      </c>
      <c r="H768" s="23" t="e">
        <f ca="1">_xludf.BETA.INV(X768,'04_PSA_INPUTS'!H11,'04_PSA_INPUTS'!I11)</f>
        <v>#NAME?</v>
      </c>
      <c r="I768" s="27" t="e">
        <f ca="1">D768+B768*F768+'01_INPUTS'!B20</f>
        <v>#NAME?</v>
      </c>
      <c r="J768" s="27" t="e">
        <f ca="1">E768+C768*F768+'01_INPUTS'!B21</f>
        <v>#NAME?</v>
      </c>
      <c r="K768" s="27" t="e">
        <f t="shared" ca="1" si="66"/>
        <v>#NAME?</v>
      </c>
      <c r="L768" s="23" t="e">
        <f t="shared" ca="1" si="67"/>
        <v>#NAME?</v>
      </c>
      <c r="M768" s="23" t="e">
        <f t="shared" ca="1" si="68"/>
        <v>#NAME?</v>
      </c>
      <c r="N768" s="23" t="e">
        <f t="shared" ca="1" si="69"/>
        <v>#NAME?</v>
      </c>
      <c r="O768" s="27" t="e">
        <f t="shared" ca="1" si="70"/>
        <v>#NAME?</v>
      </c>
      <c r="P768" s="27" t="e">
        <f ca="1">'01_INPUTS'!B9*N768-K768</f>
        <v>#NAME?</v>
      </c>
      <c r="Q768" s="1" t="e">
        <f t="shared" ca="1" si="71"/>
        <v>#NAME?</v>
      </c>
      <c r="R768" s="28">
        <v>0.76252336823381484</v>
      </c>
      <c r="S768" s="28">
        <v>0.76233660359866917</v>
      </c>
      <c r="T768" s="28">
        <v>0.66445775935426354</v>
      </c>
      <c r="U768" s="28">
        <v>0.14659992465749383</v>
      </c>
      <c r="V768" s="28">
        <v>0.71888658148236573</v>
      </c>
      <c r="W768" s="28">
        <v>0.34818175574764609</v>
      </c>
      <c r="X768" s="28">
        <v>0.81259176949970424</v>
      </c>
    </row>
    <row r="769" spans="1:24" ht="13.9">
      <c r="A769" s="1">
        <v>768</v>
      </c>
      <c r="B769" s="23" t="e">
        <f ca="1">_xludf.BETA.INV(R769,'04_PSA_INPUTS'!H5,'04_PSA_INPUTS'!I5)</f>
        <v>#NAME?</v>
      </c>
      <c r="C769" s="23" t="e">
        <f ca="1">_xludf.BETA.INV(S769,'04_PSA_INPUTS'!H6,'04_PSA_INPUTS'!I6)</f>
        <v>#NAME?</v>
      </c>
      <c r="D769" s="27" t="e">
        <f ca="1">_xludf.GAMMA.INV(T769,'04_PSA_INPUTS'!H7,'04_PSA_INPUTS'!I7)</f>
        <v>#NAME?</v>
      </c>
      <c r="E769" s="27" t="e">
        <f ca="1">_xludf.GAMMA.INV(U769,'04_PSA_INPUTS'!H8,'04_PSA_INPUTS'!I8)</f>
        <v>#NAME?</v>
      </c>
      <c r="F769" s="27" t="e">
        <f ca="1">_xludf.GAMMA.INV(V769,'04_PSA_INPUTS'!H9,'04_PSA_INPUTS'!I9)</f>
        <v>#NAME?</v>
      </c>
      <c r="G769" s="23" t="e">
        <f ca="1">_xludf.BETA.INV(W769,'04_PSA_INPUTS'!H10,'04_PSA_INPUTS'!I10)</f>
        <v>#NAME?</v>
      </c>
      <c r="H769" s="23" t="e">
        <f ca="1">_xludf.BETA.INV(X769,'04_PSA_INPUTS'!H11,'04_PSA_INPUTS'!I11)</f>
        <v>#NAME?</v>
      </c>
      <c r="I769" s="27" t="e">
        <f ca="1">D769+B769*F769+'01_INPUTS'!B20</f>
        <v>#NAME?</v>
      </c>
      <c r="J769" s="27" t="e">
        <f ca="1">E769+C769*F769+'01_INPUTS'!B21</f>
        <v>#NAME?</v>
      </c>
      <c r="K769" s="27" t="e">
        <f t="shared" ca="1" si="66"/>
        <v>#NAME?</v>
      </c>
      <c r="L769" s="23" t="e">
        <f t="shared" ca="1" si="67"/>
        <v>#NAME?</v>
      </c>
      <c r="M769" s="23" t="e">
        <f t="shared" ca="1" si="68"/>
        <v>#NAME?</v>
      </c>
      <c r="N769" s="23" t="e">
        <f t="shared" ca="1" si="69"/>
        <v>#NAME?</v>
      </c>
      <c r="O769" s="27" t="e">
        <f t="shared" ca="1" si="70"/>
        <v>#NAME?</v>
      </c>
      <c r="P769" s="27" t="e">
        <f ca="1">'01_INPUTS'!B9*N769-K769</f>
        <v>#NAME?</v>
      </c>
      <c r="Q769" s="1" t="e">
        <f t="shared" ca="1" si="71"/>
        <v>#NAME?</v>
      </c>
      <c r="R769" s="28">
        <v>0.71582442917861044</v>
      </c>
      <c r="S769" s="28">
        <v>0.50234496872872114</v>
      </c>
      <c r="T769" s="28">
        <v>9.8707592114806175E-3</v>
      </c>
      <c r="U769" s="28">
        <v>0.90871738991700113</v>
      </c>
      <c r="V769" s="28">
        <v>0.34747354011051357</v>
      </c>
      <c r="W769" s="28">
        <v>0.48781352560035884</v>
      </c>
      <c r="X769" s="28">
        <v>0.79568572831340134</v>
      </c>
    </row>
    <row r="770" spans="1:24" ht="13.9">
      <c r="A770" s="1">
        <v>769</v>
      </c>
      <c r="B770" s="23" t="e">
        <f ca="1">_xludf.BETA.INV(R770,'04_PSA_INPUTS'!H5,'04_PSA_INPUTS'!I5)</f>
        <v>#NAME?</v>
      </c>
      <c r="C770" s="23" t="e">
        <f ca="1">_xludf.BETA.INV(S770,'04_PSA_INPUTS'!H6,'04_PSA_INPUTS'!I6)</f>
        <v>#NAME?</v>
      </c>
      <c r="D770" s="27" t="e">
        <f ca="1">_xludf.GAMMA.INV(T770,'04_PSA_INPUTS'!H7,'04_PSA_INPUTS'!I7)</f>
        <v>#NAME?</v>
      </c>
      <c r="E770" s="27" t="e">
        <f ca="1">_xludf.GAMMA.INV(U770,'04_PSA_INPUTS'!H8,'04_PSA_INPUTS'!I8)</f>
        <v>#NAME?</v>
      </c>
      <c r="F770" s="27" t="e">
        <f ca="1">_xludf.GAMMA.INV(V770,'04_PSA_INPUTS'!H9,'04_PSA_INPUTS'!I9)</f>
        <v>#NAME?</v>
      </c>
      <c r="G770" s="23" t="e">
        <f ca="1">_xludf.BETA.INV(W770,'04_PSA_INPUTS'!H10,'04_PSA_INPUTS'!I10)</f>
        <v>#NAME?</v>
      </c>
      <c r="H770" s="23" t="e">
        <f ca="1">_xludf.BETA.INV(X770,'04_PSA_INPUTS'!H11,'04_PSA_INPUTS'!I11)</f>
        <v>#NAME?</v>
      </c>
      <c r="I770" s="27" t="e">
        <f ca="1">D770+B770*F770+'01_INPUTS'!B20</f>
        <v>#NAME?</v>
      </c>
      <c r="J770" s="27" t="e">
        <f ca="1">E770+C770*F770+'01_INPUTS'!B21</f>
        <v>#NAME?</v>
      </c>
      <c r="K770" s="27" t="e">
        <f t="shared" ref="K770:K833" ca="1" si="72">I770-J770</f>
        <v>#NAME?</v>
      </c>
      <c r="L770" s="23" t="e">
        <f t="shared" ref="L770:L833" ca="1" si="73">G770-B770*H770</f>
        <v>#NAME?</v>
      </c>
      <c r="M770" s="23" t="e">
        <f t="shared" ref="M770:M833" ca="1" si="74">G770-C770*H770</f>
        <v>#NAME?</v>
      </c>
      <c r="N770" s="23" t="e">
        <f t="shared" ref="N770:N833" ca="1" si="75">L770-M770</f>
        <v>#NAME?</v>
      </c>
      <c r="O770" s="27" t="e">
        <f t="shared" ref="O770:O833" ca="1" si="76">IF(N770=0,"",K770/N770)</f>
        <v>#NAME?</v>
      </c>
      <c r="P770" s="27" t="e">
        <f ca="1">'01_INPUTS'!B9*N770-K770</f>
        <v>#NAME?</v>
      </c>
      <c r="Q770" s="1" t="e">
        <f t="shared" ref="Q770:Q833" ca="1" si="77">IF(P770&gt;0,1,0)</f>
        <v>#NAME?</v>
      </c>
      <c r="R770" s="28">
        <v>0.18180388468317688</v>
      </c>
      <c r="S770" s="28">
        <v>0.81362400366924703</v>
      </c>
      <c r="T770" s="28">
        <v>0.42010613437741995</v>
      </c>
      <c r="U770" s="28">
        <v>0.50603918358683586</v>
      </c>
      <c r="V770" s="28">
        <v>0.64862301666289568</v>
      </c>
      <c r="W770" s="28">
        <v>7.4769153725355864E-2</v>
      </c>
      <c r="X770" s="28">
        <v>0.7077586748637259</v>
      </c>
    </row>
    <row r="771" spans="1:24" ht="13.9">
      <c r="A771" s="1">
        <v>770</v>
      </c>
      <c r="B771" s="23" t="e">
        <f ca="1">_xludf.BETA.INV(R771,'04_PSA_INPUTS'!H5,'04_PSA_INPUTS'!I5)</f>
        <v>#NAME?</v>
      </c>
      <c r="C771" s="23" t="e">
        <f ca="1">_xludf.BETA.INV(S771,'04_PSA_INPUTS'!H6,'04_PSA_INPUTS'!I6)</f>
        <v>#NAME?</v>
      </c>
      <c r="D771" s="27" t="e">
        <f ca="1">_xludf.GAMMA.INV(T771,'04_PSA_INPUTS'!H7,'04_PSA_INPUTS'!I7)</f>
        <v>#NAME?</v>
      </c>
      <c r="E771" s="27" t="e">
        <f ca="1">_xludf.GAMMA.INV(U771,'04_PSA_INPUTS'!H8,'04_PSA_INPUTS'!I8)</f>
        <v>#NAME?</v>
      </c>
      <c r="F771" s="27" t="e">
        <f ca="1">_xludf.GAMMA.INV(V771,'04_PSA_INPUTS'!H9,'04_PSA_INPUTS'!I9)</f>
        <v>#NAME?</v>
      </c>
      <c r="G771" s="23" t="e">
        <f ca="1">_xludf.BETA.INV(W771,'04_PSA_INPUTS'!H10,'04_PSA_INPUTS'!I10)</f>
        <v>#NAME?</v>
      </c>
      <c r="H771" s="23" t="e">
        <f ca="1">_xludf.BETA.INV(X771,'04_PSA_INPUTS'!H11,'04_PSA_INPUTS'!I11)</f>
        <v>#NAME?</v>
      </c>
      <c r="I771" s="27" t="e">
        <f ca="1">D771+B771*F771+'01_INPUTS'!B20</f>
        <v>#NAME?</v>
      </c>
      <c r="J771" s="27" t="e">
        <f ca="1">E771+C771*F771+'01_INPUTS'!B21</f>
        <v>#NAME?</v>
      </c>
      <c r="K771" s="27" t="e">
        <f t="shared" ca="1" si="72"/>
        <v>#NAME?</v>
      </c>
      <c r="L771" s="23" t="e">
        <f t="shared" ca="1" si="73"/>
        <v>#NAME?</v>
      </c>
      <c r="M771" s="23" t="e">
        <f t="shared" ca="1" si="74"/>
        <v>#NAME?</v>
      </c>
      <c r="N771" s="23" t="e">
        <f t="shared" ca="1" si="75"/>
        <v>#NAME?</v>
      </c>
      <c r="O771" s="27" t="e">
        <f t="shared" ca="1" si="76"/>
        <v>#NAME?</v>
      </c>
      <c r="P771" s="27" t="e">
        <f ca="1">'01_INPUTS'!B9*N771-K771</f>
        <v>#NAME?</v>
      </c>
      <c r="Q771" s="1" t="e">
        <f t="shared" ca="1" si="77"/>
        <v>#NAME?</v>
      </c>
      <c r="R771" s="28">
        <v>0.96396767511032522</v>
      </c>
      <c r="S771" s="28">
        <v>0.95124418730847538</v>
      </c>
      <c r="T771" s="28">
        <v>0.13058540574274957</v>
      </c>
      <c r="U771" s="28">
        <v>0.28672732855193317</v>
      </c>
      <c r="V771" s="28">
        <v>0.93611909681931138</v>
      </c>
      <c r="W771" s="28">
        <v>0.82247973349876702</v>
      </c>
      <c r="X771" s="28">
        <v>0.22305516991764307</v>
      </c>
    </row>
    <row r="772" spans="1:24" ht="13.9">
      <c r="A772" s="1">
        <v>771</v>
      </c>
      <c r="B772" s="23" t="e">
        <f ca="1">_xludf.BETA.INV(R772,'04_PSA_INPUTS'!H5,'04_PSA_INPUTS'!I5)</f>
        <v>#NAME?</v>
      </c>
      <c r="C772" s="23" t="e">
        <f ca="1">_xludf.BETA.INV(S772,'04_PSA_INPUTS'!H6,'04_PSA_INPUTS'!I6)</f>
        <v>#NAME?</v>
      </c>
      <c r="D772" s="27" t="e">
        <f ca="1">_xludf.GAMMA.INV(T772,'04_PSA_INPUTS'!H7,'04_PSA_INPUTS'!I7)</f>
        <v>#NAME?</v>
      </c>
      <c r="E772" s="27" t="e">
        <f ca="1">_xludf.GAMMA.INV(U772,'04_PSA_INPUTS'!H8,'04_PSA_INPUTS'!I8)</f>
        <v>#NAME?</v>
      </c>
      <c r="F772" s="27" t="e">
        <f ca="1">_xludf.GAMMA.INV(V772,'04_PSA_INPUTS'!H9,'04_PSA_INPUTS'!I9)</f>
        <v>#NAME?</v>
      </c>
      <c r="G772" s="23" t="e">
        <f ca="1">_xludf.BETA.INV(W772,'04_PSA_INPUTS'!H10,'04_PSA_INPUTS'!I10)</f>
        <v>#NAME?</v>
      </c>
      <c r="H772" s="23" t="e">
        <f ca="1">_xludf.BETA.INV(X772,'04_PSA_INPUTS'!H11,'04_PSA_INPUTS'!I11)</f>
        <v>#NAME?</v>
      </c>
      <c r="I772" s="27" t="e">
        <f ca="1">D772+B772*F772+'01_INPUTS'!B20</f>
        <v>#NAME?</v>
      </c>
      <c r="J772" s="27" t="e">
        <f ca="1">E772+C772*F772+'01_INPUTS'!B21</f>
        <v>#NAME?</v>
      </c>
      <c r="K772" s="27" t="e">
        <f t="shared" ca="1" si="72"/>
        <v>#NAME?</v>
      </c>
      <c r="L772" s="23" t="e">
        <f t="shared" ca="1" si="73"/>
        <v>#NAME?</v>
      </c>
      <c r="M772" s="23" t="e">
        <f t="shared" ca="1" si="74"/>
        <v>#NAME?</v>
      </c>
      <c r="N772" s="23" t="e">
        <f t="shared" ca="1" si="75"/>
        <v>#NAME?</v>
      </c>
      <c r="O772" s="27" t="e">
        <f t="shared" ca="1" si="76"/>
        <v>#NAME?</v>
      </c>
      <c r="P772" s="27" t="e">
        <f ca="1">'01_INPUTS'!B9*N772-K772</f>
        <v>#NAME?</v>
      </c>
      <c r="Q772" s="1" t="e">
        <f t="shared" ca="1" si="77"/>
        <v>#NAME?</v>
      </c>
      <c r="R772" s="28">
        <v>0.12093434878624976</v>
      </c>
      <c r="S772" s="28">
        <v>0.18578665750101209</v>
      </c>
      <c r="T772" s="28">
        <v>0.28784801019355655</v>
      </c>
      <c r="U772" s="28">
        <v>0.37807459733448923</v>
      </c>
      <c r="V772" s="28">
        <v>6.3606432406231761E-2</v>
      </c>
      <c r="W772" s="28">
        <v>0.11103209084831178</v>
      </c>
      <c r="X772" s="28">
        <v>0.46274186484515667</v>
      </c>
    </row>
    <row r="773" spans="1:24" ht="13.9">
      <c r="A773" s="1">
        <v>772</v>
      </c>
      <c r="B773" s="23" t="e">
        <f ca="1">_xludf.BETA.INV(R773,'04_PSA_INPUTS'!H5,'04_PSA_INPUTS'!I5)</f>
        <v>#NAME?</v>
      </c>
      <c r="C773" s="23" t="e">
        <f ca="1">_xludf.BETA.INV(S773,'04_PSA_INPUTS'!H6,'04_PSA_INPUTS'!I6)</f>
        <v>#NAME?</v>
      </c>
      <c r="D773" s="27" t="e">
        <f ca="1">_xludf.GAMMA.INV(T773,'04_PSA_INPUTS'!H7,'04_PSA_INPUTS'!I7)</f>
        <v>#NAME?</v>
      </c>
      <c r="E773" s="27" t="e">
        <f ca="1">_xludf.GAMMA.INV(U773,'04_PSA_INPUTS'!H8,'04_PSA_INPUTS'!I8)</f>
        <v>#NAME?</v>
      </c>
      <c r="F773" s="27" t="e">
        <f ca="1">_xludf.GAMMA.INV(V773,'04_PSA_INPUTS'!H9,'04_PSA_INPUTS'!I9)</f>
        <v>#NAME?</v>
      </c>
      <c r="G773" s="23" t="e">
        <f ca="1">_xludf.BETA.INV(W773,'04_PSA_INPUTS'!H10,'04_PSA_INPUTS'!I10)</f>
        <v>#NAME?</v>
      </c>
      <c r="H773" s="23" t="e">
        <f ca="1">_xludf.BETA.INV(X773,'04_PSA_INPUTS'!H11,'04_PSA_INPUTS'!I11)</f>
        <v>#NAME?</v>
      </c>
      <c r="I773" s="27" t="e">
        <f ca="1">D773+B773*F773+'01_INPUTS'!B20</f>
        <v>#NAME?</v>
      </c>
      <c r="J773" s="27" t="e">
        <f ca="1">E773+C773*F773+'01_INPUTS'!B21</f>
        <v>#NAME?</v>
      </c>
      <c r="K773" s="27" t="e">
        <f t="shared" ca="1" si="72"/>
        <v>#NAME?</v>
      </c>
      <c r="L773" s="23" t="e">
        <f t="shared" ca="1" si="73"/>
        <v>#NAME?</v>
      </c>
      <c r="M773" s="23" t="e">
        <f t="shared" ca="1" si="74"/>
        <v>#NAME?</v>
      </c>
      <c r="N773" s="23" t="e">
        <f t="shared" ca="1" si="75"/>
        <v>#NAME?</v>
      </c>
      <c r="O773" s="27" t="e">
        <f t="shared" ca="1" si="76"/>
        <v>#NAME?</v>
      </c>
      <c r="P773" s="27" t="e">
        <f ca="1">'01_INPUTS'!B9*N773-K773</f>
        <v>#NAME?</v>
      </c>
      <c r="Q773" s="1" t="e">
        <f t="shared" ca="1" si="77"/>
        <v>#NAME?</v>
      </c>
      <c r="R773" s="28">
        <v>0.71716345218010247</v>
      </c>
      <c r="S773" s="28">
        <v>0.82039979915134609</v>
      </c>
      <c r="T773" s="28">
        <v>0.53004132234491408</v>
      </c>
      <c r="U773" s="28">
        <v>0.73337714350782335</v>
      </c>
      <c r="V773" s="28">
        <v>0.15247662086039782</v>
      </c>
      <c r="W773" s="28">
        <v>0.2119291303679347</v>
      </c>
      <c r="X773" s="28">
        <v>0.12903369264677167</v>
      </c>
    </row>
    <row r="774" spans="1:24" ht="13.9">
      <c r="A774" s="1">
        <v>773</v>
      </c>
      <c r="B774" s="23" t="e">
        <f ca="1">_xludf.BETA.INV(R774,'04_PSA_INPUTS'!H5,'04_PSA_INPUTS'!I5)</f>
        <v>#NAME?</v>
      </c>
      <c r="C774" s="23" t="e">
        <f ca="1">_xludf.BETA.INV(S774,'04_PSA_INPUTS'!H6,'04_PSA_INPUTS'!I6)</f>
        <v>#NAME?</v>
      </c>
      <c r="D774" s="27" t="e">
        <f ca="1">_xludf.GAMMA.INV(T774,'04_PSA_INPUTS'!H7,'04_PSA_INPUTS'!I7)</f>
        <v>#NAME?</v>
      </c>
      <c r="E774" s="27" t="e">
        <f ca="1">_xludf.GAMMA.INV(U774,'04_PSA_INPUTS'!H8,'04_PSA_INPUTS'!I8)</f>
        <v>#NAME?</v>
      </c>
      <c r="F774" s="27" t="e">
        <f ca="1">_xludf.GAMMA.INV(V774,'04_PSA_INPUTS'!H9,'04_PSA_INPUTS'!I9)</f>
        <v>#NAME?</v>
      </c>
      <c r="G774" s="23" t="e">
        <f ca="1">_xludf.BETA.INV(W774,'04_PSA_INPUTS'!H10,'04_PSA_INPUTS'!I10)</f>
        <v>#NAME?</v>
      </c>
      <c r="H774" s="23" t="e">
        <f ca="1">_xludf.BETA.INV(X774,'04_PSA_INPUTS'!H11,'04_PSA_INPUTS'!I11)</f>
        <v>#NAME?</v>
      </c>
      <c r="I774" s="27" t="e">
        <f ca="1">D774+B774*F774+'01_INPUTS'!B20</f>
        <v>#NAME?</v>
      </c>
      <c r="J774" s="27" t="e">
        <f ca="1">E774+C774*F774+'01_INPUTS'!B21</f>
        <v>#NAME?</v>
      </c>
      <c r="K774" s="27" t="e">
        <f t="shared" ca="1" si="72"/>
        <v>#NAME?</v>
      </c>
      <c r="L774" s="23" t="e">
        <f t="shared" ca="1" si="73"/>
        <v>#NAME?</v>
      </c>
      <c r="M774" s="23" t="e">
        <f t="shared" ca="1" si="74"/>
        <v>#NAME?</v>
      </c>
      <c r="N774" s="23" t="e">
        <f t="shared" ca="1" si="75"/>
        <v>#NAME?</v>
      </c>
      <c r="O774" s="27" t="e">
        <f t="shared" ca="1" si="76"/>
        <v>#NAME?</v>
      </c>
      <c r="P774" s="27" t="e">
        <f ca="1">'01_INPUTS'!B9*N774-K774</f>
        <v>#NAME?</v>
      </c>
      <c r="Q774" s="1" t="e">
        <f t="shared" ca="1" si="77"/>
        <v>#NAME?</v>
      </c>
      <c r="R774" s="28">
        <v>0.28914719866588712</v>
      </c>
      <c r="S774" s="28">
        <v>0.86784132337197661</v>
      </c>
      <c r="T774" s="28">
        <v>0.47592002316378057</v>
      </c>
      <c r="U774" s="28">
        <v>0.38714146218262613</v>
      </c>
      <c r="V774" s="28">
        <v>0.9472614205442369</v>
      </c>
      <c r="W774" s="28">
        <v>0.9192535940092057</v>
      </c>
      <c r="X774" s="28">
        <v>0.78633766737766564</v>
      </c>
    </row>
    <row r="775" spans="1:24" ht="13.9">
      <c r="A775" s="1">
        <v>774</v>
      </c>
      <c r="B775" s="23" t="e">
        <f ca="1">_xludf.BETA.INV(R775,'04_PSA_INPUTS'!H5,'04_PSA_INPUTS'!I5)</f>
        <v>#NAME?</v>
      </c>
      <c r="C775" s="23" t="e">
        <f ca="1">_xludf.BETA.INV(S775,'04_PSA_INPUTS'!H6,'04_PSA_INPUTS'!I6)</f>
        <v>#NAME?</v>
      </c>
      <c r="D775" s="27" t="e">
        <f ca="1">_xludf.GAMMA.INV(T775,'04_PSA_INPUTS'!H7,'04_PSA_INPUTS'!I7)</f>
        <v>#NAME?</v>
      </c>
      <c r="E775" s="27" t="e">
        <f ca="1">_xludf.GAMMA.INV(U775,'04_PSA_INPUTS'!H8,'04_PSA_INPUTS'!I8)</f>
        <v>#NAME?</v>
      </c>
      <c r="F775" s="27" t="e">
        <f ca="1">_xludf.GAMMA.INV(V775,'04_PSA_INPUTS'!H9,'04_PSA_INPUTS'!I9)</f>
        <v>#NAME?</v>
      </c>
      <c r="G775" s="23" t="e">
        <f ca="1">_xludf.BETA.INV(W775,'04_PSA_INPUTS'!H10,'04_PSA_INPUTS'!I10)</f>
        <v>#NAME?</v>
      </c>
      <c r="H775" s="23" t="e">
        <f ca="1">_xludf.BETA.INV(X775,'04_PSA_INPUTS'!H11,'04_PSA_INPUTS'!I11)</f>
        <v>#NAME?</v>
      </c>
      <c r="I775" s="27" t="e">
        <f ca="1">D775+B775*F775+'01_INPUTS'!B20</f>
        <v>#NAME?</v>
      </c>
      <c r="J775" s="27" t="e">
        <f ca="1">E775+C775*F775+'01_INPUTS'!B21</f>
        <v>#NAME?</v>
      </c>
      <c r="K775" s="27" t="e">
        <f t="shared" ca="1" si="72"/>
        <v>#NAME?</v>
      </c>
      <c r="L775" s="23" t="e">
        <f t="shared" ca="1" si="73"/>
        <v>#NAME?</v>
      </c>
      <c r="M775" s="23" t="e">
        <f t="shared" ca="1" si="74"/>
        <v>#NAME?</v>
      </c>
      <c r="N775" s="23" t="e">
        <f t="shared" ca="1" si="75"/>
        <v>#NAME?</v>
      </c>
      <c r="O775" s="27" t="e">
        <f t="shared" ca="1" si="76"/>
        <v>#NAME?</v>
      </c>
      <c r="P775" s="27" t="e">
        <f ca="1">'01_INPUTS'!B9*N775-K775</f>
        <v>#NAME?</v>
      </c>
      <c r="Q775" s="1" t="e">
        <f t="shared" ca="1" si="77"/>
        <v>#NAME?</v>
      </c>
      <c r="R775" s="28">
        <v>0.43497718055732548</v>
      </c>
      <c r="S775" s="28">
        <v>1.0377920931205153E-2</v>
      </c>
      <c r="T775" s="28">
        <v>0.85927689052186906</v>
      </c>
      <c r="U775" s="28">
        <v>0.42018069047480822</v>
      </c>
      <c r="V775" s="28">
        <v>0.19279558979906142</v>
      </c>
      <c r="W775" s="28">
        <v>0.56665699370205402</v>
      </c>
      <c r="X775" s="28">
        <v>0.86635900777764618</v>
      </c>
    </row>
    <row r="776" spans="1:24" ht="13.9">
      <c r="A776" s="1">
        <v>775</v>
      </c>
      <c r="B776" s="23" t="e">
        <f ca="1">_xludf.BETA.INV(R776,'04_PSA_INPUTS'!H5,'04_PSA_INPUTS'!I5)</f>
        <v>#NAME?</v>
      </c>
      <c r="C776" s="23" t="e">
        <f ca="1">_xludf.BETA.INV(S776,'04_PSA_INPUTS'!H6,'04_PSA_INPUTS'!I6)</f>
        <v>#NAME?</v>
      </c>
      <c r="D776" s="27" t="e">
        <f ca="1">_xludf.GAMMA.INV(T776,'04_PSA_INPUTS'!H7,'04_PSA_INPUTS'!I7)</f>
        <v>#NAME?</v>
      </c>
      <c r="E776" s="27" t="e">
        <f ca="1">_xludf.GAMMA.INV(U776,'04_PSA_INPUTS'!H8,'04_PSA_INPUTS'!I8)</f>
        <v>#NAME?</v>
      </c>
      <c r="F776" s="27" t="e">
        <f ca="1">_xludf.GAMMA.INV(V776,'04_PSA_INPUTS'!H9,'04_PSA_INPUTS'!I9)</f>
        <v>#NAME?</v>
      </c>
      <c r="G776" s="23" t="e">
        <f ca="1">_xludf.BETA.INV(W776,'04_PSA_INPUTS'!H10,'04_PSA_INPUTS'!I10)</f>
        <v>#NAME?</v>
      </c>
      <c r="H776" s="23" t="e">
        <f ca="1">_xludf.BETA.INV(X776,'04_PSA_INPUTS'!H11,'04_PSA_INPUTS'!I11)</f>
        <v>#NAME?</v>
      </c>
      <c r="I776" s="27" t="e">
        <f ca="1">D776+B776*F776+'01_INPUTS'!B20</f>
        <v>#NAME?</v>
      </c>
      <c r="J776" s="27" t="e">
        <f ca="1">E776+C776*F776+'01_INPUTS'!B21</f>
        <v>#NAME?</v>
      </c>
      <c r="K776" s="27" t="e">
        <f t="shared" ca="1" si="72"/>
        <v>#NAME?</v>
      </c>
      <c r="L776" s="23" t="e">
        <f t="shared" ca="1" si="73"/>
        <v>#NAME?</v>
      </c>
      <c r="M776" s="23" t="e">
        <f t="shared" ca="1" si="74"/>
        <v>#NAME?</v>
      </c>
      <c r="N776" s="23" t="e">
        <f t="shared" ca="1" si="75"/>
        <v>#NAME?</v>
      </c>
      <c r="O776" s="27" t="e">
        <f t="shared" ca="1" si="76"/>
        <v>#NAME?</v>
      </c>
      <c r="P776" s="27" t="e">
        <f ca="1">'01_INPUTS'!B9*N776-K776</f>
        <v>#NAME?</v>
      </c>
      <c r="Q776" s="1" t="e">
        <f t="shared" ca="1" si="77"/>
        <v>#NAME?</v>
      </c>
      <c r="R776" s="28">
        <v>0.30058567738160491</v>
      </c>
      <c r="S776" s="28">
        <v>0.37878072960302234</v>
      </c>
      <c r="T776" s="28">
        <v>0.86026017414405942</v>
      </c>
      <c r="U776" s="28">
        <v>0.12983982241712511</v>
      </c>
      <c r="V776" s="28">
        <v>0.46737790410406888</v>
      </c>
      <c r="W776" s="28">
        <v>0.79849323513917625</v>
      </c>
      <c r="X776" s="28">
        <v>0.23959028627723455</v>
      </c>
    </row>
    <row r="777" spans="1:24" ht="13.9">
      <c r="A777" s="1">
        <v>776</v>
      </c>
      <c r="B777" s="23" t="e">
        <f ca="1">_xludf.BETA.INV(R777,'04_PSA_INPUTS'!H5,'04_PSA_INPUTS'!I5)</f>
        <v>#NAME?</v>
      </c>
      <c r="C777" s="23" t="e">
        <f ca="1">_xludf.BETA.INV(S777,'04_PSA_INPUTS'!H6,'04_PSA_INPUTS'!I6)</f>
        <v>#NAME?</v>
      </c>
      <c r="D777" s="27" t="e">
        <f ca="1">_xludf.GAMMA.INV(T777,'04_PSA_INPUTS'!H7,'04_PSA_INPUTS'!I7)</f>
        <v>#NAME?</v>
      </c>
      <c r="E777" s="27" t="e">
        <f ca="1">_xludf.GAMMA.INV(U777,'04_PSA_INPUTS'!H8,'04_PSA_INPUTS'!I8)</f>
        <v>#NAME?</v>
      </c>
      <c r="F777" s="27" t="e">
        <f ca="1">_xludf.GAMMA.INV(V777,'04_PSA_INPUTS'!H9,'04_PSA_INPUTS'!I9)</f>
        <v>#NAME?</v>
      </c>
      <c r="G777" s="23" t="e">
        <f ca="1">_xludf.BETA.INV(W777,'04_PSA_INPUTS'!H10,'04_PSA_INPUTS'!I10)</f>
        <v>#NAME?</v>
      </c>
      <c r="H777" s="23" t="e">
        <f ca="1">_xludf.BETA.INV(X777,'04_PSA_INPUTS'!H11,'04_PSA_INPUTS'!I11)</f>
        <v>#NAME?</v>
      </c>
      <c r="I777" s="27" t="e">
        <f ca="1">D777+B777*F777+'01_INPUTS'!B20</f>
        <v>#NAME?</v>
      </c>
      <c r="J777" s="27" t="e">
        <f ca="1">E777+C777*F777+'01_INPUTS'!B21</f>
        <v>#NAME?</v>
      </c>
      <c r="K777" s="27" t="e">
        <f t="shared" ca="1" si="72"/>
        <v>#NAME?</v>
      </c>
      <c r="L777" s="23" t="e">
        <f t="shared" ca="1" si="73"/>
        <v>#NAME?</v>
      </c>
      <c r="M777" s="23" t="e">
        <f t="shared" ca="1" si="74"/>
        <v>#NAME?</v>
      </c>
      <c r="N777" s="23" t="e">
        <f t="shared" ca="1" si="75"/>
        <v>#NAME?</v>
      </c>
      <c r="O777" s="27" t="e">
        <f t="shared" ca="1" si="76"/>
        <v>#NAME?</v>
      </c>
      <c r="P777" s="27" t="e">
        <f ca="1">'01_INPUTS'!B9*N777-K777</f>
        <v>#NAME?</v>
      </c>
      <c r="Q777" s="1" t="e">
        <f t="shared" ca="1" si="77"/>
        <v>#NAME?</v>
      </c>
      <c r="R777" s="28">
        <v>0.58691486064344645</v>
      </c>
      <c r="S777" s="28">
        <v>0.51637382083572447</v>
      </c>
      <c r="T777" s="28">
        <v>0.46652738284319639</v>
      </c>
      <c r="U777" s="28">
        <v>0.21666007884778082</v>
      </c>
      <c r="V777" s="28">
        <v>0.80961417523212731</v>
      </c>
      <c r="W777" s="28">
        <v>0.10290421475656331</v>
      </c>
      <c r="X777" s="28">
        <v>0.28407183801755309</v>
      </c>
    </row>
    <row r="778" spans="1:24" ht="13.9">
      <c r="A778" s="1">
        <v>777</v>
      </c>
      <c r="B778" s="23" t="e">
        <f ca="1">_xludf.BETA.INV(R778,'04_PSA_INPUTS'!H5,'04_PSA_INPUTS'!I5)</f>
        <v>#NAME?</v>
      </c>
      <c r="C778" s="23" t="e">
        <f ca="1">_xludf.BETA.INV(S778,'04_PSA_INPUTS'!H6,'04_PSA_INPUTS'!I6)</f>
        <v>#NAME?</v>
      </c>
      <c r="D778" s="27" t="e">
        <f ca="1">_xludf.GAMMA.INV(T778,'04_PSA_INPUTS'!H7,'04_PSA_INPUTS'!I7)</f>
        <v>#NAME?</v>
      </c>
      <c r="E778" s="27" t="e">
        <f ca="1">_xludf.GAMMA.INV(U778,'04_PSA_INPUTS'!H8,'04_PSA_INPUTS'!I8)</f>
        <v>#NAME?</v>
      </c>
      <c r="F778" s="27" t="e">
        <f ca="1">_xludf.GAMMA.INV(V778,'04_PSA_INPUTS'!H9,'04_PSA_INPUTS'!I9)</f>
        <v>#NAME?</v>
      </c>
      <c r="G778" s="23" t="e">
        <f ca="1">_xludf.BETA.INV(W778,'04_PSA_INPUTS'!H10,'04_PSA_INPUTS'!I10)</f>
        <v>#NAME?</v>
      </c>
      <c r="H778" s="23" t="e">
        <f ca="1">_xludf.BETA.INV(X778,'04_PSA_INPUTS'!H11,'04_PSA_INPUTS'!I11)</f>
        <v>#NAME?</v>
      </c>
      <c r="I778" s="27" t="e">
        <f ca="1">D778+B778*F778+'01_INPUTS'!B20</f>
        <v>#NAME?</v>
      </c>
      <c r="J778" s="27" t="e">
        <f ca="1">E778+C778*F778+'01_INPUTS'!B21</f>
        <v>#NAME?</v>
      </c>
      <c r="K778" s="27" t="e">
        <f t="shared" ca="1" si="72"/>
        <v>#NAME?</v>
      </c>
      <c r="L778" s="23" t="e">
        <f t="shared" ca="1" si="73"/>
        <v>#NAME?</v>
      </c>
      <c r="M778" s="23" t="e">
        <f t="shared" ca="1" si="74"/>
        <v>#NAME?</v>
      </c>
      <c r="N778" s="23" t="e">
        <f t="shared" ca="1" si="75"/>
        <v>#NAME?</v>
      </c>
      <c r="O778" s="27" t="e">
        <f t="shared" ca="1" si="76"/>
        <v>#NAME?</v>
      </c>
      <c r="P778" s="27" t="e">
        <f ca="1">'01_INPUTS'!B9*N778-K778</f>
        <v>#NAME?</v>
      </c>
      <c r="Q778" s="1" t="e">
        <f t="shared" ca="1" si="77"/>
        <v>#NAME?</v>
      </c>
      <c r="R778" s="28">
        <v>0.26469619804993272</v>
      </c>
      <c r="S778" s="28">
        <v>0.85290987277403474</v>
      </c>
      <c r="T778" s="28">
        <v>0.68277398496866226</v>
      </c>
      <c r="U778" s="28">
        <v>0.86651918175630271</v>
      </c>
      <c r="V778" s="28">
        <v>0.66491009248420596</v>
      </c>
      <c r="W778" s="28">
        <v>0.72217284212820232</v>
      </c>
      <c r="X778" s="28">
        <v>0.90629744366742671</v>
      </c>
    </row>
    <row r="779" spans="1:24" ht="13.9">
      <c r="A779" s="1">
        <v>778</v>
      </c>
      <c r="B779" s="23" t="e">
        <f ca="1">_xludf.BETA.INV(R779,'04_PSA_INPUTS'!H5,'04_PSA_INPUTS'!I5)</f>
        <v>#NAME?</v>
      </c>
      <c r="C779" s="23" t="e">
        <f ca="1">_xludf.BETA.INV(S779,'04_PSA_INPUTS'!H6,'04_PSA_INPUTS'!I6)</f>
        <v>#NAME?</v>
      </c>
      <c r="D779" s="27" t="e">
        <f ca="1">_xludf.GAMMA.INV(T779,'04_PSA_INPUTS'!H7,'04_PSA_INPUTS'!I7)</f>
        <v>#NAME?</v>
      </c>
      <c r="E779" s="27" t="e">
        <f ca="1">_xludf.GAMMA.INV(U779,'04_PSA_INPUTS'!H8,'04_PSA_INPUTS'!I8)</f>
        <v>#NAME?</v>
      </c>
      <c r="F779" s="27" t="e">
        <f ca="1">_xludf.GAMMA.INV(V779,'04_PSA_INPUTS'!H9,'04_PSA_INPUTS'!I9)</f>
        <v>#NAME?</v>
      </c>
      <c r="G779" s="23" t="e">
        <f ca="1">_xludf.BETA.INV(W779,'04_PSA_INPUTS'!H10,'04_PSA_INPUTS'!I10)</f>
        <v>#NAME?</v>
      </c>
      <c r="H779" s="23" t="e">
        <f ca="1">_xludf.BETA.INV(X779,'04_PSA_INPUTS'!H11,'04_PSA_INPUTS'!I11)</f>
        <v>#NAME?</v>
      </c>
      <c r="I779" s="27" t="e">
        <f ca="1">D779+B779*F779+'01_INPUTS'!B20</f>
        <v>#NAME?</v>
      </c>
      <c r="J779" s="27" t="e">
        <f ca="1">E779+C779*F779+'01_INPUTS'!B21</f>
        <v>#NAME?</v>
      </c>
      <c r="K779" s="27" t="e">
        <f t="shared" ca="1" si="72"/>
        <v>#NAME?</v>
      </c>
      <c r="L779" s="23" t="e">
        <f t="shared" ca="1" si="73"/>
        <v>#NAME?</v>
      </c>
      <c r="M779" s="23" t="e">
        <f t="shared" ca="1" si="74"/>
        <v>#NAME?</v>
      </c>
      <c r="N779" s="23" t="e">
        <f t="shared" ca="1" si="75"/>
        <v>#NAME?</v>
      </c>
      <c r="O779" s="27" t="e">
        <f t="shared" ca="1" si="76"/>
        <v>#NAME?</v>
      </c>
      <c r="P779" s="27" t="e">
        <f ca="1">'01_INPUTS'!B9*N779-K779</f>
        <v>#NAME?</v>
      </c>
      <c r="Q779" s="1" t="e">
        <f t="shared" ca="1" si="77"/>
        <v>#NAME?</v>
      </c>
      <c r="R779" s="28">
        <v>0.96116660861298442</v>
      </c>
      <c r="S779" s="28">
        <v>0.59596776147373021</v>
      </c>
      <c r="T779" s="28">
        <v>0.1604055562056601</v>
      </c>
      <c r="U779" s="28">
        <v>0.46367981587536633</v>
      </c>
      <c r="V779" s="28">
        <v>0.66011145710945129</v>
      </c>
      <c r="W779" s="28">
        <v>0.40141565725207329</v>
      </c>
      <c r="X779" s="28">
        <v>9.0366998920217156E-2</v>
      </c>
    </row>
    <row r="780" spans="1:24" ht="13.9">
      <c r="A780" s="1">
        <v>779</v>
      </c>
      <c r="B780" s="23" t="e">
        <f ca="1">_xludf.BETA.INV(R780,'04_PSA_INPUTS'!H5,'04_PSA_INPUTS'!I5)</f>
        <v>#NAME?</v>
      </c>
      <c r="C780" s="23" t="e">
        <f ca="1">_xludf.BETA.INV(S780,'04_PSA_INPUTS'!H6,'04_PSA_INPUTS'!I6)</f>
        <v>#NAME?</v>
      </c>
      <c r="D780" s="27" t="e">
        <f ca="1">_xludf.GAMMA.INV(T780,'04_PSA_INPUTS'!H7,'04_PSA_INPUTS'!I7)</f>
        <v>#NAME?</v>
      </c>
      <c r="E780" s="27" t="e">
        <f ca="1">_xludf.GAMMA.INV(U780,'04_PSA_INPUTS'!H8,'04_PSA_INPUTS'!I8)</f>
        <v>#NAME?</v>
      </c>
      <c r="F780" s="27" t="e">
        <f ca="1">_xludf.GAMMA.INV(V780,'04_PSA_INPUTS'!H9,'04_PSA_INPUTS'!I9)</f>
        <v>#NAME?</v>
      </c>
      <c r="G780" s="23" t="e">
        <f ca="1">_xludf.BETA.INV(W780,'04_PSA_INPUTS'!H10,'04_PSA_INPUTS'!I10)</f>
        <v>#NAME?</v>
      </c>
      <c r="H780" s="23" t="e">
        <f ca="1">_xludf.BETA.INV(X780,'04_PSA_INPUTS'!H11,'04_PSA_INPUTS'!I11)</f>
        <v>#NAME?</v>
      </c>
      <c r="I780" s="27" t="e">
        <f ca="1">D780+B780*F780+'01_INPUTS'!B20</f>
        <v>#NAME?</v>
      </c>
      <c r="J780" s="27" t="e">
        <f ca="1">E780+C780*F780+'01_INPUTS'!B21</f>
        <v>#NAME?</v>
      </c>
      <c r="K780" s="27" t="e">
        <f t="shared" ca="1" si="72"/>
        <v>#NAME?</v>
      </c>
      <c r="L780" s="23" t="e">
        <f t="shared" ca="1" si="73"/>
        <v>#NAME?</v>
      </c>
      <c r="M780" s="23" t="e">
        <f t="shared" ca="1" si="74"/>
        <v>#NAME?</v>
      </c>
      <c r="N780" s="23" t="e">
        <f t="shared" ca="1" si="75"/>
        <v>#NAME?</v>
      </c>
      <c r="O780" s="27" t="e">
        <f t="shared" ca="1" si="76"/>
        <v>#NAME?</v>
      </c>
      <c r="P780" s="27" t="e">
        <f ca="1">'01_INPUTS'!B9*N780-K780</f>
        <v>#NAME?</v>
      </c>
      <c r="Q780" s="1" t="e">
        <f t="shared" ca="1" si="77"/>
        <v>#NAME?</v>
      </c>
      <c r="R780" s="28">
        <v>0.36704589379951358</v>
      </c>
      <c r="S780" s="28">
        <v>0.8669289976824075</v>
      </c>
      <c r="T780" s="28">
        <v>0.72980242525227368</v>
      </c>
      <c r="U780" s="28">
        <v>0.12569582695141435</v>
      </c>
      <c r="V780" s="28">
        <v>0.83137852908112109</v>
      </c>
      <c r="W780" s="28">
        <v>0.14948113937862217</v>
      </c>
      <c r="X780" s="28">
        <v>0.63340580486692488</v>
      </c>
    </row>
    <row r="781" spans="1:24" ht="13.9">
      <c r="A781" s="1">
        <v>780</v>
      </c>
      <c r="B781" s="23" t="e">
        <f ca="1">_xludf.BETA.INV(R781,'04_PSA_INPUTS'!H5,'04_PSA_INPUTS'!I5)</f>
        <v>#NAME?</v>
      </c>
      <c r="C781" s="23" t="e">
        <f ca="1">_xludf.BETA.INV(S781,'04_PSA_INPUTS'!H6,'04_PSA_INPUTS'!I6)</f>
        <v>#NAME?</v>
      </c>
      <c r="D781" s="27" t="e">
        <f ca="1">_xludf.GAMMA.INV(T781,'04_PSA_INPUTS'!H7,'04_PSA_INPUTS'!I7)</f>
        <v>#NAME?</v>
      </c>
      <c r="E781" s="27" t="e">
        <f ca="1">_xludf.GAMMA.INV(U781,'04_PSA_INPUTS'!H8,'04_PSA_INPUTS'!I8)</f>
        <v>#NAME?</v>
      </c>
      <c r="F781" s="27" t="e">
        <f ca="1">_xludf.GAMMA.INV(V781,'04_PSA_INPUTS'!H9,'04_PSA_INPUTS'!I9)</f>
        <v>#NAME?</v>
      </c>
      <c r="G781" s="23" t="e">
        <f ca="1">_xludf.BETA.INV(W781,'04_PSA_INPUTS'!H10,'04_PSA_INPUTS'!I10)</f>
        <v>#NAME?</v>
      </c>
      <c r="H781" s="23" t="e">
        <f ca="1">_xludf.BETA.INV(X781,'04_PSA_INPUTS'!H11,'04_PSA_INPUTS'!I11)</f>
        <v>#NAME?</v>
      </c>
      <c r="I781" s="27" t="e">
        <f ca="1">D781+B781*F781+'01_INPUTS'!B20</f>
        <v>#NAME?</v>
      </c>
      <c r="J781" s="27" t="e">
        <f ca="1">E781+C781*F781+'01_INPUTS'!B21</f>
        <v>#NAME?</v>
      </c>
      <c r="K781" s="27" t="e">
        <f t="shared" ca="1" si="72"/>
        <v>#NAME?</v>
      </c>
      <c r="L781" s="23" t="e">
        <f t="shared" ca="1" si="73"/>
        <v>#NAME?</v>
      </c>
      <c r="M781" s="23" t="e">
        <f t="shared" ca="1" si="74"/>
        <v>#NAME?</v>
      </c>
      <c r="N781" s="23" t="e">
        <f t="shared" ca="1" si="75"/>
        <v>#NAME?</v>
      </c>
      <c r="O781" s="27" t="e">
        <f t="shared" ca="1" si="76"/>
        <v>#NAME?</v>
      </c>
      <c r="P781" s="27" t="e">
        <f ca="1">'01_INPUTS'!B9*N781-K781</f>
        <v>#NAME?</v>
      </c>
      <c r="Q781" s="1" t="e">
        <f t="shared" ca="1" si="77"/>
        <v>#NAME?</v>
      </c>
      <c r="R781" s="28">
        <v>7.1622021961957216E-2</v>
      </c>
      <c r="S781" s="28">
        <v>0.60472700954414904</v>
      </c>
      <c r="T781" s="28">
        <v>0.88260780880227685</v>
      </c>
      <c r="U781" s="28">
        <v>0.53796490607783198</v>
      </c>
      <c r="V781" s="28">
        <v>0.98084286786615849</v>
      </c>
      <c r="W781" s="28">
        <v>0.55170959327369928</v>
      </c>
      <c r="X781" s="28">
        <v>1.9309038994833827E-2</v>
      </c>
    </row>
    <row r="782" spans="1:24" ht="13.9">
      <c r="A782" s="1">
        <v>781</v>
      </c>
      <c r="B782" s="23" t="e">
        <f ca="1">_xludf.BETA.INV(R782,'04_PSA_INPUTS'!H5,'04_PSA_INPUTS'!I5)</f>
        <v>#NAME?</v>
      </c>
      <c r="C782" s="23" t="e">
        <f ca="1">_xludf.BETA.INV(S782,'04_PSA_INPUTS'!H6,'04_PSA_INPUTS'!I6)</f>
        <v>#NAME?</v>
      </c>
      <c r="D782" s="27" t="e">
        <f ca="1">_xludf.GAMMA.INV(T782,'04_PSA_INPUTS'!H7,'04_PSA_INPUTS'!I7)</f>
        <v>#NAME?</v>
      </c>
      <c r="E782" s="27" t="e">
        <f ca="1">_xludf.GAMMA.INV(U782,'04_PSA_INPUTS'!H8,'04_PSA_INPUTS'!I8)</f>
        <v>#NAME?</v>
      </c>
      <c r="F782" s="27" t="e">
        <f ca="1">_xludf.GAMMA.INV(V782,'04_PSA_INPUTS'!H9,'04_PSA_INPUTS'!I9)</f>
        <v>#NAME?</v>
      </c>
      <c r="G782" s="23" t="e">
        <f ca="1">_xludf.BETA.INV(W782,'04_PSA_INPUTS'!H10,'04_PSA_INPUTS'!I10)</f>
        <v>#NAME?</v>
      </c>
      <c r="H782" s="23" t="e">
        <f ca="1">_xludf.BETA.INV(X782,'04_PSA_INPUTS'!H11,'04_PSA_INPUTS'!I11)</f>
        <v>#NAME?</v>
      </c>
      <c r="I782" s="27" t="e">
        <f ca="1">D782+B782*F782+'01_INPUTS'!B20</f>
        <v>#NAME?</v>
      </c>
      <c r="J782" s="27" t="e">
        <f ca="1">E782+C782*F782+'01_INPUTS'!B21</f>
        <v>#NAME?</v>
      </c>
      <c r="K782" s="27" t="e">
        <f t="shared" ca="1" si="72"/>
        <v>#NAME?</v>
      </c>
      <c r="L782" s="23" t="e">
        <f t="shared" ca="1" si="73"/>
        <v>#NAME?</v>
      </c>
      <c r="M782" s="23" t="e">
        <f t="shared" ca="1" si="74"/>
        <v>#NAME?</v>
      </c>
      <c r="N782" s="23" t="e">
        <f t="shared" ca="1" si="75"/>
        <v>#NAME?</v>
      </c>
      <c r="O782" s="27" t="e">
        <f t="shared" ca="1" si="76"/>
        <v>#NAME?</v>
      </c>
      <c r="P782" s="27" t="e">
        <f ca="1">'01_INPUTS'!B9*N782-K782</f>
        <v>#NAME?</v>
      </c>
      <c r="Q782" s="1" t="e">
        <f t="shared" ca="1" si="77"/>
        <v>#NAME?</v>
      </c>
      <c r="R782" s="28">
        <v>0.94463299866765738</v>
      </c>
      <c r="S782" s="28">
        <v>0.33222457184456289</v>
      </c>
      <c r="T782" s="28">
        <v>0.68515374581329525</v>
      </c>
      <c r="U782" s="28">
        <v>0.89986961265094578</v>
      </c>
      <c r="V782" s="28">
        <v>0.34690365754067898</v>
      </c>
      <c r="W782" s="28">
        <v>0.67436763853766024</v>
      </c>
      <c r="X782" s="28">
        <v>6.3936176244169474E-2</v>
      </c>
    </row>
    <row r="783" spans="1:24" ht="13.9">
      <c r="A783" s="1">
        <v>782</v>
      </c>
      <c r="B783" s="23" t="e">
        <f ca="1">_xludf.BETA.INV(R783,'04_PSA_INPUTS'!H5,'04_PSA_INPUTS'!I5)</f>
        <v>#NAME?</v>
      </c>
      <c r="C783" s="23" t="e">
        <f ca="1">_xludf.BETA.INV(S783,'04_PSA_INPUTS'!H6,'04_PSA_INPUTS'!I6)</f>
        <v>#NAME?</v>
      </c>
      <c r="D783" s="27" t="e">
        <f ca="1">_xludf.GAMMA.INV(T783,'04_PSA_INPUTS'!H7,'04_PSA_INPUTS'!I7)</f>
        <v>#NAME?</v>
      </c>
      <c r="E783" s="27" t="e">
        <f ca="1">_xludf.GAMMA.INV(U783,'04_PSA_INPUTS'!H8,'04_PSA_INPUTS'!I8)</f>
        <v>#NAME?</v>
      </c>
      <c r="F783" s="27" t="e">
        <f ca="1">_xludf.GAMMA.INV(V783,'04_PSA_INPUTS'!H9,'04_PSA_INPUTS'!I9)</f>
        <v>#NAME?</v>
      </c>
      <c r="G783" s="23" t="e">
        <f ca="1">_xludf.BETA.INV(W783,'04_PSA_INPUTS'!H10,'04_PSA_INPUTS'!I10)</f>
        <v>#NAME?</v>
      </c>
      <c r="H783" s="23" t="e">
        <f ca="1">_xludf.BETA.INV(X783,'04_PSA_INPUTS'!H11,'04_PSA_INPUTS'!I11)</f>
        <v>#NAME?</v>
      </c>
      <c r="I783" s="27" t="e">
        <f ca="1">D783+B783*F783+'01_INPUTS'!B20</f>
        <v>#NAME?</v>
      </c>
      <c r="J783" s="27" t="e">
        <f ca="1">E783+C783*F783+'01_INPUTS'!B21</f>
        <v>#NAME?</v>
      </c>
      <c r="K783" s="27" t="e">
        <f t="shared" ca="1" si="72"/>
        <v>#NAME?</v>
      </c>
      <c r="L783" s="23" t="e">
        <f t="shared" ca="1" si="73"/>
        <v>#NAME?</v>
      </c>
      <c r="M783" s="23" t="e">
        <f t="shared" ca="1" si="74"/>
        <v>#NAME?</v>
      </c>
      <c r="N783" s="23" t="e">
        <f t="shared" ca="1" si="75"/>
        <v>#NAME?</v>
      </c>
      <c r="O783" s="27" t="e">
        <f t="shared" ca="1" si="76"/>
        <v>#NAME?</v>
      </c>
      <c r="P783" s="27" t="e">
        <f ca="1">'01_INPUTS'!B9*N783-K783</f>
        <v>#NAME?</v>
      </c>
      <c r="Q783" s="1" t="e">
        <f t="shared" ca="1" si="77"/>
        <v>#NAME?</v>
      </c>
      <c r="R783" s="28">
        <v>5.0419455161318183E-2</v>
      </c>
      <c r="S783" s="28">
        <v>0.48844216810539365</v>
      </c>
      <c r="T783" s="28">
        <v>0.4441980617120862</v>
      </c>
      <c r="U783" s="28">
        <v>0.34351954516023397</v>
      </c>
      <c r="V783" s="28">
        <v>0.73003134503960609</v>
      </c>
      <c r="W783" s="28">
        <v>0.96504484652541578</v>
      </c>
      <c r="X783" s="28">
        <v>0.72793126665055752</v>
      </c>
    </row>
    <row r="784" spans="1:24" ht="13.9">
      <c r="A784" s="1">
        <v>783</v>
      </c>
      <c r="B784" s="23" t="e">
        <f ca="1">_xludf.BETA.INV(R784,'04_PSA_INPUTS'!H5,'04_PSA_INPUTS'!I5)</f>
        <v>#NAME?</v>
      </c>
      <c r="C784" s="23" t="e">
        <f ca="1">_xludf.BETA.INV(S784,'04_PSA_INPUTS'!H6,'04_PSA_INPUTS'!I6)</f>
        <v>#NAME?</v>
      </c>
      <c r="D784" s="27" t="e">
        <f ca="1">_xludf.GAMMA.INV(T784,'04_PSA_INPUTS'!H7,'04_PSA_INPUTS'!I7)</f>
        <v>#NAME?</v>
      </c>
      <c r="E784" s="27" t="e">
        <f ca="1">_xludf.GAMMA.INV(U784,'04_PSA_INPUTS'!H8,'04_PSA_INPUTS'!I8)</f>
        <v>#NAME?</v>
      </c>
      <c r="F784" s="27" t="e">
        <f ca="1">_xludf.GAMMA.INV(V784,'04_PSA_INPUTS'!H9,'04_PSA_INPUTS'!I9)</f>
        <v>#NAME?</v>
      </c>
      <c r="G784" s="23" t="e">
        <f ca="1">_xludf.BETA.INV(W784,'04_PSA_INPUTS'!H10,'04_PSA_INPUTS'!I10)</f>
        <v>#NAME?</v>
      </c>
      <c r="H784" s="23" t="e">
        <f ca="1">_xludf.BETA.INV(X784,'04_PSA_INPUTS'!H11,'04_PSA_INPUTS'!I11)</f>
        <v>#NAME?</v>
      </c>
      <c r="I784" s="27" t="e">
        <f ca="1">D784+B784*F784+'01_INPUTS'!B20</f>
        <v>#NAME?</v>
      </c>
      <c r="J784" s="27" t="e">
        <f ca="1">E784+C784*F784+'01_INPUTS'!B21</f>
        <v>#NAME?</v>
      </c>
      <c r="K784" s="27" t="e">
        <f t="shared" ca="1" si="72"/>
        <v>#NAME?</v>
      </c>
      <c r="L784" s="23" t="e">
        <f t="shared" ca="1" si="73"/>
        <v>#NAME?</v>
      </c>
      <c r="M784" s="23" t="e">
        <f t="shared" ca="1" si="74"/>
        <v>#NAME?</v>
      </c>
      <c r="N784" s="23" t="e">
        <f t="shared" ca="1" si="75"/>
        <v>#NAME?</v>
      </c>
      <c r="O784" s="27" t="e">
        <f t="shared" ca="1" si="76"/>
        <v>#NAME?</v>
      </c>
      <c r="P784" s="27" t="e">
        <f ca="1">'01_INPUTS'!B9*N784-K784</f>
        <v>#NAME?</v>
      </c>
      <c r="Q784" s="1" t="e">
        <f t="shared" ca="1" si="77"/>
        <v>#NAME?</v>
      </c>
      <c r="R784" s="28">
        <v>0.75982768088579178</v>
      </c>
      <c r="S784" s="28">
        <v>0.88600662816315889</v>
      </c>
      <c r="T784" s="28">
        <v>0.70380067359656096</v>
      </c>
      <c r="U784" s="28">
        <v>0.28049819148145616</v>
      </c>
      <c r="V784" s="28">
        <v>0.85451257671229541</v>
      </c>
      <c r="W784" s="28">
        <v>0.88679709355346859</v>
      </c>
      <c r="X784" s="28">
        <v>0.84960259543731809</v>
      </c>
    </row>
    <row r="785" spans="1:24" ht="13.9">
      <c r="A785" s="1">
        <v>784</v>
      </c>
      <c r="B785" s="23" t="e">
        <f ca="1">_xludf.BETA.INV(R785,'04_PSA_INPUTS'!H5,'04_PSA_INPUTS'!I5)</f>
        <v>#NAME?</v>
      </c>
      <c r="C785" s="23" t="e">
        <f ca="1">_xludf.BETA.INV(S785,'04_PSA_INPUTS'!H6,'04_PSA_INPUTS'!I6)</f>
        <v>#NAME?</v>
      </c>
      <c r="D785" s="27" t="e">
        <f ca="1">_xludf.GAMMA.INV(T785,'04_PSA_INPUTS'!H7,'04_PSA_INPUTS'!I7)</f>
        <v>#NAME?</v>
      </c>
      <c r="E785" s="27" t="e">
        <f ca="1">_xludf.GAMMA.INV(U785,'04_PSA_INPUTS'!H8,'04_PSA_INPUTS'!I8)</f>
        <v>#NAME?</v>
      </c>
      <c r="F785" s="27" t="e">
        <f ca="1">_xludf.GAMMA.INV(V785,'04_PSA_INPUTS'!H9,'04_PSA_INPUTS'!I9)</f>
        <v>#NAME?</v>
      </c>
      <c r="G785" s="23" t="e">
        <f ca="1">_xludf.BETA.INV(W785,'04_PSA_INPUTS'!H10,'04_PSA_INPUTS'!I10)</f>
        <v>#NAME?</v>
      </c>
      <c r="H785" s="23" t="e">
        <f ca="1">_xludf.BETA.INV(X785,'04_PSA_INPUTS'!H11,'04_PSA_INPUTS'!I11)</f>
        <v>#NAME?</v>
      </c>
      <c r="I785" s="27" t="e">
        <f ca="1">D785+B785*F785+'01_INPUTS'!B20</f>
        <v>#NAME?</v>
      </c>
      <c r="J785" s="27" t="e">
        <f ca="1">E785+C785*F785+'01_INPUTS'!B21</f>
        <v>#NAME?</v>
      </c>
      <c r="K785" s="27" t="e">
        <f t="shared" ca="1" si="72"/>
        <v>#NAME?</v>
      </c>
      <c r="L785" s="23" t="e">
        <f t="shared" ca="1" si="73"/>
        <v>#NAME?</v>
      </c>
      <c r="M785" s="23" t="e">
        <f t="shared" ca="1" si="74"/>
        <v>#NAME?</v>
      </c>
      <c r="N785" s="23" t="e">
        <f t="shared" ca="1" si="75"/>
        <v>#NAME?</v>
      </c>
      <c r="O785" s="27" t="e">
        <f t="shared" ca="1" si="76"/>
        <v>#NAME?</v>
      </c>
      <c r="P785" s="27" t="e">
        <f ca="1">'01_INPUTS'!B9*N785-K785</f>
        <v>#NAME?</v>
      </c>
      <c r="Q785" s="1" t="e">
        <f t="shared" ca="1" si="77"/>
        <v>#NAME?</v>
      </c>
      <c r="R785" s="28">
        <v>3.6378788063302636E-2</v>
      </c>
      <c r="S785" s="28">
        <v>0.26886425842531025</v>
      </c>
      <c r="T785" s="28">
        <v>0.29201548732817173</v>
      </c>
      <c r="U785" s="28">
        <v>0.50978896906599402</v>
      </c>
      <c r="V785" s="28">
        <v>0.78124521463178098</v>
      </c>
      <c r="W785" s="28">
        <v>0.97551560495048761</v>
      </c>
      <c r="X785" s="28">
        <v>0.79399760183878243</v>
      </c>
    </row>
    <row r="786" spans="1:24" ht="13.9">
      <c r="A786" s="1">
        <v>785</v>
      </c>
      <c r="B786" s="23" t="e">
        <f ca="1">_xludf.BETA.INV(R786,'04_PSA_INPUTS'!H5,'04_PSA_INPUTS'!I5)</f>
        <v>#NAME?</v>
      </c>
      <c r="C786" s="23" t="e">
        <f ca="1">_xludf.BETA.INV(S786,'04_PSA_INPUTS'!H6,'04_PSA_INPUTS'!I6)</f>
        <v>#NAME?</v>
      </c>
      <c r="D786" s="27" t="e">
        <f ca="1">_xludf.GAMMA.INV(T786,'04_PSA_INPUTS'!H7,'04_PSA_INPUTS'!I7)</f>
        <v>#NAME?</v>
      </c>
      <c r="E786" s="27" t="e">
        <f ca="1">_xludf.GAMMA.INV(U786,'04_PSA_INPUTS'!H8,'04_PSA_INPUTS'!I8)</f>
        <v>#NAME?</v>
      </c>
      <c r="F786" s="27" t="e">
        <f ca="1">_xludf.GAMMA.INV(V786,'04_PSA_INPUTS'!H9,'04_PSA_INPUTS'!I9)</f>
        <v>#NAME?</v>
      </c>
      <c r="G786" s="23" t="e">
        <f ca="1">_xludf.BETA.INV(W786,'04_PSA_INPUTS'!H10,'04_PSA_INPUTS'!I10)</f>
        <v>#NAME?</v>
      </c>
      <c r="H786" s="23" t="e">
        <f ca="1">_xludf.BETA.INV(X786,'04_PSA_INPUTS'!H11,'04_PSA_INPUTS'!I11)</f>
        <v>#NAME?</v>
      </c>
      <c r="I786" s="27" t="e">
        <f ca="1">D786+B786*F786+'01_INPUTS'!B20</f>
        <v>#NAME?</v>
      </c>
      <c r="J786" s="27" t="e">
        <f ca="1">E786+C786*F786+'01_INPUTS'!B21</f>
        <v>#NAME?</v>
      </c>
      <c r="K786" s="27" t="e">
        <f t="shared" ca="1" si="72"/>
        <v>#NAME?</v>
      </c>
      <c r="L786" s="23" t="e">
        <f t="shared" ca="1" si="73"/>
        <v>#NAME?</v>
      </c>
      <c r="M786" s="23" t="e">
        <f t="shared" ca="1" si="74"/>
        <v>#NAME?</v>
      </c>
      <c r="N786" s="23" t="e">
        <f t="shared" ca="1" si="75"/>
        <v>#NAME?</v>
      </c>
      <c r="O786" s="27" t="e">
        <f t="shared" ca="1" si="76"/>
        <v>#NAME?</v>
      </c>
      <c r="P786" s="27" t="e">
        <f ca="1">'01_INPUTS'!B9*N786-K786</f>
        <v>#NAME?</v>
      </c>
      <c r="Q786" s="1" t="e">
        <f t="shared" ca="1" si="77"/>
        <v>#NAME?</v>
      </c>
      <c r="R786" s="28">
        <v>0.71394867403432727</v>
      </c>
      <c r="S786" s="28">
        <v>0.31850845506414771</v>
      </c>
      <c r="T786" s="28">
        <v>0.41381901758722961</v>
      </c>
      <c r="U786" s="28">
        <v>0.52560378215275705</v>
      </c>
      <c r="V786" s="28">
        <v>0.32269977102987468</v>
      </c>
      <c r="W786" s="28">
        <v>0.98887327080592513</v>
      </c>
      <c r="X786" s="28">
        <v>7.7056593028828502E-2</v>
      </c>
    </row>
    <row r="787" spans="1:24" ht="13.9">
      <c r="A787" s="1">
        <v>786</v>
      </c>
      <c r="B787" s="23" t="e">
        <f ca="1">_xludf.BETA.INV(R787,'04_PSA_INPUTS'!H5,'04_PSA_INPUTS'!I5)</f>
        <v>#NAME?</v>
      </c>
      <c r="C787" s="23" t="e">
        <f ca="1">_xludf.BETA.INV(S787,'04_PSA_INPUTS'!H6,'04_PSA_INPUTS'!I6)</f>
        <v>#NAME?</v>
      </c>
      <c r="D787" s="27" t="e">
        <f ca="1">_xludf.GAMMA.INV(T787,'04_PSA_INPUTS'!H7,'04_PSA_INPUTS'!I7)</f>
        <v>#NAME?</v>
      </c>
      <c r="E787" s="27" t="e">
        <f ca="1">_xludf.GAMMA.INV(U787,'04_PSA_INPUTS'!H8,'04_PSA_INPUTS'!I8)</f>
        <v>#NAME?</v>
      </c>
      <c r="F787" s="27" t="e">
        <f ca="1">_xludf.GAMMA.INV(V787,'04_PSA_INPUTS'!H9,'04_PSA_INPUTS'!I9)</f>
        <v>#NAME?</v>
      </c>
      <c r="G787" s="23" t="e">
        <f ca="1">_xludf.BETA.INV(W787,'04_PSA_INPUTS'!H10,'04_PSA_INPUTS'!I10)</f>
        <v>#NAME?</v>
      </c>
      <c r="H787" s="23" t="e">
        <f ca="1">_xludf.BETA.INV(X787,'04_PSA_INPUTS'!H11,'04_PSA_INPUTS'!I11)</f>
        <v>#NAME?</v>
      </c>
      <c r="I787" s="27" t="e">
        <f ca="1">D787+B787*F787+'01_INPUTS'!B20</f>
        <v>#NAME?</v>
      </c>
      <c r="J787" s="27" t="e">
        <f ca="1">E787+C787*F787+'01_INPUTS'!B21</f>
        <v>#NAME?</v>
      </c>
      <c r="K787" s="27" t="e">
        <f t="shared" ca="1" si="72"/>
        <v>#NAME?</v>
      </c>
      <c r="L787" s="23" t="e">
        <f t="shared" ca="1" si="73"/>
        <v>#NAME?</v>
      </c>
      <c r="M787" s="23" t="e">
        <f t="shared" ca="1" si="74"/>
        <v>#NAME?</v>
      </c>
      <c r="N787" s="23" t="e">
        <f t="shared" ca="1" si="75"/>
        <v>#NAME?</v>
      </c>
      <c r="O787" s="27" t="e">
        <f t="shared" ca="1" si="76"/>
        <v>#NAME?</v>
      </c>
      <c r="P787" s="27" t="e">
        <f ca="1">'01_INPUTS'!B9*N787-K787</f>
        <v>#NAME?</v>
      </c>
      <c r="Q787" s="1" t="e">
        <f t="shared" ca="1" si="77"/>
        <v>#NAME?</v>
      </c>
      <c r="R787" s="28">
        <v>0.19057233585044742</v>
      </c>
      <c r="S787" s="28">
        <v>0.82142288447357714</v>
      </c>
      <c r="T787" s="28">
        <v>0.62752431188710034</v>
      </c>
      <c r="U787" s="28">
        <v>8.0587808508425951E-2</v>
      </c>
      <c r="V787" s="28">
        <v>0.8487865999341011</v>
      </c>
      <c r="W787" s="28">
        <v>0.75050507811829448</v>
      </c>
      <c r="X787" s="28">
        <v>0.30558549263514578</v>
      </c>
    </row>
    <row r="788" spans="1:24" ht="13.9">
      <c r="A788" s="1">
        <v>787</v>
      </c>
      <c r="B788" s="23" t="e">
        <f ca="1">_xludf.BETA.INV(R788,'04_PSA_INPUTS'!H5,'04_PSA_INPUTS'!I5)</f>
        <v>#NAME?</v>
      </c>
      <c r="C788" s="23" t="e">
        <f ca="1">_xludf.BETA.INV(S788,'04_PSA_INPUTS'!H6,'04_PSA_INPUTS'!I6)</f>
        <v>#NAME?</v>
      </c>
      <c r="D788" s="27" t="e">
        <f ca="1">_xludf.GAMMA.INV(T788,'04_PSA_INPUTS'!H7,'04_PSA_INPUTS'!I7)</f>
        <v>#NAME?</v>
      </c>
      <c r="E788" s="27" t="e">
        <f ca="1">_xludf.GAMMA.INV(U788,'04_PSA_INPUTS'!H8,'04_PSA_INPUTS'!I8)</f>
        <v>#NAME?</v>
      </c>
      <c r="F788" s="27" t="e">
        <f ca="1">_xludf.GAMMA.INV(V788,'04_PSA_INPUTS'!H9,'04_PSA_INPUTS'!I9)</f>
        <v>#NAME?</v>
      </c>
      <c r="G788" s="23" t="e">
        <f ca="1">_xludf.BETA.INV(W788,'04_PSA_INPUTS'!H10,'04_PSA_INPUTS'!I10)</f>
        <v>#NAME?</v>
      </c>
      <c r="H788" s="23" t="e">
        <f ca="1">_xludf.BETA.INV(X788,'04_PSA_INPUTS'!H11,'04_PSA_INPUTS'!I11)</f>
        <v>#NAME?</v>
      </c>
      <c r="I788" s="27" t="e">
        <f ca="1">D788+B788*F788+'01_INPUTS'!B20</f>
        <v>#NAME?</v>
      </c>
      <c r="J788" s="27" t="e">
        <f ca="1">E788+C788*F788+'01_INPUTS'!B21</f>
        <v>#NAME?</v>
      </c>
      <c r="K788" s="27" t="e">
        <f t="shared" ca="1" si="72"/>
        <v>#NAME?</v>
      </c>
      <c r="L788" s="23" t="e">
        <f t="shared" ca="1" si="73"/>
        <v>#NAME?</v>
      </c>
      <c r="M788" s="23" t="e">
        <f t="shared" ca="1" si="74"/>
        <v>#NAME?</v>
      </c>
      <c r="N788" s="23" t="e">
        <f t="shared" ca="1" si="75"/>
        <v>#NAME?</v>
      </c>
      <c r="O788" s="27" t="e">
        <f t="shared" ca="1" si="76"/>
        <v>#NAME?</v>
      </c>
      <c r="P788" s="27" t="e">
        <f ca="1">'01_INPUTS'!B9*N788-K788</f>
        <v>#NAME?</v>
      </c>
      <c r="Q788" s="1" t="e">
        <f t="shared" ca="1" si="77"/>
        <v>#NAME?</v>
      </c>
      <c r="R788" s="28">
        <v>0.96320011815987527</v>
      </c>
      <c r="S788" s="28">
        <v>0.6045054504647851</v>
      </c>
      <c r="T788" s="28">
        <v>0.12357705226168036</v>
      </c>
      <c r="U788" s="28">
        <v>0.75024312757886946</v>
      </c>
      <c r="V788" s="28">
        <v>0.47714590444229543</v>
      </c>
      <c r="W788" s="28">
        <v>0.90413994248956442</v>
      </c>
      <c r="X788" s="28">
        <v>0.19479645229876041</v>
      </c>
    </row>
    <row r="789" spans="1:24" ht="13.9">
      <c r="A789" s="1">
        <v>788</v>
      </c>
      <c r="B789" s="23" t="e">
        <f ca="1">_xludf.BETA.INV(R789,'04_PSA_INPUTS'!H5,'04_PSA_INPUTS'!I5)</f>
        <v>#NAME?</v>
      </c>
      <c r="C789" s="23" t="e">
        <f ca="1">_xludf.BETA.INV(S789,'04_PSA_INPUTS'!H6,'04_PSA_INPUTS'!I6)</f>
        <v>#NAME?</v>
      </c>
      <c r="D789" s="27" t="e">
        <f ca="1">_xludf.GAMMA.INV(T789,'04_PSA_INPUTS'!H7,'04_PSA_INPUTS'!I7)</f>
        <v>#NAME?</v>
      </c>
      <c r="E789" s="27" t="e">
        <f ca="1">_xludf.GAMMA.INV(U789,'04_PSA_INPUTS'!H8,'04_PSA_INPUTS'!I8)</f>
        <v>#NAME?</v>
      </c>
      <c r="F789" s="27" t="e">
        <f ca="1">_xludf.GAMMA.INV(V789,'04_PSA_INPUTS'!H9,'04_PSA_INPUTS'!I9)</f>
        <v>#NAME?</v>
      </c>
      <c r="G789" s="23" t="e">
        <f ca="1">_xludf.BETA.INV(W789,'04_PSA_INPUTS'!H10,'04_PSA_INPUTS'!I10)</f>
        <v>#NAME?</v>
      </c>
      <c r="H789" s="23" t="e">
        <f ca="1">_xludf.BETA.INV(X789,'04_PSA_INPUTS'!H11,'04_PSA_INPUTS'!I11)</f>
        <v>#NAME?</v>
      </c>
      <c r="I789" s="27" t="e">
        <f ca="1">D789+B789*F789+'01_INPUTS'!B20</f>
        <v>#NAME?</v>
      </c>
      <c r="J789" s="27" t="e">
        <f ca="1">E789+C789*F789+'01_INPUTS'!B21</f>
        <v>#NAME?</v>
      </c>
      <c r="K789" s="27" t="e">
        <f t="shared" ca="1" si="72"/>
        <v>#NAME?</v>
      </c>
      <c r="L789" s="23" t="e">
        <f t="shared" ca="1" si="73"/>
        <v>#NAME?</v>
      </c>
      <c r="M789" s="23" t="e">
        <f t="shared" ca="1" si="74"/>
        <v>#NAME?</v>
      </c>
      <c r="N789" s="23" t="e">
        <f t="shared" ca="1" si="75"/>
        <v>#NAME?</v>
      </c>
      <c r="O789" s="27" t="e">
        <f t="shared" ca="1" si="76"/>
        <v>#NAME?</v>
      </c>
      <c r="P789" s="27" t="e">
        <f ca="1">'01_INPUTS'!B9*N789-K789</f>
        <v>#NAME?</v>
      </c>
      <c r="Q789" s="1" t="e">
        <f t="shared" ca="1" si="77"/>
        <v>#NAME?</v>
      </c>
      <c r="R789" s="28">
        <v>0.72805346478708088</v>
      </c>
      <c r="S789" s="28">
        <v>0.10667143715545535</v>
      </c>
      <c r="T789" s="28">
        <v>0.54730728105641901</v>
      </c>
      <c r="U789" s="28">
        <v>0.46692672092467546</v>
      </c>
      <c r="V789" s="28">
        <v>0.97469850652851164</v>
      </c>
      <c r="W789" s="28">
        <v>0.61933528794907033</v>
      </c>
      <c r="X789" s="28">
        <v>0.60368496365845203</v>
      </c>
    </row>
    <row r="790" spans="1:24" ht="13.9">
      <c r="A790" s="1">
        <v>789</v>
      </c>
      <c r="B790" s="23" t="e">
        <f ca="1">_xludf.BETA.INV(R790,'04_PSA_INPUTS'!H5,'04_PSA_INPUTS'!I5)</f>
        <v>#NAME?</v>
      </c>
      <c r="C790" s="23" t="e">
        <f ca="1">_xludf.BETA.INV(S790,'04_PSA_INPUTS'!H6,'04_PSA_INPUTS'!I6)</f>
        <v>#NAME?</v>
      </c>
      <c r="D790" s="27" t="e">
        <f ca="1">_xludf.GAMMA.INV(T790,'04_PSA_INPUTS'!H7,'04_PSA_INPUTS'!I7)</f>
        <v>#NAME?</v>
      </c>
      <c r="E790" s="27" t="e">
        <f ca="1">_xludf.GAMMA.INV(U790,'04_PSA_INPUTS'!H8,'04_PSA_INPUTS'!I8)</f>
        <v>#NAME?</v>
      </c>
      <c r="F790" s="27" t="e">
        <f ca="1">_xludf.GAMMA.INV(V790,'04_PSA_INPUTS'!H9,'04_PSA_INPUTS'!I9)</f>
        <v>#NAME?</v>
      </c>
      <c r="G790" s="23" t="e">
        <f ca="1">_xludf.BETA.INV(W790,'04_PSA_INPUTS'!H10,'04_PSA_INPUTS'!I10)</f>
        <v>#NAME?</v>
      </c>
      <c r="H790" s="23" t="e">
        <f ca="1">_xludf.BETA.INV(X790,'04_PSA_INPUTS'!H11,'04_PSA_INPUTS'!I11)</f>
        <v>#NAME?</v>
      </c>
      <c r="I790" s="27" t="e">
        <f ca="1">D790+B790*F790+'01_INPUTS'!B20</f>
        <v>#NAME?</v>
      </c>
      <c r="J790" s="27" t="e">
        <f ca="1">E790+C790*F790+'01_INPUTS'!B21</f>
        <v>#NAME?</v>
      </c>
      <c r="K790" s="27" t="e">
        <f t="shared" ca="1" si="72"/>
        <v>#NAME?</v>
      </c>
      <c r="L790" s="23" t="e">
        <f t="shared" ca="1" si="73"/>
        <v>#NAME?</v>
      </c>
      <c r="M790" s="23" t="e">
        <f t="shared" ca="1" si="74"/>
        <v>#NAME?</v>
      </c>
      <c r="N790" s="23" t="e">
        <f t="shared" ca="1" si="75"/>
        <v>#NAME?</v>
      </c>
      <c r="O790" s="27" t="e">
        <f t="shared" ca="1" si="76"/>
        <v>#NAME?</v>
      </c>
      <c r="P790" s="27" t="e">
        <f ca="1">'01_INPUTS'!B9*N790-K790</f>
        <v>#NAME?</v>
      </c>
      <c r="Q790" s="1" t="e">
        <f t="shared" ca="1" si="77"/>
        <v>#NAME?</v>
      </c>
      <c r="R790" s="28">
        <v>0.13049728772602975</v>
      </c>
      <c r="S790" s="28">
        <v>0.63510743132792413</v>
      </c>
      <c r="T790" s="28">
        <v>0.11966730211861432</v>
      </c>
      <c r="U790" s="28">
        <v>3.1793823465704918E-2</v>
      </c>
      <c r="V790" s="28">
        <v>7.9666617792099714E-2</v>
      </c>
      <c r="W790" s="28">
        <v>0.31793794664554298</v>
      </c>
      <c r="X790" s="28">
        <v>4.9042949918657541E-2</v>
      </c>
    </row>
    <row r="791" spans="1:24" ht="13.9">
      <c r="A791" s="1">
        <v>790</v>
      </c>
      <c r="B791" s="23" t="e">
        <f ca="1">_xludf.BETA.INV(R791,'04_PSA_INPUTS'!H5,'04_PSA_INPUTS'!I5)</f>
        <v>#NAME?</v>
      </c>
      <c r="C791" s="23" t="e">
        <f ca="1">_xludf.BETA.INV(S791,'04_PSA_INPUTS'!H6,'04_PSA_INPUTS'!I6)</f>
        <v>#NAME?</v>
      </c>
      <c r="D791" s="27" t="e">
        <f ca="1">_xludf.GAMMA.INV(T791,'04_PSA_INPUTS'!H7,'04_PSA_INPUTS'!I7)</f>
        <v>#NAME?</v>
      </c>
      <c r="E791" s="27" t="e">
        <f ca="1">_xludf.GAMMA.INV(U791,'04_PSA_INPUTS'!H8,'04_PSA_INPUTS'!I8)</f>
        <v>#NAME?</v>
      </c>
      <c r="F791" s="27" t="e">
        <f ca="1">_xludf.GAMMA.INV(V791,'04_PSA_INPUTS'!H9,'04_PSA_INPUTS'!I9)</f>
        <v>#NAME?</v>
      </c>
      <c r="G791" s="23" t="e">
        <f ca="1">_xludf.BETA.INV(W791,'04_PSA_INPUTS'!H10,'04_PSA_INPUTS'!I10)</f>
        <v>#NAME?</v>
      </c>
      <c r="H791" s="23" t="e">
        <f ca="1">_xludf.BETA.INV(X791,'04_PSA_INPUTS'!H11,'04_PSA_INPUTS'!I11)</f>
        <v>#NAME?</v>
      </c>
      <c r="I791" s="27" t="e">
        <f ca="1">D791+B791*F791+'01_INPUTS'!B20</f>
        <v>#NAME?</v>
      </c>
      <c r="J791" s="27" t="e">
        <f ca="1">E791+C791*F791+'01_INPUTS'!B21</f>
        <v>#NAME?</v>
      </c>
      <c r="K791" s="27" t="e">
        <f t="shared" ca="1" si="72"/>
        <v>#NAME?</v>
      </c>
      <c r="L791" s="23" t="e">
        <f t="shared" ca="1" si="73"/>
        <v>#NAME?</v>
      </c>
      <c r="M791" s="23" t="e">
        <f t="shared" ca="1" si="74"/>
        <v>#NAME?</v>
      </c>
      <c r="N791" s="23" t="e">
        <f t="shared" ca="1" si="75"/>
        <v>#NAME?</v>
      </c>
      <c r="O791" s="27" t="e">
        <f t="shared" ca="1" si="76"/>
        <v>#NAME?</v>
      </c>
      <c r="P791" s="27" t="e">
        <f ca="1">'01_INPUTS'!B9*N791-K791</f>
        <v>#NAME?</v>
      </c>
      <c r="Q791" s="1" t="e">
        <f t="shared" ca="1" si="77"/>
        <v>#NAME?</v>
      </c>
      <c r="R791" s="28">
        <v>0.9372173526789993</v>
      </c>
      <c r="S791" s="28">
        <v>4.2388378642499447E-3</v>
      </c>
      <c r="T791" s="28">
        <v>0.51672780187800527</v>
      </c>
      <c r="U791" s="28">
        <v>0.3552029577549547</v>
      </c>
      <c r="V791" s="28">
        <v>0.79246711521409452</v>
      </c>
      <c r="W791" s="28">
        <v>0.36220813705585897</v>
      </c>
      <c r="X791" s="28">
        <v>0.98466309159994125</v>
      </c>
    </row>
    <row r="792" spans="1:24" ht="13.9">
      <c r="A792" s="1">
        <v>791</v>
      </c>
      <c r="B792" s="23" t="e">
        <f ca="1">_xludf.BETA.INV(R792,'04_PSA_INPUTS'!H5,'04_PSA_INPUTS'!I5)</f>
        <v>#NAME?</v>
      </c>
      <c r="C792" s="23" t="e">
        <f ca="1">_xludf.BETA.INV(S792,'04_PSA_INPUTS'!H6,'04_PSA_INPUTS'!I6)</f>
        <v>#NAME?</v>
      </c>
      <c r="D792" s="27" t="e">
        <f ca="1">_xludf.GAMMA.INV(T792,'04_PSA_INPUTS'!H7,'04_PSA_INPUTS'!I7)</f>
        <v>#NAME?</v>
      </c>
      <c r="E792" s="27" t="e">
        <f ca="1">_xludf.GAMMA.INV(U792,'04_PSA_INPUTS'!H8,'04_PSA_INPUTS'!I8)</f>
        <v>#NAME?</v>
      </c>
      <c r="F792" s="27" t="e">
        <f ca="1">_xludf.GAMMA.INV(V792,'04_PSA_INPUTS'!H9,'04_PSA_INPUTS'!I9)</f>
        <v>#NAME?</v>
      </c>
      <c r="G792" s="23" t="e">
        <f ca="1">_xludf.BETA.INV(W792,'04_PSA_INPUTS'!H10,'04_PSA_INPUTS'!I10)</f>
        <v>#NAME?</v>
      </c>
      <c r="H792" s="23" t="e">
        <f ca="1">_xludf.BETA.INV(X792,'04_PSA_INPUTS'!H11,'04_PSA_INPUTS'!I11)</f>
        <v>#NAME?</v>
      </c>
      <c r="I792" s="27" t="e">
        <f ca="1">D792+B792*F792+'01_INPUTS'!B20</f>
        <v>#NAME?</v>
      </c>
      <c r="J792" s="27" t="e">
        <f ca="1">E792+C792*F792+'01_INPUTS'!B21</f>
        <v>#NAME?</v>
      </c>
      <c r="K792" s="27" t="e">
        <f t="shared" ca="1" si="72"/>
        <v>#NAME?</v>
      </c>
      <c r="L792" s="23" t="e">
        <f t="shared" ca="1" si="73"/>
        <v>#NAME?</v>
      </c>
      <c r="M792" s="23" t="e">
        <f t="shared" ca="1" si="74"/>
        <v>#NAME?</v>
      </c>
      <c r="N792" s="23" t="e">
        <f t="shared" ca="1" si="75"/>
        <v>#NAME?</v>
      </c>
      <c r="O792" s="27" t="e">
        <f t="shared" ca="1" si="76"/>
        <v>#NAME?</v>
      </c>
      <c r="P792" s="27" t="e">
        <f ca="1">'01_INPUTS'!B9*N792-K792</f>
        <v>#NAME?</v>
      </c>
      <c r="Q792" s="1" t="e">
        <f t="shared" ca="1" si="77"/>
        <v>#NAME?</v>
      </c>
      <c r="R792" s="28">
        <v>0.40958541282452643</v>
      </c>
      <c r="S792" s="28">
        <v>0.11631585215218365</v>
      </c>
      <c r="T792" s="28">
        <v>0.66242098645307124</v>
      </c>
      <c r="U792" s="28">
        <v>2.4347227299585938E-2</v>
      </c>
      <c r="V792" s="28">
        <v>0.75973774120211601</v>
      </c>
      <c r="W792" s="28">
        <v>0.78864108072593808</v>
      </c>
      <c r="X792" s="28">
        <v>0.9042621455155313</v>
      </c>
    </row>
    <row r="793" spans="1:24" ht="13.9">
      <c r="A793" s="1">
        <v>792</v>
      </c>
      <c r="B793" s="23" t="e">
        <f ca="1">_xludf.BETA.INV(R793,'04_PSA_INPUTS'!H5,'04_PSA_INPUTS'!I5)</f>
        <v>#NAME?</v>
      </c>
      <c r="C793" s="23" t="e">
        <f ca="1">_xludf.BETA.INV(S793,'04_PSA_INPUTS'!H6,'04_PSA_INPUTS'!I6)</f>
        <v>#NAME?</v>
      </c>
      <c r="D793" s="27" t="e">
        <f ca="1">_xludf.GAMMA.INV(T793,'04_PSA_INPUTS'!H7,'04_PSA_INPUTS'!I7)</f>
        <v>#NAME?</v>
      </c>
      <c r="E793" s="27" t="e">
        <f ca="1">_xludf.GAMMA.INV(U793,'04_PSA_INPUTS'!H8,'04_PSA_INPUTS'!I8)</f>
        <v>#NAME?</v>
      </c>
      <c r="F793" s="27" t="e">
        <f ca="1">_xludf.GAMMA.INV(V793,'04_PSA_INPUTS'!H9,'04_PSA_INPUTS'!I9)</f>
        <v>#NAME?</v>
      </c>
      <c r="G793" s="23" t="e">
        <f ca="1">_xludf.BETA.INV(W793,'04_PSA_INPUTS'!H10,'04_PSA_INPUTS'!I10)</f>
        <v>#NAME?</v>
      </c>
      <c r="H793" s="23" t="e">
        <f ca="1">_xludf.BETA.INV(X793,'04_PSA_INPUTS'!H11,'04_PSA_INPUTS'!I11)</f>
        <v>#NAME?</v>
      </c>
      <c r="I793" s="27" t="e">
        <f ca="1">D793+B793*F793+'01_INPUTS'!B20</f>
        <v>#NAME?</v>
      </c>
      <c r="J793" s="27" t="e">
        <f ca="1">E793+C793*F793+'01_INPUTS'!B21</f>
        <v>#NAME?</v>
      </c>
      <c r="K793" s="27" t="e">
        <f t="shared" ca="1" si="72"/>
        <v>#NAME?</v>
      </c>
      <c r="L793" s="23" t="e">
        <f t="shared" ca="1" si="73"/>
        <v>#NAME?</v>
      </c>
      <c r="M793" s="23" t="e">
        <f t="shared" ca="1" si="74"/>
        <v>#NAME?</v>
      </c>
      <c r="N793" s="23" t="e">
        <f t="shared" ca="1" si="75"/>
        <v>#NAME?</v>
      </c>
      <c r="O793" s="27" t="e">
        <f t="shared" ca="1" si="76"/>
        <v>#NAME?</v>
      </c>
      <c r="P793" s="27" t="e">
        <f ca="1">'01_INPUTS'!B9*N793-K793</f>
        <v>#NAME?</v>
      </c>
      <c r="Q793" s="1" t="e">
        <f t="shared" ca="1" si="77"/>
        <v>#NAME?</v>
      </c>
      <c r="R793" s="28">
        <v>0.23825239297002554</v>
      </c>
      <c r="S793" s="28">
        <v>0.95506120449863374</v>
      </c>
      <c r="T793" s="28">
        <v>0.62705661915242672</v>
      </c>
      <c r="U793" s="28">
        <v>0.30925342766568065</v>
      </c>
      <c r="V793" s="28">
        <v>0.92500553862191737</v>
      </c>
      <c r="W793" s="28">
        <v>0.90466766688041389</v>
      </c>
      <c r="X793" s="28">
        <v>0.64075540145859122</v>
      </c>
    </row>
    <row r="794" spans="1:24" ht="13.9">
      <c r="A794" s="1">
        <v>793</v>
      </c>
      <c r="B794" s="23" t="e">
        <f ca="1">_xludf.BETA.INV(R794,'04_PSA_INPUTS'!H5,'04_PSA_INPUTS'!I5)</f>
        <v>#NAME?</v>
      </c>
      <c r="C794" s="23" t="e">
        <f ca="1">_xludf.BETA.INV(S794,'04_PSA_INPUTS'!H6,'04_PSA_INPUTS'!I6)</f>
        <v>#NAME?</v>
      </c>
      <c r="D794" s="27" t="e">
        <f ca="1">_xludf.GAMMA.INV(T794,'04_PSA_INPUTS'!H7,'04_PSA_INPUTS'!I7)</f>
        <v>#NAME?</v>
      </c>
      <c r="E794" s="27" t="e">
        <f ca="1">_xludf.GAMMA.INV(U794,'04_PSA_INPUTS'!H8,'04_PSA_INPUTS'!I8)</f>
        <v>#NAME?</v>
      </c>
      <c r="F794" s="27" t="e">
        <f ca="1">_xludf.GAMMA.INV(V794,'04_PSA_INPUTS'!H9,'04_PSA_INPUTS'!I9)</f>
        <v>#NAME?</v>
      </c>
      <c r="G794" s="23" t="e">
        <f ca="1">_xludf.BETA.INV(W794,'04_PSA_INPUTS'!H10,'04_PSA_INPUTS'!I10)</f>
        <v>#NAME?</v>
      </c>
      <c r="H794" s="23" t="e">
        <f ca="1">_xludf.BETA.INV(X794,'04_PSA_INPUTS'!H11,'04_PSA_INPUTS'!I11)</f>
        <v>#NAME?</v>
      </c>
      <c r="I794" s="27" t="e">
        <f ca="1">D794+B794*F794+'01_INPUTS'!B20</f>
        <v>#NAME?</v>
      </c>
      <c r="J794" s="27" t="e">
        <f ca="1">E794+C794*F794+'01_INPUTS'!B21</f>
        <v>#NAME?</v>
      </c>
      <c r="K794" s="27" t="e">
        <f t="shared" ca="1" si="72"/>
        <v>#NAME?</v>
      </c>
      <c r="L794" s="23" t="e">
        <f t="shared" ca="1" si="73"/>
        <v>#NAME?</v>
      </c>
      <c r="M794" s="23" t="e">
        <f t="shared" ca="1" si="74"/>
        <v>#NAME?</v>
      </c>
      <c r="N794" s="23" t="e">
        <f t="shared" ca="1" si="75"/>
        <v>#NAME?</v>
      </c>
      <c r="O794" s="27" t="e">
        <f t="shared" ca="1" si="76"/>
        <v>#NAME?</v>
      </c>
      <c r="P794" s="27" t="e">
        <f ca="1">'01_INPUTS'!B9*N794-K794</f>
        <v>#NAME?</v>
      </c>
      <c r="Q794" s="1" t="e">
        <f t="shared" ca="1" si="77"/>
        <v>#NAME?</v>
      </c>
      <c r="R794" s="28">
        <v>0.73439667141065001</v>
      </c>
      <c r="S794" s="28">
        <v>0.50221392163075507</v>
      </c>
      <c r="T794" s="28">
        <v>0.43051493121311069</v>
      </c>
      <c r="U794" s="28">
        <v>0.34635126497596502</v>
      </c>
      <c r="V794" s="28">
        <v>0.32757403864525259</v>
      </c>
      <c r="W794" s="28">
        <v>0.85885643772780895</v>
      </c>
      <c r="X794" s="28">
        <v>0.49807738955132663</v>
      </c>
    </row>
    <row r="795" spans="1:24" ht="13.9">
      <c r="A795" s="1">
        <v>794</v>
      </c>
      <c r="B795" s="23" t="e">
        <f ca="1">_xludf.BETA.INV(R795,'04_PSA_INPUTS'!H5,'04_PSA_INPUTS'!I5)</f>
        <v>#NAME?</v>
      </c>
      <c r="C795" s="23" t="e">
        <f ca="1">_xludf.BETA.INV(S795,'04_PSA_INPUTS'!H6,'04_PSA_INPUTS'!I6)</f>
        <v>#NAME?</v>
      </c>
      <c r="D795" s="27" t="e">
        <f ca="1">_xludf.GAMMA.INV(T795,'04_PSA_INPUTS'!H7,'04_PSA_INPUTS'!I7)</f>
        <v>#NAME?</v>
      </c>
      <c r="E795" s="27" t="e">
        <f ca="1">_xludf.GAMMA.INV(U795,'04_PSA_INPUTS'!H8,'04_PSA_INPUTS'!I8)</f>
        <v>#NAME?</v>
      </c>
      <c r="F795" s="27" t="e">
        <f ca="1">_xludf.GAMMA.INV(V795,'04_PSA_INPUTS'!H9,'04_PSA_INPUTS'!I9)</f>
        <v>#NAME?</v>
      </c>
      <c r="G795" s="23" t="e">
        <f ca="1">_xludf.BETA.INV(W795,'04_PSA_INPUTS'!H10,'04_PSA_INPUTS'!I10)</f>
        <v>#NAME?</v>
      </c>
      <c r="H795" s="23" t="e">
        <f ca="1">_xludf.BETA.INV(X795,'04_PSA_INPUTS'!H11,'04_PSA_INPUTS'!I11)</f>
        <v>#NAME?</v>
      </c>
      <c r="I795" s="27" t="e">
        <f ca="1">D795+B795*F795+'01_INPUTS'!B20</f>
        <v>#NAME?</v>
      </c>
      <c r="J795" s="27" t="e">
        <f ca="1">E795+C795*F795+'01_INPUTS'!B21</f>
        <v>#NAME?</v>
      </c>
      <c r="K795" s="27" t="e">
        <f t="shared" ca="1" si="72"/>
        <v>#NAME?</v>
      </c>
      <c r="L795" s="23" t="e">
        <f t="shared" ca="1" si="73"/>
        <v>#NAME?</v>
      </c>
      <c r="M795" s="23" t="e">
        <f t="shared" ca="1" si="74"/>
        <v>#NAME?</v>
      </c>
      <c r="N795" s="23" t="e">
        <f t="shared" ca="1" si="75"/>
        <v>#NAME?</v>
      </c>
      <c r="O795" s="27" t="e">
        <f t="shared" ca="1" si="76"/>
        <v>#NAME?</v>
      </c>
      <c r="P795" s="27" t="e">
        <f ca="1">'01_INPUTS'!B9*N795-K795</f>
        <v>#NAME?</v>
      </c>
      <c r="Q795" s="1" t="e">
        <f t="shared" ca="1" si="77"/>
        <v>#NAME?</v>
      </c>
      <c r="R795" s="28">
        <v>0.47510752850212157</v>
      </c>
      <c r="S795" s="28">
        <v>0.83547009038738906</v>
      </c>
      <c r="T795" s="28">
        <v>0.17094139521941543</v>
      </c>
      <c r="U795" s="28">
        <v>0.16497874027118087</v>
      </c>
      <c r="V795" s="28">
        <v>0.58315681875683367</v>
      </c>
      <c r="W795" s="28">
        <v>0.83223184873349965</v>
      </c>
      <c r="X795" s="28">
        <v>0.7795834350399673</v>
      </c>
    </row>
    <row r="796" spans="1:24" ht="13.9">
      <c r="A796" s="1">
        <v>795</v>
      </c>
      <c r="B796" s="23" t="e">
        <f ca="1">_xludf.BETA.INV(R796,'04_PSA_INPUTS'!H5,'04_PSA_INPUTS'!I5)</f>
        <v>#NAME?</v>
      </c>
      <c r="C796" s="23" t="e">
        <f ca="1">_xludf.BETA.INV(S796,'04_PSA_INPUTS'!H6,'04_PSA_INPUTS'!I6)</f>
        <v>#NAME?</v>
      </c>
      <c r="D796" s="27" t="e">
        <f ca="1">_xludf.GAMMA.INV(T796,'04_PSA_INPUTS'!H7,'04_PSA_INPUTS'!I7)</f>
        <v>#NAME?</v>
      </c>
      <c r="E796" s="27" t="e">
        <f ca="1">_xludf.GAMMA.INV(U796,'04_PSA_INPUTS'!H8,'04_PSA_INPUTS'!I8)</f>
        <v>#NAME?</v>
      </c>
      <c r="F796" s="27" t="e">
        <f ca="1">_xludf.GAMMA.INV(V796,'04_PSA_INPUTS'!H9,'04_PSA_INPUTS'!I9)</f>
        <v>#NAME?</v>
      </c>
      <c r="G796" s="23" t="e">
        <f ca="1">_xludf.BETA.INV(W796,'04_PSA_INPUTS'!H10,'04_PSA_INPUTS'!I10)</f>
        <v>#NAME?</v>
      </c>
      <c r="H796" s="23" t="e">
        <f ca="1">_xludf.BETA.INV(X796,'04_PSA_INPUTS'!H11,'04_PSA_INPUTS'!I11)</f>
        <v>#NAME?</v>
      </c>
      <c r="I796" s="27" t="e">
        <f ca="1">D796+B796*F796+'01_INPUTS'!B20</f>
        <v>#NAME?</v>
      </c>
      <c r="J796" s="27" t="e">
        <f ca="1">E796+C796*F796+'01_INPUTS'!B21</f>
        <v>#NAME?</v>
      </c>
      <c r="K796" s="27" t="e">
        <f t="shared" ca="1" si="72"/>
        <v>#NAME?</v>
      </c>
      <c r="L796" s="23" t="e">
        <f t="shared" ca="1" si="73"/>
        <v>#NAME?</v>
      </c>
      <c r="M796" s="23" t="e">
        <f t="shared" ca="1" si="74"/>
        <v>#NAME?</v>
      </c>
      <c r="N796" s="23" t="e">
        <f t="shared" ca="1" si="75"/>
        <v>#NAME?</v>
      </c>
      <c r="O796" s="27" t="e">
        <f t="shared" ca="1" si="76"/>
        <v>#NAME?</v>
      </c>
      <c r="P796" s="27" t="e">
        <f ca="1">'01_INPUTS'!B9*N796-K796</f>
        <v>#NAME?</v>
      </c>
      <c r="Q796" s="1" t="e">
        <f t="shared" ca="1" si="77"/>
        <v>#NAME?</v>
      </c>
      <c r="R796" s="28">
        <v>0.31926044612191617</v>
      </c>
      <c r="S796" s="28">
        <v>0.62232250277884305</v>
      </c>
      <c r="T796" s="28">
        <v>0.21596629545092583</v>
      </c>
      <c r="U796" s="28">
        <v>0.69125592801719904</v>
      </c>
      <c r="V796" s="28">
        <v>0.47952684760093689</v>
      </c>
      <c r="W796" s="28">
        <v>0.74608197924681008</v>
      </c>
      <c r="X796" s="28">
        <v>9.3438168987631798E-3</v>
      </c>
    </row>
    <row r="797" spans="1:24" ht="13.9">
      <c r="A797" s="1">
        <v>796</v>
      </c>
      <c r="B797" s="23" t="e">
        <f ca="1">_xludf.BETA.INV(R797,'04_PSA_INPUTS'!H5,'04_PSA_INPUTS'!I5)</f>
        <v>#NAME?</v>
      </c>
      <c r="C797" s="23" t="e">
        <f ca="1">_xludf.BETA.INV(S797,'04_PSA_INPUTS'!H6,'04_PSA_INPUTS'!I6)</f>
        <v>#NAME?</v>
      </c>
      <c r="D797" s="27" t="e">
        <f ca="1">_xludf.GAMMA.INV(T797,'04_PSA_INPUTS'!H7,'04_PSA_INPUTS'!I7)</f>
        <v>#NAME?</v>
      </c>
      <c r="E797" s="27" t="e">
        <f ca="1">_xludf.GAMMA.INV(U797,'04_PSA_INPUTS'!H8,'04_PSA_INPUTS'!I8)</f>
        <v>#NAME?</v>
      </c>
      <c r="F797" s="27" t="e">
        <f ca="1">_xludf.GAMMA.INV(V797,'04_PSA_INPUTS'!H9,'04_PSA_INPUTS'!I9)</f>
        <v>#NAME?</v>
      </c>
      <c r="G797" s="23" t="e">
        <f ca="1">_xludf.BETA.INV(W797,'04_PSA_INPUTS'!H10,'04_PSA_INPUTS'!I10)</f>
        <v>#NAME?</v>
      </c>
      <c r="H797" s="23" t="e">
        <f ca="1">_xludf.BETA.INV(X797,'04_PSA_INPUTS'!H11,'04_PSA_INPUTS'!I11)</f>
        <v>#NAME?</v>
      </c>
      <c r="I797" s="27" t="e">
        <f ca="1">D797+B797*F797+'01_INPUTS'!B20</f>
        <v>#NAME?</v>
      </c>
      <c r="J797" s="27" t="e">
        <f ca="1">E797+C797*F797+'01_INPUTS'!B21</f>
        <v>#NAME?</v>
      </c>
      <c r="K797" s="27" t="e">
        <f t="shared" ca="1" si="72"/>
        <v>#NAME?</v>
      </c>
      <c r="L797" s="23" t="e">
        <f t="shared" ca="1" si="73"/>
        <v>#NAME?</v>
      </c>
      <c r="M797" s="23" t="e">
        <f t="shared" ca="1" si="74"/>
        <v>#NAME?</v>
      </c>
      <c r="N797" s="23" t="e">
        <f t="shared" ca="1" si="75"/>
        <v>#NAME?</v>
      </c>
      <c r="O797" s="27" t="e">
        <f t="shared" ca="1" si="76"/>
        <v>#NAME?</v>
      </c>
      <c r="P797" s="27" t="e">
        <f ca="1">'01_INPUTS'!B9*N797-K797</f>
        <v>#NAME?</v>
      </c>
      <c r="Q797" s="1" t="e">
        <f t="shared" ca="1" si="77"/>
        <v>#NAME?</v>
      </c>
      <c r="R797" s="28">
        <v>6.0427840799093246E-4</v>
      </c>
      <c r="S797" s="28">
        <v>0.8115128492936492</v>
      </c>
      <c r="T797" s="28">
        <v>0.33448820980265737</v>
      </c>
      <c r="U797" s="28">
        <v>0.42888989159837365</v>
      </c>
      <c r="V797" s="28">
        <v>8.378882217220962E-2</v>
      </c>
      <c r="W797" s="28">
        <v>0.76633549947291613</v>
      </c>
      <c r="X797" s="28">
        <v>0.12703214306384325</v>
      </c>
    </row>
    <row r="798" spans="1:24" ht="13.9">
      <c r="A798" s="1">
        <v>797</v>
      </c>
      <c r="B798" s="23" t="e">
        <f ca="1">_xludf.BETA.INV(R798,'04_PSA_INPUTS'!H5,'04_PSA_INPUTS'!I5)</f>
        <v>#NAME?</v>
      </c>
      <c r="C798" s="23" t="e">
        <f ca="1">_xludf.BETA.INV(S798,'04_PSA_INPUTS'!H6,'04_PSA_INPUTS'!I6)</f>
        <v>#NAME?</v>
      </c>
      <c r="D798" s="27" t="e">
        <f ca="1">_xludf.GAMMA.INV(T798,'04_PSA_INPUTS'!H7,'04_PSA_INPUTS'!I7)</f>
        <v>#NAME?</v>
      </c>
      <c r="E798" s="27" t="e">
        <f ca="1">_xludf.GAMMA.INV(U798,'04_PSA_INPUTS'!H8,'04_PSA_INPUTS'!I8)</f>
        <v>#NAME?</v>
      </c>
      <c r="F798" s="27" t="e">
        <f ca="1">_xludf.GAMMA.INV(V798,'04_PSA_INPUTS'!H9,'04_PSA_INPUTS'!I9)</f>
        <v>#NAME?</v>
      </c>
      <c r="G798" s="23" t="e">
        <f ca="1">_xludf.BETA.INV(W798,'04_PSA_INPUTS'!H10,'04_PSA_INPUTS'!I10)</f>
        <v>#NAME?</v>
      </c>
      <c r="H798" s="23" t="e">
        <f ca="1">_xludf.BETA.INV(X798,'04_PSA_INPUTS'!H11,'04_PSA_INPUTS'!I11)</f>
        <v>#NAME?</v>
      </c>
      <c r="I798" s="27" t="e">
        <f ca="1">D798+B798*F798+'01_INPUTS'!B20</f>
        <v>#NAME?</v>
      </c>
      <c r="J798" s="27" t="e">
        <f ca="1">E798+C798*F798+'01_INPUTS'!B21</f>
        <v>#NAME?</v>
      </c>
      <c r="K798" s="27" t="e">
        <f t="shared" ca="1" si="72"/>
        <v>#NAME?</v>
      </c>
      <c r="L798" s="23" t="e">
        <f t="shared" ca="1" si="73"/>
        <v>#NAME?</v>
      </c>
      <c r="M798" s="23" t="e">
        <f t="shared" ca="1" si="74"/>
        <v>#NAME?</v>
      </c>
      <c r="N798" s="23" t="e">
        <f t="shared" ca="1" si="75"/>
        <v>#NAME?</v>
      </c>
      <c r="O798" s="27" t="e">
        <f t="shared" ca="1" si="76"/>
        <v>#NAME?</v>
      </c>
      <c r="P798" s="27" t="e">
        <f ca="1">'01_INPUTS'!B9*N798-K798</f>
        <v>#NAME?</v>
      </c>
      <c r="Q798" s="1" t="e">
        <f t="shared" ca="1" si="77"/>
        <v>#NAME?</v>
      </c>
      <c r="R798" s="28">
        <v>0.24765360052697361</v>
      </c>
      <c r="S798" s="28">
        <v>0.12997715617530048</v>
      </c>
      <c r="T798" s="28">
        <v>0.93962067924439907</v>
      </c>
      <c r="U798" s="28">
        <v>0.53307140967808664</v>
      </c>
      <c r="V798" s="28">
        <v>4.7843529609963298E-2</v>
      </c>
      <c r="W798" s="28">
        <v>0.42075429251417518</v>
      </c>
      <c r="X798" s="28">
        <v>0.86558119906112552</v>
      </c>
    </row>
    <row r="799" spans="1:24" ht="13.9">
      <c r="A799" s="1">
        <v>798</v>
      </c>
      <c r="B799" s="23" t="e">
        <f ca="1">_xludf.BETA.INV(R799,'04_PSA_INPUTS'!H5,'04_PSA_INPUTS'!I5)</f>
        <v>#NAME?</v>
      </c>
      <c r="C799" s="23" t="e">
        <f ca="1">_xludf.BETA.INV(S799,'04_PSA_INPUTS'!H6,'04_PSA_INPUTS'!I6)</f>
        <v>#NAME?</v>
      </c>
      <c r="D799" s="27" t="e">
        <f ca="1">_xludf.GAMMA.INV(T799,'04_PSA_INPUTS'!H7,'04_PSA_INPUTS'!I7)</f>
        <v>#NAME?</v>
      </c>
      <c r="E799" s="27" t="e">
        <f ca="1">_xludf.GAMMA.INV(U799,'04_PSA_INPUTS'!H8,'04_PSA_INPUTS'!I8)</f>
        <v>#NAME?</v>
      </c>
      <c r="F799" s="27" t="e">
        <f ca="1">_xludf.GAMMA.INV(V799,'04_PSA_INPUTS'!H9,'04_PSA_INPUTS'!I9)</f>
        <v>#NAME?</v>
      </c>
      <c r="G799" s="23" t="e">
        <f ca="1">_xludf.BETA.INV(W799,'04_PSA_INPUTS'!H10,'04_PSA_INPUTS'!I10)</f>
        <v>#NAME?</v>
      </c>
      <c r="H799" s="23" t="e">
        <f ca="1">_xludf.BETA.INV(X799,'04_PSA_INPUTS'!H11,'04_PSA_INPUTS'!I11)</f>
        <v>#NAME?</v>
      </c>
      <c r="I799" s="27" t="e">
        <f ca="1">D799+B799*F799+'01_INPUTS'!B20</f>
        <v>#NAME?</v>
      </c>
      <c r="J799" s="27" t="e">
        <f ca="1">E799+C799*F799+'01_INPUTS'!B21</f>
        <v>#NAME?</v>
      </c>
      <c r="K799" s="27" t="e">
        <f t="shared" ca="1" si="72"/>
        <v>#NAME?</v>
      </c>
      <c r="L799" s="23" t="e">
        <f t="shared" ca="1" si="73"/>
        <v>#NAME?</v>
      </c>
      <c r="M799" s="23" t="e">
        <f t="shared" ca="1" si="74"/>
        <v>#NAME?</v>
      </c>
      <c r="N799" s="23" t="e">
        <f t="shared" ca="1" si="75"/>
        <v>#NAME?</v>
      </c>
      <c r="O799" s="27" t="e">
        <f t="shared" ca="1" si="76"/>
        <v>#NAME?</v>
      </c>
      <c r="P799" s="27" t="e">
        <f ca="1">'01_INPUTS'!B9*N799-K799</f>
        <v>#NAME?</v>
      </c>
      <c r="Q799" s="1" t="e">
        <f t="shared" ca="1" si="77"/>
        <v>#NAME?</v>
      </c>
      <c r="R799" s="28">
        <v>0.47553877392783761</v>
      </c>
      <c r="S799" s="28">
        <v>0.47639607847668231</v>
      </c>
      <c r="T799" s="28">
        <v>0.64234427572228014</v>
      </c>
      <c r="U799" s="28">
        <v>3.4901168430224061E-2</v>
      </c>
      <c r="V799" s="28">
        <v>0.88575016125105321</v>
      </c>
      <c r="W799" s="28">
        <v>8.6331817554309964E-2</v>
      </c>
      <c r="X799" s="28">
        <v>0.18549893074668944</v>
      </c>
    </row>
    <row r="800" spans="1:24" ht="13.9">
      <c r="A800" s="1">
        <v>799</v>
      </c>
      <c r="B800" s="23" t="e">
        <f ca="1">_xludf.BETA.INV(R800,'04_PSA_INPUTS'!H5,'04_PSA_INPUTS'!I5)</f>
        <v>#NAME?</v>
      </c>
      <c r="C800" s="23" t="e">
        <f ca="1">_xludf.BETA.INV(S800,'04_PSA_INPUTS'!H6,'04_PSA_INPUTS'!I6)</f>
        <v>#NAME?</v>
      </c>
      <c r="D800" s="27" t="e">
        <f ca="1">_xludf.GAMMA.INV(T800,'04_PSA_INPUTS'!H7,'04_PSA_INPUTS'!I7)</f>
        <v>#NAME?</v>
      </c>
      <c r="E800" s="27" t="e">
        <f ca="1">_xludf.GAMMA.INV(U800,'04_PSA_INPUTS'!H8,'04_PSA_INPUTS'!I8)</f>
        <v>#NAME?</v>
      </c>
      <c r="F800" s="27" t="e">
        <f ca="1">_xludf.GAMMA.INV(V800,'04_PSA_INPUTS'!H9,'04_PSA_INPUTS'!I9)</f>
        <v>#NAME?</v>
      </c>
      <c r="G800" s="23" t="e">
        <f ca="1">_xludf.BETA.INV(W800,'04_PSA_INPUTS'!H10,'04_PSA_INPUTS'!I10)</f>
        <v>#NAME?</v>
      </c>
      <c r="H800" s="23" t="e">
        <f ca="1">_xludf.BETA.INV(X800,'04_PSA_INPUTS'!H11,'04_PSA_INPUTS'!I11)</f>
        <v>#NAME?</v>
      </c>
      <c r="I800" s="27" t="e">
        <f ca="1">D800+B800*F800+'01_INPUTS'!B20</f>
        <v>#NAME?</v>
      </c>
      <c r="J800" s="27" t="e">
        <f ca="1">E800+C800*F800+'01_INPUTS'!B21</f>
        <v>#NAME?</v>
      </c>
      <c r="K800" s="27" t="e">
        <f t="shared" ca="1" si="72"/>
        <v>#NAME?</v>
      </c>
      <c r="L800" s="23" t="e">
        <f t="shared" ca="1" si="73"/>
        <v>#NAME?</v>
      </c>
      <c r="M800" s="23" t="e">
        <f t="shared" ca="1" si="74"/>
        <v>#NAME?</v>
      </c>
      <c r="N800" s="23" t="e">
        <f t="shared" ca="1" si="75"/>
        <v>#NAME?</v>
      </c>
      <c r="O800" s="27" t="e">
        <f t="shared" ca="1" si="76"/>
        <v>#NAME?</v>
      </c>
      <c r="P800" s="27" t="e">
        <f ca="1">'01_INPUTS'!B9*N800-K800</f>
        <v>#NAME?</v>
      </c>
      <c r="Q800" s="1" t="e">
        <f t="shared" ca="1" si="77"/>
        <v>#NAME?</v>
      </c>
      <c r="R800" s="28">
        <v>0.1780983074568212</v>
      </c>
      <c r="S800" s="28">
        <v>1.8010860774666071E-2</v>
      </c>
      <c r="T800" s="28">
        <v>0.94841002090834081</v>
      </c>
      <c r="U800" s="28">
        <v>0.77141538355499506</v>
      </c>
      <c r="V800" s="28">
        <v>0.99456922663375735</v>
      </c>
      <c r="W800" s="28">
        <v>0.12398438574746251</v>
      </c>
      <c r="X800" s="28">
        <v>0.89001466426998377</v>
      </c>
    </row>
    <row r="801" spans="1:24" ht="13.9">
      <c r="A801" s="1">
        <v>800</v>
      </c>
      <c r="B801" s="23" t="e">
        <f ca="1">_xludf.BETA.INV(R801,'04_PSA_INPUTS'!H5,'04_PSA_INPUTS'!I5)</f>
        <v>#NAME?</v>
      </c>
      <c r="C801" s="23" t="e">
        <f ca="1">_xludf.BETA.INV(S801,'04_PSA_INPUTS'!H6,'04_PSA_INPUTS'!I6)</f>
        <v>#NAME?</v>
      </c>
      <c r="D801" s="27" t="e">
        <f ca="1">_xludf.GAMMA.INV(T801,'04_PSA_INPUTS'!H7,'04_PSA_INPUTS'!I7)</f>
        <v>#NAME?</v>
      </c>
      <c r="E801" s="27" t="e">
        <f ca="1">_xludf.GAMMA.INV(U801,'04_PSA_INPUTS'!H8,'04_PSA_INPUTS'!I8)</f>
        <v>#NAME?</v>
      </c>
      <c r="F801" s="27" t="e">
        <f ca="1">_xludf.GAMMA.INV(V801,'04_PSA_INPUTS'!H9,'04_PSA_INPUTS'!I9)</f>
        <v>#NAME?</v>
      </c>
      <c r="G801" s="23" t="e">
        <f ca="1">_xludf.BETA.INV(W801,'04_PSA_INPUTS'!H10,'04_PSA_INPUTS'!I10)</f>
        <v>#NAME?</v>
      </c>
      <c r="H801" s="23" t="e">
        <f ca="1">_xludf.BETA.INV(X801,'04_PSA_INPUTS'!H11,'04_PSA_INPUTS'!I11)</f>
        <v>#NAME?</v>
      </c>
      <c r="I801" s="27" t="e">
        <f ca="1">D801+B801*F801+'01_INPUTS'!B20</f>
        <v>#NAME?</v>
      </c>
      <c r="J801" s="27" t="e">
        <f ca="1">E801+C801*F801+'01_INPUTS'!B21</f>
        <v>#NAME?</v>
      </c>
      <c r="K801" s="27" t="e">
        <f t="shared" ca="1" si="72"/>
        <v>#NAME?</v>
      </c>
      <c r="L801" s="23" t="e">
        <f t="shared" ca="1" si="73"/>
        <v>#NAME?</v>
      </c>
      <c r="M801" s="23" t="e">
        <f t="shared" ca="1" si="74"/>
        <v>#NAME?</v>
      </c>
      <c r="N801" s="23" t="e">
        <f t="shared" ca="1" si="75"/>
        <v>#NAME?</v>
      </c>
      <c r="O801" s="27" t="e">
        <f t="shared" ca="1" si="76"/>
        <v>#NAME?</v>
      </c>
      <c r="P801" s="27" t="e">
        <f ca="1">'01_INPUTS'!B9*N801-K801</f>
        <v>#NAME?</v>
      </c>
      <c r="Q801" s="1" t="e">
        <f t="shared" ca="1" si="77"/>
        <v>#NAME?</v>
      </c>
      <c r="R801" s="28">
        <v>0.62845329800620675</v>
      </c>
      <c r="S801" s="28">
        <v>0.11660639103502035</v>
      </c>
      <c r="T801" s="28">
        <v>0.77099012210965157</v>
      </c>
      <c r="U801" s="28">
        <v>0.12101810495369136</v>
      </c>
      <c r="V801" s="28">
        <v>0.55634700227528811</v>
      </c>
      <c r="W801" s="28">
        <v>0.64604981453157961</v>
      </c>
      <c r="X801" s="28">
        <v>0.24500182224437594</v>
      </c>
    </row>
    <row r="802" spans="1:24" ht="13.9">
      <c r="A802" s="1">
        <v>801</v>
      </c>
      <c r="B802" s="23" t="e">
        <f ca="1">_xludf.BETA.INV(R802,'04_PSA_INPUTS'!H5,'04_PSA_INPUTS'!I5)</f>
        <v>#NAME?</v>
      </c>
      <c r="C802" s="23" t="e">
        <f ca="1">_xludf.BETA.INV(S802,'04_PSA_INPUTS'!H6,'04_PSA_INPUTS'!I6)</f>
        <v>#NAME?</v>
      </c>
      <c r="D802" s="27" t="e">
        <f ca="1">_xludf.GAMMA.INV(T802,'04_PSA_INPUTS'!H7,'04_PSA_INPUTS'!I7)</f>
        <v>#NAME?</v>
      </c>
      <c r="E802" s="27" t="e">
        <f ca="1">_xludf.GAMMA.INV(U802,'04_PSA_INPUTS'!H8,'04_PSA_INPUTS'!I8)</f>
        <v>#NAME?</v>
      </c>
      <c r="F802" s="27" t="e">
        <f ca="1">_xludf.GAMMA.INV(V802,'04_PSA_INPUTS'!H9,'04_PSA_INPUTS'!I9)</f>
        <v>#NAME?</v>
      </c>
      <c r="G802" s="23" t="e">
        <f ca="1">_xludf.BETA.INV(W802,'04_PSA_INPUTS'!H10,'04_PSA_INPUTS'!I10)</f>
        <v>#NAME?</v>
      </c>
      <c r="H802" s="23" t="e">
        <f ca="1">_xludf.BETA.INV(X802,'04_PSA_INPUTS'!H11,'04_PSA_INPUTS'!I11)</f>
        <v>#NAME?</v>
      </c>
      <c r="I802" s="27" t="e">
        <f ca="1">D802+B802*F802+'01_INPUTS'!B20</f>
        <v>#NAME?</v>
      </c>
      <c r="J802" s="27" t="e">
        <f ca="1">E802+C802*F802+'01_INPUTS'!B21</f>
        <v>#NAME?</v>
      </c>
      <c r="K802" s="27" t="e">
        <f t="shared" ca="1" si="72"/>
        <v>#NAME?</v>
      </c>
      <c r="L802" s="23" t="e">
        <f t="shared" ca="1" si="73"/>
        <v>#NAME?</v>
      </c>
      <c r="M802" s="23" t="e">
        <f t="shared" ca="1" si="74"/>
        <v>#NAME?</v>
      </c>
      <c r="N802" s="23" t="e">
        <f t="shared" ca="1" si="75"/>
        <v>#NAME?</v>
      </c>
      <c r="O802" s="27" t="e">
        <f t="shared" ca="1" si="76"/>
        <v>#NAME?</v>
      </c>
      <c r="P802" s="27" t="e">
        <f ca="1">'01_INPUTS'!B9*N802-K802</f>
        <v>#NAME?</v>
      </c>
      <c r="Q802" s="1" t="e">
        <f t="shared" ca="1" si="77"/>
        <v>#NAME?</v>
      </c>
      <c r="R802" s="28">
        <v>0.52732187486253679</v>
      </c>
      <c r="S802" s="28">
        <v>0.88994344370439649</v>
      </c>
      <c r="T802" s="28">
        <v>0.30732324277050793</v>
      </c>
      <c r="U802" s="28">
        <v>0.94662722758948803</v>
      </c>
      <c r="V802" s="28">
        <v>0.4661782868206501</v>
      </c>
      <c r="W802" s="28">
        <v>0.7480091112665832</v>
      </c>
      <c r="X802" s="28">
        <v>0.34789510490372777</v>
      </c>
    </row>
    <row r="803" spans="1:24" ht="13.9">
      <c r="A803" s="1">
        <v>802</v>
      </c>
      <c r="B803" s="23" t="e">
        <f ca="1">_xludf.BETA.INV(R803,'04_PSA_INPUTS'!H5,'04_PSA_INPUTS'!I5)</f>
        <v>#NAME?</v>
      </c>
      <c r="C803" s="23" t="e">
        <f ca="1">_xludf.BETA.INV(S803,'04_PSA_INPUTS'!H6,'04_PSA_INPUTS'!I6)</f>
        <v>#NAME?</v>
      </c>
      <c r="D803" s="27" t="e">
        <f ca="1">_xludf.GAMMA.INV(T803,'04_PSA_INPUTS'!H7,'04_PSA_INPUTS'!I7)</f>
        <v>#NAME?</v>
      </c>
      <c r="E803" s="27" t="e">
        <f ca="1">_xludf.GAMMA.INV(U803,'04_PSA_INPUTS'!H8,'04_PSA_INPUTS'!I8)</f>
        <v>#NAME?</v>
      </c>
      <c r="F803" s="27" t="e">
        <f ca="1">_xludf.GAMMA.INV(V803,'04_PSA_INPUTS'!H9,'04_PSA_INPUTS'!I9)</f>
        <v>#NAME?</v>
      </c>
      <c r="G803" s="23" t="e">
        <f ca="1">_xludf.BETA.INV(W803,'04_PSA_INPUTS'!H10,'04_PSA_INPUTS'!I10)</f>
        <v>#NAME?</v>
      </c>
      <c r="H803" s="23" t="e">
        <f ca="1">_xludf.BETA.INV(X803,'04_PSA_INPUTS'!H11,'04_PSA_INPUTS'!I11)</f>
        <v>#NAME?</v>
      </c>
      <c r="I803" s="27" t="e">
        <f ca="1">D803+B803*F803+'01_INPUTS'!B20</f>
        <v>#NAME?</v>
      </c>
      <c r="J803" s="27" t="e">
        <f ca="1">E803+C803*F803+'01_INPUTS'!B21</f>
        <v>#NAME?</v>
      </c>
      <c r="K803" s="27" t="e">
        <f t="shared" ca="1" si="72"/>
        <v>#NAME?</v>
      </c>
      <c r="L803" s="23" t="e">
        <f t="shared" ca="1" si="73"/>
        <v>#NAME?</v>
      </c>
      <c r="M803" s="23" t="e">
        <f t="shared" ca="1" si="74"/>
        <v>#NAME?</v>
      </c>
      <c r="N803" s="23" t="e">
        <f t="shared" ca="1" si="75"/>
        <v>#NAME?</v>
      </c>
      <c r="O803" s="27" t="e">
        <f t="shared" ca="1" si="76"/>
        <v>#NAME?</v>
      </c>
      <c r="P803" s="27" t="e">
        <f ca="1">'01_INPUTS'!B9*N803-K803</f>
        <v>#NAME?</v>
      </c>
      <c r="Q803" s="1" t="e">
        <f t="shared" ca="1" si="77"/>
        <v>#NAME?</v>
      </c>
      <c r="R803" s="28">
        <v>0.68059439002536237</v>
      </c>
      <c r="S803" s="28">
        <v>0.49720780830830336</v>
      </c>
      <c r="T803" s="28">
        <v>0.237591243814677</v>
      </c>
      <c r="U803" s="28">
        <v>0.71906331484206021</v>
      </c>
      <c r="V803" s="28">
        <v>0.98077575862407684</v>
      </c>
      <c r="W803" s="28">
        <v>0.23508716630749404</v>
      </c>
      <c r="X803" s="28">
        <v>0.83972814911976457</v>
      </c>
    </row>
    <row r="804" spans="1:24" ht="13.9">
      <c r="A804" s="1">
        <v>803</v>
      </c>
      <c r="B804" s="23" t="e">
        <f ca="1">_xludf.BETA.INV(R804,'04_PSA_INPUTS'!H5,'04_PSA_INPUTS'!I5)</f>
        <v>#NAME?</v>
      </c>
      <c r="C804" s="23" t="e">
        <f ca="1">_xludf.BETA.INV(S804,'04_PSA_INPUTS'!H6,'04_PSA_INPUTS'!I6)</f>
        <v>#NAME?</v>
      </c>
      <c r="D804" s="27" t="e">
        <f ca="1">_xludf.GAMMA.INV(T804,'04_PSA_INPUTS'!H7,'04_PSA_INPUTS'!I7)</f>
        <v>#NAME?</v>
      </c>
      <c r="E804" s="27" t="e">
        <f ca="1">_xludf.GAMMA.INV(U804,'04_PSA_INPUTS'!H8,'04_PSA_INPUTS'!I8)</f>
        <v>#NAME?</v>
      </c>
      <c r="F804" s="27" t="e">
        <f ca="1">_xludf.GAMMA.INV(V804,'04_PSA_INPUTS'!H9,'04_PSA_INPUTS'!I9)</f>
        <v>#NAME?</v>
      </c>
      <c r="G804" s="23" t="e">
        <f ca="1">_xludf.BETA.INV(W804,'04_PSA_INPUTS'!H10,'04_PSA_INPUTS'!I10)</f>
        <v>#NAME?</v>
      </c>
      <c r="H804" s="23" t="e">
        <f ca="1">_xludf.BETA.INV(X804,'04_PSA_INPUTS'!H11,'04_PSA_INPUTS'!I11)</f>
        <v>#NAME?</v>
      </c>
      <c r="I804" s="27" t="e">
        <f ca="1">D804+B804*F804+'01_INPUTS'!B20</f>
        <v>#NAME?</v>
      </c>
      <c r="J804" s="27" t="e">
        <f ca="1">E804+C804*F804+'01_INPUTS'!B21</f>
        <v>#NAME?</v>
      </c>
      <c r="K804" s="27" t="e">
        <f t="shared" ca="1" si="72"/>
        <v>#NAME?</v>
      </c>
      <c r="L804" s="23" t="e">
        <f t="shared" ca="1" si="73"/>
        <v>#NAME?</v>
      </c>
      <c r="M804" s="23" t="e">
        <f t="shared" ca="1" si="74"/>
        <v>#NAME?</v>
      </c>
      <c r="N804" s="23" t="e">
        <f t="shared" ca="1" si="75"/>
        <v>#NAME?</v>
      </c>
      <c r="O804" s="27" t="e">
        <f t="shared" ca="1" si="76"/>
        <v>#NAME?</v>
      </c>
      <c r="P804" s="27" t="e">
        <f ca="1">'01_INPUTS'!B9*N804-K804</f>
        <v>#NAME?</v>
      </c>
      <c r="Q804" s="1" t="e">
        <f t="shared" ca="1" si="77"/>
        <v>#NAME?</v>
      </c>
      <c r="R804" s="28">
        <v>0.73159029753878713</v>
      </c>
      <c r="S804" s="28">
        <v>0.58084546169266105</v>
      </c>
      <c r="T804" s="28">
        <v>0.70684006623923779</v>
      </c>
      <c r="U804" s="28">
        <v>0.67674251878634095</v>
      </c>
      <c r="V804" s="28">
        <v>0.42831074516288936</v>
      </c>
      <c r="W804" s="28">
        <v>0.77228626236319542</v>
      </c>
      <c r="X804" s="28">
        <v>0.70031350175850093</v>
      </c>
    </row>
    <row r="805" spans="1:24" ht="13.9">
      <c r="A805" s="1">
        <v>804</v>
      </c>
      <c r="B805" s="23" t="e">
        <f ca="1">_xludf.BETA.INV(R805,'04_PSA_INPUTS'!H5,'04_PSA_INPUTS'!I5)</f>
        <v>#NAME?</v>
      </c>
      <c r="C805" s="23" t="e">
        <f ca="1">_xludf.BETA.INV(S805,'04_PSA_INPUTS'!H6,'04_PSA_INPUTS'!I6)</f>
        <v>#NAME?</v>
      </c>
      <c r="D805" s="27" t="e">
        <f ca="1">_xludf.GAMMA.INV(T805,'04_PSA_INPUTS'!H7,'04_PSA_INPUTS'!I7)</f>
        <v>#NAME?</v>
      </c>
      <c r="E805" s="27" t="e">
        <f ca="1">_xludf.GAMMA.INV(U805,'04_PSA_INPUTS'!H8,'04_PSA_INPUTS'!I8)</f>
        <v>#NAME?</v>
      </c>
      <c r="F805" s="27" t="e">
        <f ca="1">_xludf.GAMMA.INV(V805,'04_PSA_INPUTS'!H9,'04_PSA_INPUTS'!I9)</f>
        <v>#NAME?</v>
      </c>
      <c r="G805" s="23" t="e">
        <f ca="1">_xludf.BETA.INV(W805,'04_PSA_INPUTS'!H10,'04_PSA_INPUTS'!I10)</f>
        <v>#NAME?</v>
      </c>
      <c r="H805" s="23" t="e">
        <f ca="1">_xludf.BETA.INV(X805,'04_PSA_INPUTS'!H11,'04_PSA_INPUTS'!I11)</f>
        <v>#NAME?</v>
      </c>
      <c r="I805" s="27" t="e">
        <f ca="1">D805+B805*F805+'01_INPUTS'!B20</f>
        <v>#NAME?</v>
      </c>
      <c r="J805" s="27" t="e">
        <f ca="1">E805+C805*F805+'01_INPUTS'!B21</f>
        <v>#NAME?</v>
      </c>
      <c r="K805" s="27" t="e">
        <f t="shared" ca="1" si="72"/>
        <v>#NAME?</v>
      </c>
      <c r="L805" s="23" t="e">
        <f t="shared" ca="1" si="73"/>
        <v>#NAME?</v>
      </c>
      <c r="M805" s="23" t="e">
        <f t="shared" ca="1" si="74"/>
        <v>#NAME?</v>
      </c>
      <c r="N805" s="23" t="e">
        <f t="shared" ca="1" si="75"/>
        <v>#NAME?</v>
      </c>
      <c r="O805" s="27" t="e">
        <f t="shared" ca="1" si="76"/>
        <v>#NAME?</v>
      </c>
      <c r="P805" s="27" t="e">
        <f ca="1">'01_INPUTS'!B9*N805-K805</f>
        <v>#NAME?</v>
      </c>
      <c r="Q805" s="1" t="e">
        <f t="shared" ca="1" si="77"/>
        <v>#NAME?</v>
      </c>
      <c r="R805" s="28">
        <v>0.97901832917705178</v>
      </c>
      <c r="S805" s="28">
        <v>0.14067955664359033</v>
      </c>
      <c r="T805" s="28">
        <v>0.4069498514290899</v>
      </c>
      <c r="U805" s="28">
        <v>0.87484200205653906</v>
      </c>
      <c r="V805" s="28">
        <v>0.11429699952714145</v>
      </c>
      <c r="W805" s="28">
        <v>0.50943108601495624</v>
      </c>
      <c r="X805" s="28">
        <v>0.25000736606307328</v>
      </c>
    </row>
    <row r="806" spans="1:24" ht="13.9">
      <c r="A806" s="1">
        <v>805</v>
      </c>
      <c r="B806" s="23" t="e">
        <f ca="1">_xludf.BETA.INV(R806,'04_PSA_INPUTS'!H5,'04_PSA_INPUTS'!I5)</f>
        <v>#NAME?</v>
      </c>
      <c r="C806" s="23" t="e">
        <f ca="1">_xludf.BETA.INV(S806,'04_PSA_INPUTS'!H6,'04_PSA_INPUTS'!I6)</f>
        <v>#NAME?</v>
      </c>
      <c r="D806" s="27" t="e">
        <f ca="1">_xludf.GAMMA.INV(T806,'04_PSA_INPUTS'!H7,'04_PSA_INPUTS'!I7)</f>
        <v>#NAME?</v>
      </c>
      <c r="E806" s="27" t="e">
        <f ca="1">_xludf.GAMMA.INV(U806,'04_PSA_INPUTS'!H8,'04_PSA_INPUTS'!I8)</f>
        <v>#NAME?</v>
      </c>
      <c r="F806" s="27" t="e">
        <f ca="1">_xludf.GAMMA.INV(V806,'04_PSA_INPUTS'!H9,'04_PSA_INPUTS'!I9)</f>
        <v>#NAME?</v>
      </c>
      <c r="G806" s="23" t="e">
        <f ca="1">_xludf.BETA.INV(W806,'04_PSA_INPUTS'!H10,'04_PSA_INPUTS'!I10)</f>
        <v>#NAME?</v>
      </c>
      <c r="H806" s="23" t="e">
        <f ca="1">_xludf.BETA.INV(X806,'04_PSA_INPUTS'!H11,'04_PSA_INPUTS'!I11)</f>
        <v>#NAME?</v>
      </c>
      <c r="I806" s="27" t="e">
        <f ca="1">D806+B806*F806+'01_INPUTS'!B20</f>
        <v>#NAME?</v>
      </c>
      <c r="J806" s="27" t="e">
        <f ca="1">E806+C806*F806+'01_INPUTS'!B21</f>
        <v>#NAME?</v>
      </c>
      <c r="K806" s="27" t="e">
        <f t="shared" ca="1" si="72"/>
        <v>#NAME?</v>
      </c>
      <c r="L806" s="23" t="e">
        <f t="shared" ca="1" si="73"/>
        <v>#NAME?</v>
      </c>
      <c r="M806" s="23" t="e">
        <f t="shared" ca="1" si="74"/>
        <v>#NAME?</v>
      </c>
      <c r="N806" s="23" t="e">
        <f t="shared" ca="1" si="75"/>
        <v>#NAME?</v>
      </c>
      <c r="O806" s="27" t="e">
        <f t="shared" ca="1" si="76"/>
        <v>#NAME?</v>
      </c>
      <c r="P806" s="27" t="e">
        <f ca="1">'01_INPUTS'!B9*N806-K806</f>
        <v>#NAME?</v>
      </c>
      <c r="Q806" s="1" t="e">
        <f t="shared" ca="1" si="77"/>
        <v>#NAME?</v>
      </c>
      <c r="R806" s="28">
        <v>0.73230941221117973</v>
      </c>
      <c r="S806" s="28">
        <v>0.75177069986239076</v>
      </c>
      <c r="T806" s="28">
        <v>0.87325138808228076</v>
      </c>
      <c r="U806" s="28">
        <v>0.88364684162661433</v>
      </c>
      <c r="V806" s="28">
        <v>0.13291536830365658</v>
      </c>
      <c r="W806" s="28">
        <v>0.30921643646433949</v>
      </c>
      <c r="X806" s="28">
        <v>0.79205282079055905</v>
      </c>
    </row>
    <row r="807" spans="1:24" ht="13.9">
      <c r="A807" s="1">
        <v>806</v>
      </c>
      <c r="B807" s="23" t="e">
        <f ca="1">_xludf.BETA.INV(R807,'04_PSA_INPUTS'!H5,'04_PSA_INPUTS'!I5)</f>
        <v>#NAME?</v>
      </c>
      <c r="C807" s="23" t="e">
        <f ca="1">_xludf.BETA.INV(S807,'04_PSA_INPUTS'!H6,'04_PSA_INPUTS'!I6)</f>
        <v>#NAME?</v>
      </c>
      <c r="D807" s="27" t="e">
        <f ca="1">_xludf.GAMMA.INV(T807,'04_PSA_INPUTS'!H7,'04_PSA_INPUTS'!I7)</f>
        <v>#NAME?</v>
      </c>
      <c r="E807" s="27" t="e">
        <f ca="1">_xludf.GAMMA.INV(U807,'04_PSA_INPUTS'!H8,'04_PSA_INPUTS'!I8)</f>
        <v>#NAME?</v>
      </c>
      <c r="F807" s="27" t="e">
        <f ca="1">_xludf.GAMMA.INV(V807,'04_PSA_INPUTS'!H9,'04_PSA_INPUTS'!I9)</f>
        <v>#NAME?</v>
      </c>
      <c r="G807" s="23" t="e">
        <f ca="1">_xludf.BETA.INV(W807,'04_PSA_INPUTS'!H10,'04_PSA_INPUTS'!I10)</f>
        <v>#NAME?</v>
      </c>
      <c r="H807" s="23" t="e">
        <f ca="1">_xludf.BETA.INV(X807,'04_PSA_INPUTS'!H11,'04_PSA_INPUTS'!I11)</f>
        <v>#NAME?</v>
      </c>
      <c r="I807" s="27" t="e">
        <f ca="1">D807+B807*F807+'01_INPUTS'!B20</f>
        <v>#NAME?</v>
      </c>
      <c r="J807" s="27" t="e">
        <f ca="1">E807+C807*F807+'01_INPUTS'!B21</f>
        <v>#NAME?</v>
      </c>
      <c r="K807" s="27" t="e">
        <f t="shared" ca="1" si="72"/>
        <v>#NAME?</v>
      </c>
      <c r="L807" s="23" t="e">
        <f t="shared" ca="1" si="73"/>
        <v>#NAME?</v>
      </c>
      <c r="M807" s="23" t="e">
        <f t="shared" ca="1" si="74"/>
        <v>#NAME?</v>
      </c>
      <c r="N807" s="23" t="e">
        <f t="shared" ca="1" si="75"/>
        <v>#NAME?</v>
      </c>
      <c r="O807" s="27" t="e">
        <f t="shared" ca="1" si="76"/>
        <v>#NAME?</v>
      </c>
      <c r="P807" s="27" t="e">
        <f ca="1">'01_INPUTS'!B9*N807-K807</f>
        <v>#NAME?</v>
      </c>
      <c r="Q807" s="1" t="e">
        <f t="shared" ca="1" si="77"/>
        <v>#NAME?</v>
      </c>
      <c r="R807" s="28">
        <v>0.86357970675453544</v>
      </c>
      <c r="S807" s="28">
        <v>0.68769231997430325</v>
      </c>
      <c r="T807" s="28">
        <v>0.37111554644070566</v>
      </c>
      <c r="U807" s="28">
        <v>0.21831136895343661</v>
      </c>
      <c r="V807" s="28">
        <v>0.97449039784260094</v>
      </c>
      <c r="W807" s="28">
        <v>0.71425754623487592</v>
      </c>
      <c r="X807" s="28">
        <v>0.78503265557810664</v>
      </c>
    </row>
    <row r="808" spans="1:24" ht="13.9">
      <c r="A808" s="1">
        <v>807</v>
      </c>
      <c r="B808" s="23" t="e">
        <f ca="1">_xludf.BETA.INV(R808,'04_PSA_INPUTS'!H5,'04_PSA_INPUTS'!I5)</f>
        <v>#NAME?</v>
      </c>
      <c r="C808" s="23" t="e">
        <f ca="1">_xludf.BETA.INV(S808,'04_PSA_INPUTS'!H6,'04_PSA_INPUTS'!I6)</f>
        <v>#NAME?</v>
      </c>
      <c r="D808" s="27" t="e">
        <f ca="1">_xludf.GAMMA.INV(T808,'04_PSA_INPUTS'!H7,'04_PSA_INPUTS'!I7)</f>
        <v>#NAME?</v>
      </c>
      <c r="E808" s="27" t="e">
        <f ca="1">_xludf.GAMMA.INV(U808,'04_PSA_INPUTS'!H8,'04_PSA_INPUTS'!I8)</f>
        <v>#NAME?</v>
      </c>
      <c r="F808" s="27" t="e">
        <f ca="1">_xludf.GAMMA.INV(V808,'04_PSA_INPUTS'!H9,'04_PSA_INPUTS'!I9)</f>
        <v>#NAME?</v>
      </c>
      <c r="G808" s="23" t="e">
        <f ca="1">_xludf.BETA.INV(W808,'04_PSA_INPUTS'!H10,'04_PSA_INPUTS'!I10)</f>
        <v>#NAME?</v>
      </c>
      <c r="H808" s="23" t="e">
        <f ca="1">_xludf.BETA.INV(X808,'04_PSA_INPUTS'!H11,'04_PSA_INPUTS'!I11)</f>
        <v>#NAME?</v>
      </c>
      <c r="I808" s="27" t="e">
        <f ca="1">D808+B808*F808+'01_INPUTS'!B20</f>
        <v>#NAME?</v>
      </c>
      <c r="J808" s="27" t="e">
        <f ca="1">E808+C808*F808+'01_INPUTS'!B21</f>
        <v>#NAME?</v>
      </c>
      <c r="K808" s="27" t="e">
        <f t="shared" ca="1" si="72"/>
        <v>#NAME?</v>
      </c>
      <c r="L808" s="23" t="e">
        <f t="shared" ca="1" si="73"/>
        <v>#NAME?</v>
      </c>
      <c r="M808" s="23" t="e">
        <f t="shared" ca="1" si="74"/>
        <v>#NAME?</v>
      </c>
      <c r="N808" s="23" t="e">
        <f t="shared" ca="1" si="75"/>
        <v>#NAME?</v>
      </c>
      <c r="O808" s="27" t="e">
        <f t="shared" ca="1" si="76"/>
        <v>#NAME?</v>
      </c>
      <c r="P808" s="27" t="e">
        <f ca="1">'01_INPUTS'!B9*N808-K808</f>
        <v>#NAME?</v>
      </c>
      <c r="Q808" s="1" t="e">
        <f t="shared" ca="1" si="77"/>
        <v>#NAME?</v>
      </c>
      <c r="R808" s="28">
        <v>0.90548886056058109</v>
      </c>
      <c r="S808" s="28">
        <v>9.2070004204288125E-2</v>
      </c>
      <c r="T808" s="28">
        <v>3.1998718390241265E-2</v>
      </c>
      <c r="U808" s="28">
        <v>0.68979488266631961</v>
      </c>
      <c r="V808" s="28">
        <v>0.88404881209135056</v>
      </c>
      <c r="W808" s="28">
        <v>0.82976946351118386</v>
      </c>
      <c r="X808" s="28">
        <v>0.69883555639535189</v>
      </c>
    </row>
    <row r="809" spans="1:24" ht="13.9">
      <c r="A809" s="1">
        <v>808</v>
      </c>
      <c r="B809" s="23" t="e">
        <f ca="1">_xludf.BETA.INV(R809,'04_PSA_INPUTS'!H5,'04_PSA_INPUTS'!I5)</f>
        <v>#NAME?</v>
      </c>
      <c r="C809" s="23" t="e">
        <f ca="1">_xludf.BETA.INV(S809,'04_PSA_INPUTS'!H6,'04_PSA_INPUTS'!I6)</f>
        <v>#NAME?</v>
      </c>
      <c r="D809" s="27" t="e">
        <f ca="1">_xludf.GAMMA.INV(T809,'04_PSA_INPUTS'!H7,'04_PSA_INPUTS'!I7)</f>
        <v>#NAME?</v>
      </c>
      <c r="E809" s="27" t="e">
        <f ca="1">_xludf.GAMMA.INV(U809,'04_PSA_INPUTS'!H8,'04_PSA_INPUTS'!I8)</f>
        <v>#NAME?</v>
      </c>
      <c r="F809" s="27" t="e">
        <f ca="1">_xludf.GAMMA.INV(V809,'04_PSA_INPUTS'!H9,'04_PSA_INPUTS'!I9)</f>
        <v>#NAME?</v>
      </c>
      <c r="G809" s="23" t="e">
        <f ca="1">_xludf.BETA.INV(W809,'04_PSA_INPUTS'!H10,'04_PSA_INPUTS'!I10)</f>
        <v>#NAME?</v>
      </c>
      <c r="H809" s="23" t="e">
        <f ca="1">_xludf.BETA.INV(X809,'04_PSA_INPUTS'!H11,'04_PSA_INPUTS'!I11)</f>
        <v>#NAME?</v>
      </c>
      <c r="I809" s="27" t="e">
        <f ca="1">D809+B809*F809+'01_INPUTS'!B20</f>
        <v>#NAME?</v>
      </c>
      <c r="J809" s="27" t="e">
        <f ca="1">E809+C809*F809+'01_INPUTS'!B21</f>
        <v>#NAME?</v>
      </c>
      <c r="K809" s="27" t="e">
        <f t="shared" ca="1" si="72"/>
        <v>#NAME?</v>
      </c>
      <c r="L809" s="23" t="e">
        <f t="shared" ca="1" si="73"/>
        <v>#NAME?</v>
      </c>
      <c r="M809" s="23" t="e">
        <f t="shared" ca="1" si="74"/>
        <v>#NAME?</v>
      </c>
      <c r="N809" s="23" t="e">
        <f t="shared" ca="1" si="75"/>
        <v>#NAME?</v>
      </c>
      <c r="O809" s="27" t="e">
        <f t="shared" ca="1" si="76"/>
        <v>#NAME?</v>
      </c>
      <c r="P809" s="27" t="e">
        <f ca="1">'01_INPUTS'!B9*N809-K809</f>
        <v>#NAME?</v>
      </c>
      <c r="Q809" s="1" t="e">
        <f t="shared" ca="1" si="77"/>
        <v>#NAME?</v>
      </c>
      <c r="R809" s="28">
        <v>0.16987263038754463</v>
      </c>
      <c r="S809" s="28">
        <v>0.4405611960683018</v>
      </c>
      <c r="T809" s="28">
        <v>0.9626669567078352</v>
      </c>
      <c r="U809" s="28">
        <v>8.1402648473158479E-2</v>
      </c>
      <c r="V809" s="28">
        <v>7.013097801245749E-2</v>
      </c>
      <c r="W809" s="28">
        <v>0.33956389967352152</v>
      </c>
      <c r="X809" s="28">
        <v>0.75201441464014351</v>
      </c>
    </row>
    <row r="810" spans="1:24" ht="13.9">
      <c r="A810" s="1">
        <v>809</v>
      </c>
      <c r="B810" s="23" t="e">
        <f ca="1">_xludf.BETA.INV(R810,'04_PSA_INPUTS'!H5,'04_PSA_INPUTS'!I5)</f>
        <v>#NAME?</v>
      </c>
      <c r="C810" s="23" t="e">
        <f ca="1">_xludf.BETA.INV(S810,'04_PSA_INPUTS'!H6,'04_PSA_INPUTS'!I6)</f>
        <v>#NAME?</v>
      </c>
      <c r="D810" s="27" t="e">
        <f ca="1">_xludf.GAMMA.INV(T810,'04_PSA_INPUTS'!H7,'04_PSA_INPUTS'!I7)</f>
        <v>#NAME?</v>
      </c>
      <c r="E810" s="27" t="e">
        <f ca="1">_xludf.GAMMA.INV(U810,'04_PSA_INPUTS'!H8,'04_PSA_INPUTS'!I8)</f>
        <v>#NAME?</v>
      </c>
      <c r="F810" s="27" t="e">
        <f ca="1">_xludf.GAMMA.INV(V810,'04_PSA_INPUTS'!H9,'04_PSA_INPUTS'!I9)</f>
        <v>#NAME?</v>
      </c>
      <c r="G810" s="23" t="e">
        <f ca="1">_xludf.BETA.INV(W810,'04_PSA_INPUTS'!H10,'04_PSA_INPUTS'!I10)</f>
        <v>#NAME?</v>
      </c>
      <c r="H810" s="23" t="e">
        <f ca="1">_xludf.BETA.INV(X810,'04_PSA_INPUTS'!H11,'04_PSA_INPUTS'!I11)</f>
        <v>#NAME?</v>
      </c>
      <c r="I810" s="27" t="e">
        <f ca="1">D810+B810*F810+'01_INPUTS'!B20</f>
        <v>#NAME?</v>
      </c>
      <c r="J810" s="27" t="e">
        <f ca="1">E810+C810*F810+'01_INPUTS'!B21</f>
        <v>#NAME?</v>
      </c>
      <c r="K810" s="27" t="e">
        <f t="shared" ca="1" si="72"/>
        <v>#NAME?</v>
      </c>
      <c r="L810" s="23" t="e">
        <f t="shared" ca="1" si="73"/>
        <v>#NAME?</v>
      </c>
      <c r="M810" s="23" t="e">
        <f t="shared" ca="1" si="74"/>
        <v>#NAME?</v>
      </c>
      <c r="N810" s="23" t="e">
        <f t="shared" ca="1" si="75"/>
        <v>#NAME?</v>
      </c>
      <c r="O810" s="27" t="e">
        <f t="shared" ca="1" si="76"/>
        <v>#NAME?</v>
      </c>
      <c r="P810" s="27" t="e">
        <f ca="1">'01_INPUTS'!B9*N810-K810</f>
        <v>#NAME?</v>
      </c>
      <c r="Q810" s="1" t="e">
        <f t="shared" ca="1" si="77"/>
        <v>#NAME?</v>
      </c>
      <c r="R810" s="28">
        <v>0.89619711763225496</v>
      </c>
      <c r="S810" s="28">
        <v>0.72204997669905424</v>
      </c>
      <c r="T810" s="28">
        <v>0.45499261212535203</v>
      </c>
      <c r="U810" s="28">
        <v>0.95472069177776575</v>
      </c>
      <c r="V810" s="28">
        <v>0.55210947687737644</v>
      </c>
      <c r="W810" s="28">
        <v>0.23452772572636604</v>
      </c>
      <c r="X810" s="28">
        <v>0.93889511190354824</v>
      </c>
    </row>
    <row r="811" spans="1:24" ht="13.9">
      <c r="A811" s="1">
        <v>810</v>
      </c>
      <c r="B811" s="23" t="e">
        <f ca="1">_xludf.BETA.INV(R811,'04_PSA_INPUTS'!H5,'04_PSA_INPUTS'!I5)</f>
        <v>#NAME?</v>
      </c>
      <c r="C811" s="23" t="e">
        <f ca="1">_xludf.BETA.INV(S811,'04_PSA_INPUTS'!H6,'04_PSA_INPUTS'!I6)</f>
        <v>#NAME?</v>
      </c>
      <c r="D811" s="27" t="e">
        <f ca="1">_xludf.GAMMA.INV(T811,'04_PSA_INPUTS'!H7,'04_PSA_INPUTS'!I7)</f>
        <v>#NAME?</v>
      </c>
      <c r="E811" s="27" t="e">
        <f ca="1">_xludf.GAMMA.INV(U811,'04_PSA_INPUTS'!H8,'04_PSA_INPUTS'!I8)</f>
        <v>#NAME?</v>
      </c>
      <c r="F811" s="27" t="e">
        <f ca="1">_xludf.GAMMA.INV(V811,'04_PSA_INPUTS'!H9,'04_PSA_INPUTS'!I9)</f>
        <v>#NAME?</v>
      </c>
      <c r="G811" s="23" t="e">
        <f ca="1">_xludf.BETA.INV(W811,'04_PSA_INPUTS'!H10,'04_PSA_INPUTS'!I10)</f>
        <v>#NAME?</v>
      </c>
      <c r="H811" s="23" t="e">
        <f ca="1">_xludf.BETA.INV(X811,'04_PSA_INPUTS'!H11,'04_PSA_INPUTS'!I11)</f>
        <v>#NAME?</v>
      </c>
      <c r="I811" s="27" t="e">
        <f ca="1">D811+B811*F811+'01_INPUTS'!B20</f>
        <v>#NAME?</v>
      </c>
      <c r="J811" s="27" t="e">
        <f ca="1">E811+C811*F811+'01_INPUTS'!B21</f>
        <v>#NAME?</v>
      </c>
      <c r="K811" s="27" t="e">
        <f t="shared" ca="1" si="72"/>
        <v>#NAME?</v>
      </c>
      <c r="L811" s="23" t="e">
        <f t="shared" ca="1" si="73"/>
        <v>#NAME?</v>
      </c>
      <c r="M811" s="23" t="e">
        <f t="shared" ca="1" si="74"/>
        <v>#NAME?</v>
      </c>
      <c r="N811" s="23" t="e">
        <f t="shared" ca="1" si="75"/>
        <v>#NAME?</v>
      </c>
      <c r="O811" s="27" t="e">
        <f t="shared" ca="1" si="76"/>
        <v>#NAME?</v>
      </c>
      <c r="P811" s="27" t="e">
        <f ca="1">'01_INPUTS'!B9*N811-K811</f>
        <v>#NAME?</v>
      </c>
      <c r="Q811" s="1" t="e">
        <f t="shared" ca="1" si="77"/>
        <v>#NAME?</v>
      </c>
      <c r="R811" s="28">
        <v>4.0418932912871242E-2</v>
      </c>
      <c r="S811" s="28">
        <v>0.51298949285410345</v>
      </c>
      <c r="T811" s="28">
        <v>2.1031142212450504E-2</v>
      </c>
      <c r="U811" s="28">
        <v>0.13508066115900874</v>
      </c>
      <c r="V811" s="28">
        <v>0.72489634226076305</v>
      </c>
      <c r="W811" s="28">
        <v>0.38647593487985432</v>
      </c>
      <c r="X811" s="28">
        <v>0.104377799667418</v>
      </c>
    </row>
    <row r="812" spans="1:24" ht="13.9">
      <c r="A812" s="1">
        <v>811</v>
      </c>
      <c r="B812" s="23" t="e">
        <f ca="1">_xludf.BETA.INV(R812,'04_PSA_INPUTS'!H5,'04_PSA_INPUTS'!I5)</f>
        <v>#NAME?</v>
      </c>
      <c r="C812" s="23" t="e">
        <f ca="1">_xludf.BETA.INV(S812,'04_PSA_INPUTS'!H6,'04_PSA_INPUTS'!I6)</f>
        <v>#NAME?</v>
      </c>
      <c r="D812" s="27" t="e">
        <f ca="1">_xludf.GAMMA.INV(T812,'04_PSA_INPUTS'!H7,'04_PSA_INPUTS'!I7)</f>
        <v>#NAME?</v>
      </c>
      <c r="E812" s="27" t="e">
        <f ca="1">_xludf.GAMMA.INV(U812,'04_PSA_INPUTS'!H8,'04_PSA_INPUTS'!I8)</f>
        <v>#NAME?</v>
      </c>
      <c r="F812" s="27" t="e">
        <f ca="1">_xludf.GAMMA.INV(V812,'04_PSA_INPUTS'!H9,'04_PSA_INPUTS'!I9)</f>
        <v>#NAME?</v>
      </c>
      <c r="G812" s="23" t="e">
        <f ca="1">_xludf.BETA.INV(W812,'04_PSA_INPUTS'!H10,'04_PSA_INPUTS'!I10)</f>
        <v>#NAME?</v>
      </c>
      <c r="H812" s="23" t="e">
        <f ca="1">_xludf.BETA.INV(X812,'04_PSA_INPUTS'!H11,'04_PSA_INPUTS'!I11)</f>
        <v>#NAME?</v>
      </c>
      <c r="I812" s="27" t="e">
        <f ca="1">D812+B812*F812+'01_INPUTS'!B20</f>
        <v>#NAME?</v>
      </c>
      <c r="J812" s="27" t="e">
        <f ca="1">E812+C812*F812+'01_INPUTS'!B21</f>
        <v>#NAME?</v>
      </c>
      <c r="K812" s="27" t="e">
        <f t="shared" ca="1" si="72"/>
        <v>#NAME?</v>
      </c>
      <c r="L812" s="23" t="e">
        <f t="shared" ca="1" si="73"/>
        <v>#NAME?</v>
      </c>
      <c r="M812" s="23" t="e">
        <f t="shared" ca="1" si="74"/>
        <v>#NAME?</v>
      </c>
      <c r="N812" s="23" t="e">
        <f t="shared" ca="1" si="75"/>
        <v>#NAME?</v>
      </c>
      <c r="O812" s="27" t="e">
        <f t="shared" ca="1" si="76"/>
        <v>#NAME?</v>
      </c>
      <c r="P812" s="27" t="e">
        <f ca="1">'01_INPUTS'!B9*N812-K812</f>
        <v>#NAME?</v>
      </c>
      <c r="Q812" s="1" t="e">
        <f t="shared" ca="1" si="77"/>
        <v>#NAME?</v>
      </c>
      <c r="R812" s="28">
        <v>0.42411594628356397</v>
      </c>
      <c r="S812" s="28">
        <v>0.97275689477100968</v>
      </c>
      <c r="T812" s="28">
        <v>0.65273664332926273</v>
      </c>
      <c r="U812" s="28">
        <v>0.85678148665465415</v>
      </c>
      <c r="V812" s="28">
        <v>0.90998081956058741</v>
      </c>
      <c r="W812" s="28">
        <v>0.84223889443092048</v>
      </c>
      <c r="X812" s="28">
        <v>8.3315051626414061E-2</v>
      </c>
    </row>
    <row r="813" spans="1:24" ht="13.9">
      <c r="A813" s="1">
        <v>812</v>
      </c>
      <c r="B813" s="23" t="e">
        <f ca="1">_xludf.BETA.INV(R813,'04_PSA_INPUTS'!H5,'04_PSA_INPUTS'!I5)</f>
        <v>#NAME?</v>
      </c>
      <c r="C813" s="23" t="e">
        <f ca="1">_xludf.BETA.INV(S813,'04_PSA_INPUTS'!H6,'04_PSA_INPUTS'!I6)</f>
        <v>#NAME?</v>
      </c>
      <c r="D813" s="27" t="e">
        <f ca="1">_xludf.GAMMA.INV(T813,'04_PSA_INPUTS'!H7,'04_PSA_INPUTS'!I7)</f>
        <v>#NAME?</v>
      </c>
      <c r="E813" s="27" t="e">
        <f ca="1">_xludf.GAMMA.INV(U813,'04_PSA_INPUTS'!H8,'04_PSA_INPUTS'!I8)</f>
        <v>#NAME?</v>
      </c>
      <c r="F813" s="27" t="e">
        <f ca="1">_xludf.GAMMA.INV(V813,'04_PSA_INPUTS'!H9,'04_PSA_INPUTS'!I9)</f>
        <v>#NAME?</v>
      </c>
      <c r="G813" s="23" t="e">
        <f ca="1">_xludf.BETA.INV(W813,'04_PSA_INPUTS'!H10,'04_PSA_INPUTS'!I10)</f>
        <v>#NAME?</v>
      </c>
      <c r="H813" s="23" t="e">
        <f ca="1">_xludf.BETA.INV(X813,'04_PSA_INPUTS'!H11,'04_PSA_INPUTS'!I11)</f>
        <v>#NAME?</v>
      </c>
      <c r="I813" s="27" t="e">
        <f ca="1">D813+B813*F813+'01_INPUTS'!B20</f>
        <v>#NAME?</v>
      </c>
      <c r="J813" s="27" t="e">
        <f ca="1">E813+C813*F813+'01_INPUTS'!B21</f>
        <v>#NAME?</v>
      </c>
      <c r="K813" s="27" t="e">
        <f t="shared" ca="1" si="72"/>
        <v>#NAME?</v>
      </c>
      <c r="L813" s="23" t="e">
        <f t="shared" ca="1" si="73"/>
        <v>#NAME?</v>
      </c>
      <c r="M813" s="23" t="e">
        <f t="shared" ca="1" si="74"/>
        <v>#NAME?</v>
      </c>
      <c r="N813" s="23" t="e">
        <f t="shared" ca="1" si="75"/>
        <v>#NAME?</v>
      </c>
      <c r="O813" s="27" t="e">
        <f t="shared" ca="1" si="76"/>
        <v>#NAME?</v>
      </c>
      <c r="P813" s="27" t="e">
        <f ca="1">'01_INPUTS'!B9*N813-K813</f>
        <v>#NAME?</v>
      </c>
      <c r="Q813" s="1" t="e">
        <f t="shared" ca="1" si="77"/>
        <v>#NAME?</v>
      </c>
      <c r="R813" s="28">
        <v>0.59422701713629067</v>
      </c>
      <c r="S813" s="28">
        <v>0.68417630204930902</v>
      </c>
      <c r="T813" s="28">
        <v>0.92042215308174491</v>
      </c>
      <c r="U813" s="28">
        <v>0.3951787599362433</v>
      </c>
      <c r="V813" s="28">
        <v>0.56941209058277309</v>
      </c>
      <c r="W813" s="28">
        <v>0.47503674868494272</v>
      </c>
      <c r="X813" s="28">
        <v>0.7265703750308603</v>
      </c>
    </row>
    <row r="814" spans="1:24" ht="13.9">
      <c r="A814" s="1">
        <v>813</v>
      </c>
      <c r="B814" s="23" t="e">
        <f ca="1">_xludf.BETA.INV(R814,'04_PSA_INPUTS'!H5,'04_PSA_INPUTS'!I5)</f>
        <v>#NAME?</v>
      </c>
      <c r="C814" s="23" t="e">
        <f ca="1">_xludf.BETA.INV(S814,'04_PSA_INPUTS'!H6,'04_PSA_INPUTS'!I6)</f>
        <v>#NAME?</v>
      </c>
      <c r="D814" s="27" t="e">
        <f ca="1">_xludf.GAMMA.INV(T814,'04_PSA_INPUTS'!H7,'04_PSA_INPUTS'!I7)</f>
        <v>#NAME?</v>
      </c>
      <c r="E814" s="27" t="e">
        <f ca="1">_xludf.GAMMA.INV(U814,'04_PSA_INPUTS'!H8,'04_PSA_INPUTS'!I8)</f>
        <v>#NAME?</v>
      </c>
      <c r="F814" s="27" t="e">
        <f ca="1">_xludf.GAMMA.INV(V814,'04_PSA_INPUTS'!H9,'04_PSA_INPUTS'!I9)</f>
        <v>#NAME?</v>
      </c>
      <c r="G814" s="23" t="e">
        <f ca="1">_xludf.BETA.INV(W814,'04_PSA_INPUTS'!H10,'04_PSA_INPUTS'!I10)</f>
        <v>#NAME?</v>
      </c>
      <c r="H814" s="23" t="e">
        <f ca="1">_xludf.BETA.INV(X814,'04_PSA_INPUTS'!H11,'04_PSA_INPUTS'!I11)</f>
        <v>#NAME?</v>
      </c>
      <c r="I814" s="27" t="e">
        <f ca="1">D814+B814*F814+'01_INPUTS'!B20</f>
        <v>#NAME?</v>
      </c>
      <c r="J814" s="27" t="e">
        <f ca="1">E814+C814*F814+'01_INPUTS'!B21</f>
        <v>#NAME?</v>
      </c>
      <c r="K814" s="27" t="e">
        <f t="shared" ca="1" si="72"/>
        <v>#NAME?</v>
      </c>
      <c r="L814" s="23" t="e">
        <f t="shared" ca="1" si="73"/>
        <v>#NAME?</v>
      </c>
      <c r="M814" s="23" t="e">
        <f t="shared" ca="1" si="74"/>
        <v>#NAME?</v>
      </c>
      <c r="N814" s="23" t="e">
        <f t="shared" ca="1" si="75"/>
        <v>#NAME?</v>
      </c>
      <c r="O814" s="27" t="e">
        <f t="shared" ca="1" si="76"/>
        <v>#NAME?</v>
      </c>
      <c r="P814" s="27" t="e">
        <f ca="1">'01_INPUTS'!B9*N814-K814</f>
        <v>#NAME?</v>
      </c>
      <c r="Q814" s="1" t="e">
        <f t="shared" ca="1" si="77"/>
        <v>#NAME?</v>
      </c>
      <c r="R814" s="28">
        <v>0.45724410749971867</v>
      </c>
      <c r="S814" s="28">
        <v>0.67434358969330788</v>
      </c>
      <c r="T814" s="28">
        <v>0.54606455564498901</v>
      </c>
      <c r="U814" s="28">
        <v>0.84215695550665259</v>
      </c>
      <c r="V814" s="28">
        <v>7.1628181496635079E-2</v>
      </c>
      <c r="W814" s="28">
        <v>0.24740643869154155</v>
      </c>
      <c r="X814" s="28">
        <v>2.7181324549019337E-2</v>
      </c>
    </row>
    <row r="815" spans="1:24" ht="13.9">
      <c r="A815" s="1">
        <v>814</v>
      </c>
      <c r="B815" s="23" t="e">
        <f ca="1">_xludf.BETA.INV(R815,'04_PSA_INPUTS'!H5,'04_PSA_INPUTS'!I5)</f>
        <v>#NAME?</v>
      </c>
      <c r="C815" s="23" t="e">
        <f ca="1">_xludf.BETA.INV(S815,'04_PSA_INPUTS'!H6,'04_PSA_INPUTS'!I6)</f>
        <v>#NAME?</v>
      </c>
      <c r="D815" s="27" t="e">
        <f ca="1">_xludf.GAMMA.INV(T815,'04_PSA_INPUTS'!H7,'04_PSA_INPUTS'!I7)</f>
        <v>#NAME?</v>
      </c>
      <c r="E815" s="27" t="e">
        <f ca="1">_xludf.GAMMA.INV(U815,'04_PSA_INPUTS'!H8,'04_PSA_INPUTS'!I8)</f>
        <v>#NAME?</v>
      </c>
      <c r="F815" s="27" t="e">
        <f ca="1">_xludf.GAMMA.INV(V815,'04_PSA_INPUTS'!H9,'04_PSA_INPUTS'!I9)</f>
        <v>#NAME?</v>
      </c>
      <c r="G815" s="23" t="e">
        <f ca="1">_xludf.BETA.INV(W815,'04_PSA_INPUTS'!H10,'04_PSA_INPUTS'!I10)</f>
        <v>#NAME?</v>
      </c>
      <c r="H815" s="23" t="e">
        <f ca="1">_xludf.BETA.INV(X815,'04_PSA_INPUTS'!H11,'04_PSA_INPUTS'!I11)</f>
        <v>#NAME?</v>
      </c>
      <c r="I815" s="27" t="e">
        <f ca="1">D815+B815*F815+'01_INPUTS'!B20</f>
        <v>#NAME?</v>
      </c>
      <c r="J815" s="27" t="e">
        <f ca="1">E815+C815*F815+'01_INPUTS'!B21</f>
        <v>#NAME?</v>
      </c>
      <c r="K815" s="27" t="e">
        <f t="shared" ca="1" si="72"/>
        <v>#NAME?</v>
      </c>
      <c r="L815" s="23" t="e">
        <f t="shared" ca="1" si="73"/>
        <v>#NAME?</v>
      </c>
      <c r="M815" s="23" t="e">
        <f t="shared" ca="1" si="74"/>
        <v>#NAME?</v>
      </c>
      <c r="N815" s="23" t="e">
        <f t="shared" ca="1" si="75"/>
        <v>#NAME?</v>
      </c>
      <c r="O815" s="27" t="e">
        <f t="shared" ca="1" si="76"/>
        <v>#NAME?</v>
      </c>
      <c r="P815" s="27" t="e">
        <f ca="1">'01_INPUTS'!B9*N815-K815</f>
        <v>#NAME?</v>
      </c>
      <c r="Q815" s="1" t="e">
        <f t="shared" ca="1" si="77"/>
        <v>#NAME?</v>
      </c>
      <c r="R815" s="28">
        <v>0.31655541923828423</v>
      </c>
      <c r="S815" s="28">
        <v>0.67122941184788942</v>
      </c>
      <c r="T815" s="28">
        <v>0.88766529690474272</v>
      </c>
      <c r="U815" s="28">
        <v>0.87626528600230813</v>
      </c>
      <c r="V815" s="28">
        <v>0.42368444590829313</v>
      </c>
      <c r="W815" s="28">
        <v>0.99337094579823315</v>
      </c>
      <c r="X815" s="28">
        <v>1.6989341238513589E-2</v>
      </c>
    </row>
    <row r="816" spans="1:24" ht="13.9">
      <c r="A816" s="1">
        <v>815</v>
      </c>
      <c r="B816" s="23" t="e">
        <f ca="1">_xludf.BETA.INV(R816,'04_PSA_INPUTS'!H5,'04_PSA_INPUTS'!I5)</f>
        <v>#NAME?</v>
      </c>
      <c r="C816" s="23" t="e">
        <f ca="1">_xludf.BETA.INV(S816,'04_PSA_INPUTS'!H6,'04_PSA_INPUTS'!I6)</f>
        <v>#NAME?</v>
      </c>
      <c r="D816" s="27" t="e">
        <f ca="1">_xludf.GAMMA.INV(T816,'04_PSA_INPUTS'!H7,'04_PSA_INPUTS'!I7)</f>
        <v>#NAME?</v>
      </c>
      <c r="E816" s="27" t="e">
        <f ca="1">_xludf.GAMMA.INV(U816,'04_PSA_INPUTS'!H8,'04_PSA_INPUTS'!I8)</f>
        <v>#NAME?</v>
      </c>
      <c r="F816" s="27" t="e">
        <f ca="1">_xludf.GAMMA.INV(V816,'04_PSA_INPUTS'!H9,'04_PSA_INPUTS'!I9)</f>
        <v>#NAME?</v>
      </c>
      <c r="G816" s="23" t="e">
        <f ca="1">_xludf.BETA.INV(W816,'04_PSA_INPUTS'!H10,'04_PSA_INPUTS'!I10)</f>
        <v>#NAME?</v>
      </c>
      <c r="H816" s="23" t="e">
        <f ca="1">_xludf.BETA.INV(X816,'04_PSA_INPUTS'!H11,'04_PSA_INPUTS'!I11)</f>
        <v>#NAME?</v>
      </c>
      <c r="I816" s="27" t="e">
        <f ca="1">D816+B816*F816+'01_INPUTS'!B20</f>
        <v>#NAME?</v>
      </c>
      <c r="J816" s="27" t="e">
        <f ca="1">E816+C816*F816+'01_INPUTS'!B21</f>
        <v>#NAME?</v>
      </c>
      <c r="K816" s="27" t="e">
        <f t="shared" ca="1" si="72"/>
        <v>#NAME?</v>
      </c>
      <c r="L816" s="23" t="e">
        <f t="shared" ca="1" si="73"/>
        <v>#NAME?</v>
      </c>
      <c r="M816" s="23" t="e">
        <f t="shared" ca="1" si="74"/>
        <v>#NAME?</v>
      </c>
      <c r="N816" s="23" t="e">
        <f t="shared" ca="1" si="75"/>
        <v>#NAME?</v>
      </c>
      <c r="O816" s="27" t="e">
        <f t="shared" ca="1" si="76"/>
        <v>#NAME?</v>
      </c>
      <c r="P816" s="27" t="e">
        <f ca="1">'01_INPUTS'!B9*N816-K816</f>
        <v>#NAME?</v>
      </c>
      <c r="Q816" s="1" t="e">
        <f t="shared" ca="1" si="77"/>
        <v>#NAME?</v>
      </c>
      <c r="R816" s="28">
        <v>0.56867969082668424</v>
      </c>
      <c r="S816" s="28">
        <v>0.72222980647347867</v>
      </c>
      <c r="T816" s="28">
        <v>0.94487296883016825</v>
      </c>
      <c r="U816" s="28">
        <v>0.23999802395701408</v>
      </c>
      <c r="V816" s="28">
        <v>0.17203193670138717</v>
      </c>
      <c r="W816" s="28">
        <v>0.75078347255475819</v>
      </c>
      <c r="X816" s="28">
        <v>0.1425435880664736</v>
      </c>
    </row>
    <row r="817" spans="1:24" ht="13.9">
      <c r="A817" s="1">
        <v>816</v>
      </c>
      <c r="B817" s="23" t="e">
        <f ca="1">_xludf.BETA.INV(R817,'04_PSA_INPUTS'!H5,'04_PSA_INPUTS'!I5)</f>
        <v>#NAME?</v>
      </c>
      <c r="C817" s="23" t="e">
        <f ca="1">_xludf.BETA.INV(S817,'04_PSA_INPUTS'!H6,'04_PSA_INPUTS'!I6)</f>
        <v>#NAME?</v>
      </c>
      <c r="D817" s="27" t="e">
        <f ca="1">_xludf.GAMMA.INV(T817,'04_PSA_INPUTS'!H7,'04_PSA_INPUTS'!I7)</f>
        <v>#NAME?</v>
      </c>
      <c r="E817" s="27" t="e">
        <f ca="1">_xludf.GAMMA.INV(U817,'04_PSA_INPUTS'!H8,'04_PSA_INPUTS'!I8)</f>
        <v>#NAME?</v>
      </c>
      <c r="F817" s="27" t="e">
        <f ca="1">_xludf.GAMMA.INV(V817,'04_PSA_INPUTS'!H9,'04_PSA_INPUTS'!I9)</f>
        <v>#NAME?</v>
      </c>
      <c r="G817" s="23" t="e">
        <f ca="1">_xludf.BETA.INV(W817,'04_PSA_INPUTS'!H10,'04_PSA_INPUTS'!I10)</f>
        <v>#NAME?</v>
      </c>
      <c r="H817" s="23" t="e">
        <f ca="1">_xludf.BETA.INV(X817,'04_PSA_INPUTS'!H11,'04_PSA_INPUTS'!I11)</f>
        <v>#NAME?</v>
      </c>
      <c r="I817" s="27" t="e">
        <f ca="1">D817+B817*F817+'01_INPUTS'!B20</f>
        <v>#NAME?</v>
      </c>
      <c r="J817" s="27" t="e">
        <f ca="1">E817+C817*F817+'01_INPUTS'!B21</f>
        <v>#NAME?</v>
      </c>
      <c r="K817" s="27" t="e">
        <f t="shared" ca="1" si="72"/>
        <v>#NAME?</v>
      </c>
      <c r="L817" s="23" t="e">
        <f t="shared" ca="1" si="73"/>
        <v>#NAME?</v>
      </c>
      <c r="M817" s="23" t="e">
        <f t="shared" ca="1" si="74"/>
        <v>#NAME?</v>
      </c>
      <c r="N817" s="23" t="e">
        <f t="shared" ca="1" si="75"/>
        <v>#NAME?</v>
      </c>
      <c r="O817" s="27" t="e">
        <f t="shared" ca="1" si="76"/>
        <v>#NAME?</v>
      </c>
      <c r="P817" s="27" t="e">
        <f ca="1">'01_INPUTS'!B9*N817-K817</f>
        <v>#NAME?</v>
      </c>
      <c r="Q817" s="1" t="e">
        <f t="shared" ca="1" si="77"/>
        <v>#NAME?</v>
      </c>
      <c r="R817" s="28">
        <v>0.90701529057696462</v>
      </c>
      <c r="S817" s="28">
        <v>0.69452355615794659</v>
      </c>
      <c r="T817" s="28">
        <v>0.73533804737962782</v>
      </c>
      <c r="U817" s="28">
        <v>0.56918843416497111</v>
      </c>
      <c r="V817" s="28">
        <v>0.45580161572434008</v>
      </c>
      <c r="W817" s="28">
        <v>0.51683071162551641</v>
      </c>
      <c r="X817" s="28">
        <v>0.17042579292319715</v>
      </c>
    </row>
    <row r="818" spans="1:24" ht="13.9">
      <c r="A818" s="1">
        <v>817</v>
      </c>
      <c r="B818" s="23" t="e">
        <f ca="1">_xludf.BETA.INV(R818,'04_PSA_INPUTS'!H5,'04_PSA_INPUTS'!I5)</f>
        <v>#NAME?</v>
      </c>
      <c r="C818" s="23" t="e">
        <f ca="1">_xludf.BETA.INV(S818,'04_PSA_INPUTS'!H6,'04_PSA_INPUTS'!I6)</f>
        <v>#NAME?</v>
      </c>
      <c r="D818" s="27" t="e">
        <f ca="1">_xludf.GAMMA.INV(T818,'04_PSA_INPUTS'!H7,'04_PSA_INPUTS'!I7)</f>
        <v>#NAME?</v>
      </c>
      <c r="E818" s="27" t="e">
        <f ca="1">_xludf.GAMMA.INV(U818,'04_PSA_INPUTS'!H8,'04_PSA_INPUTS'!I8)</f>
        <v>#NAME?</v>
      </c>
      <c r="F818" s="27" t="e">
        <f ca="1">_xludf.GAMMA.INV(V818,'04_PSA_INPUTS'!H9,'04_PSA_INPUTS'!I9)</f>
        <v>#NAME?</v>
      </c>
      <c r="G818" s="23" t="e">
        <f ca="1">_xludf.BETA.INV(W818,'04_PSA_INPUTS'!H10,'04_PSA_INPUTS'!I10)</f>
        <v>#NAME?</v>
      </c>
      <c r="H818" s="23" t="e">
        <f ca="1">_xludf.BETA.INV(X818,'04_PSA_INPUTS'!H11,'04_PSA_INPUTS'!I11)</f>
        <v>#NAME?</v>
      </c>
      <c r="I818" s="27" t="e">
        <f ca="1">D818+B818*F818+'01_INPUTS'!B20</f>
        <v>#NAME?</v>
      </c>
      <c r="J818" s="27" t="e">
        <f ca="1">E818+C818*F818+'01_INPUTS'!B21</f>
        <v>#NAME?</v>
      </c>
      <c r="K818" s="27" t="e">
        <f t="shared" ca="1" si="72"/>
        <v>#NAME?</v>
      </c>
      <c r="L818" s="23" t="e">
        <f t="shared" ca="1" si="73"/>
        <v>#NAME?</v>
      </c>
      <c r="M818" s="23" t="e">
        <f t="shared" ca="1" si="74"/>
        <v>#NAME?</v>
      </c>
      <c r="N818" s="23" t="e">
        <f t="shared" ca="1" si="75"/>
        <v>#NAME?</v>
      </c>
      <c r="O818" s="27" t="e">
        <f t="shared" ca="1" si="76"/>
        <v>#NAME?</v>
      </c>
      <c r="P818" s="27" t="e">
        <f ca="1">'01_INPUTS'!B9*N818-K818</f>
        <v>#NAME?</v>
      </c>
      <c r="Q818" s="1" t="e">
        <f t="shared" ca="1" si="77"/>
        <v>#NAME?</v>
      </c>
      <c r="R818" s="28">
        <v>0.16886971332132816</v>
      </c>
      <c r="S818" s="28">
        <v>0.5695614826399833</v>
      </c>
      <c r="T818" s="28">
        <v>0.71547862724401057</v>
      </c>
      <c r="U818" s="28">
        <v>0.50423076841980219</v>
      </c>
      <c r="V818" s="28">
        <v>0.80634765373542905</v>
      </c>
      <c r="W818" s="28">
        <v>0.94110574456863105</v>
      </c>
      <c r="X818" s="28">
        <v>0.91564485337585211</v>
      </c>
    </row>
    <row r="819" spans="1:24" ht="13.9">
      <c r="A819" s="1">
        <v>818</v>
      </c>
      <c r="B819" s="23" t="e">
        <f ca="1">_xludf.BETA.INV(R819,'04_PSA_INPUTS'!H5,'04_PSA_INPUTS'!I5)</f>
        <v>#NAME?</v>
      </c>
      <c r="C819" s="23" t="e">
        <f ca="1">_xludf.BETA.INV(S819,'04_PSA_INPUTS'!H6,'04_PSA_INPUTS'!I6)</f>
        <v>#NAME?</v>
      </c>
      <c r="D819" s="27" t="e">
        <f ca="1">_xludf.GAMMA.INV(T819,'04_PSA_INPUTS'!H7,'04_PSA_INPUTS'!I7)</f>
        <v>#NAME?</v>
      </c>
      <c r="E819" s="27" t="e">
        <f ca="1">_xludf.GAMMA.INV(U819,'04_PSA_INPUTS'!H8,'04_PSA_INPUTS'!I8)</f>
        <v>#NAME?</v>
      </c>
      <c r="F819" s="27" t="e">
        <f ca="1">_xludf.GAMMA.INV(V819,'04_PSA_INPUTS'!H9,'04_PSA_INPUTS'!I9)</f>
        <v>#NAME?</v>
      </c>
      <c r="G819" s="23" t="e">
        <f ca="1">_xludf.BETA.INV(W819,'04_PSA_INPUTS'!H10,'04_PSA_INPUTS'!I10)</f>
        <v>#NAME?</v>
      </c>
      <c r="H819" s="23" t="e">
        <f ca="1">_xludf.BETA.INV(X819,'04_PSA_INPUTS'!H11,'04_PSA_INPUTS'!I11)</f>
        <v>#NAME?</v>
      </c>
      <c r="I819" s="27" t="e">
        <f ca="1">D819+B819*F819+'01_INPUTS'!B20</f>
        <v>#NAME?</v>
      </c>
      <c r="J819" s="27" t="e">
        <f ca="1">E819+C819*F819+'01_INPUTS'!B21</f>
        <v>#NAME?</v>
      </c>
      <c r="K819" s="27" t="e">
        <f t="shared" ca="1" si="72"/>
        <v>#NAME?</v>
      </c>
      <c r="L819" s="23" t="e">
        <f t="shared" ca="1" si="73"/>
        <v>#NAME?</v>
      </c>
      <c r="M819" s="23" t="e">
        <f t="shared" ca="1" si="74"/>
        <v>#NAME?</v>
      </c>
      <c r="N819" s="23" t="e">
        <f t="shared" ca="1" si="75"/>
        <v>#NAME?</v>
      </c>
      <c r="O819" s="27" t="e">
        <f t="shared" ca="1" si="76"/>
        <v>#NAME?</v>
      </c>
      <c r="P819" s="27" t="e">
        <f ca="1">'01_INPUTS'!B9*N819-K819</f>
        <v>#NAME?</v>
      </c>
      <c r="Q819" s="1" t="e">
        <f t="shared" ca="1" si="77"/>
        <v>#NAME?</v>
      </c>
      <c r="R819" s="28">
        <v>0.52694082329981029</v>
      </c>
      <c r="S819" s="28">
        <v>0.4870179679710418</v>
      </c>
      <c r="T819" s="28">
        <v>0.83060069754719734</v>
      </c>
      <c r="U819" s="28">
        <v>0.10942394356243312</v>
      </c>
      <c r="V819" s="28">
        <v>0.84745966619811952</v>
      </c>
      <c r="W819" s="28">
        <v>0.39528031274676323</v>
      </c>
      <c r="X819" s="28">
        <v>0.24905206845141947</v>
      </c>
    </row>
    <row r="820" spans="1:24" ht="13.9">
      <c r="A820" s="1">
        <v>819</v>
      </c>
      <c r="B820" s="23" t="e">
        <f ca="1">_xludf.BETA.INV(R820,'04_PSA_INPUTS'!H5,'04_PSA_INPUTS'!I5)</f>
        <v>#NAME?</v>
      </c>
      <c r="C820" s="23" t="e">
        <f ca="1">_xludf.BETA.INV(S820,'04_PSA_INPUTS'!H6,'04_PSA_INPUTS'!I6)</f>
        <v>#NAME?</v>
      </c>
      <c r="D820" s="27" t="e">
        <f ca="1">_xludf.GAMMA.INV(T820,'04_PSA_INPUTS'!H7,'04_PSA_INPUTS'!I7)</f>
        <v>#NAME?</v>
      </c>
      <c r="E820" s="27" t="e">
        <f ca="1">_xludf.GAMMA.INV(U820,'04_PSA_INPUTS'!H8,'04_PSA_INPUTS'!I8)</f>
        <v>#NAME?</v>
      </c>
      <c r="F820" s="27" t="e">
        <f ca="1">_xludf.GAMMA.INV(V820,'04_PSA_INPUTS'!H9,'04_PSA_INPUTS'!I9)</f>
        <v>#NAME?</v>
      </c>
      <c r="G820" s="23" t="e">
        <f ca="1">_xludf.BETA.INV(W820,'04_PSA_INPUTS'!H10,'04_PSA_INPUTS'!I10)</f>
        <v>#NAME?</v>
      </c>
      <c r="H820" s="23" t="e">
        <f ca="1">_xludf.BETA.INV(X820,'04_PSA_INPUTS'!H11,'04_PSA_INPUTS'!I11)</f>
        <v>#NAME?</v>
      </c>
      <c r="I820" s="27" t="e">
        <f ca="1">D820+B820*F820+'01_INPUTS'!B20</f>
        <v>#NAME?</v>
      </c>
      <c r="J820" s="27" t="e">
        <f ca="1">E820+C820*F820+'01_INPUTS'!B21</f>
        <v>#NAME?</v>
      </c>
      <c r="K820" s="27" t="e">
        <f t="shared" ca="1" si="72"/>
        <v>#NAME?</v>
      </c>
      <c r="L820" s="23" t="e">
        <f t="shared" ca="1" si="73"/>
        <v>#NAME?</v>
      </c>
      <c r="M820" s="23" t="e">
        <f t="shared" ca="1" si="74"/>
        <v>#NAME?</v>
      </c>
      <c r="N820" s="23" t="e">
        <f t="shared" ca="1" si="75"/>
        <v>#NAME?</v>
      </c>
      <c r="O820" s="27" t="e">
        <f t="shared" ca="1" si="76"/>
        <v>#NAME?</v>
      </c>
      <c r="P820" s="27" t="e">
        <f ca="1">'01_INPUTS'!B9*N820-K820</f>
        <v>#NAME?</v>
      </c>
      <c r="Q820" s="1" t="e">
        <f t="shared" ca="1" si="77"/>
        <v>#NAME?</v>
      </c>
      <c r="R820" s="28">
        <v>0.94946824503131211</v>
      </c>
      <c r="S820" s="28">
        <v>0.72038550348952413</v>
      </c>
      <c r="T820" s="28">
        <v>0.94699142104946077</v>
      </c>
      <c r="U820" s="28">
        <v>5.1002043299376965E-2</v>
      </c>
      <c r="V820" s="28">
        <v>0.68882323894649744</v>
      </c>
      <c r="W820" s="28">
        <v>0.42199068167246878</v>
      </c>
      <c r="X820" s="28">
        <v>0.7822332289069891</v>
      </c>
    </row>
    <row r="821" spans="1:24" ht="13.9">
      <c r="A821" s="1">
        <v>820</v>
      </c>
      <c r="B821" s="23" t="e">
        <f ca="1">_xludf.BETA.INV(R821,'04_PSA_INPUTS'!H5,'04_PSA_INPUTS'!I5)</f>
        <v>#NAME?</v>
      </c>
      <c r="C821" s="23" t="e">
        <f ca="1">_xludf.BETA.INV(S821,'04_PSA_INPUTS'!H6,'04_PSA_INPUTS'!I6)</f>
        <v>#NAME?</v>
      </c>
      <c r="D821" s="27" t="e">
        <f ca="1">_xludf.GAMMA.INV(T821,'04_PSA_INPUTS'!H7,'04_PSA_INPUTS'!I7)</f>
        <v>#NAME?</v>
      </c>
      <c r="E821" s="27" t="e">
        <f ca="1">_xludf.GAMMA.INV(U821,'04_PSA_INPUTS'!H8,'04_PSA_INPUTS'!I8)</f>
        <v>#NAME?</v>
      </c>
      <c r="F821" s="27" t="e">
        <f ca="1">_xludf.GAMMA.INV(V821,'04_PSA_INPUTS'!H9,'04_PSA_INPUTS'!I9)</f>
        <v>#NAME?</v>
      </c>
      <c r="G821" s="23" t="e">
        <f ca="1">_xludf.BETA.INV(W821,'04_PSA_INPUTS'!H10,'04_PSA_INPUTS'!I10)</f>
        <v>#NAME?</v>
      </c>
      <c r="H821" s="23" t="e">
        <f ca="1">_xludf.BETA.INV(X821,'04_PSA_INPUTS'!H11,'04_PSA_INPUTS'!I11)</f>
        <v>#NAME?</v>
      </c>
      <c r="I821" s="27" t="e">
        <f ca="1">D821+B821*F821+'01_INPUTS'!B20</f>
        <v>#NAME?</v>
      </c>
      <c r="J821" s="27" t="e">
        <f ca="1">E821+C821*F821+'01_INPUTS'!B21</f>
        <v>#NAME?</v>
      </c>
      <c r="K821" s="27" t="e">
        <f t="shared" ca="1" si="72"/>
        <v>#NAME?</v>
      </c>
      <c r="L821" s="23" t="e">
        <f t="shared" ca="1" si="73"/>
        <v>#NAME?</v>
      </c>
      <c r="M821" s="23" t="e">
        <f t="shared" ca="1" si="74"/>
        <v>#NAME?</v>
      </c>
      <c r="N821" s="23" t="e">
        <f t="shared" ca="1" si="75"/>
        <v>#NAME?</v>
      </c>
      <c r="O821" s="27" t="e">
        <f t="shared" ca="1" si="76"/>
        <v>#NAME?</v>
      </c>
      <c r="P821" s="27" t="e">
        <f ca="1">'01_INPUTS'!B9*N821-K821</f>
        <v>#NAME?</v>
      </c>
      <c r="Q821" s="1" t="e">
        <f t="shared" ca="1" si="77"/>
        <v>#NAME?</v>
      </c>
      <c r="R821" s="28">
        <v>0.88597175944596529</v>
      </c>
      <c r="S821" s="28">
        <v>0.20400902791880071</v>
      </c>
      <c r="T821" s="28">
        <v>0.73868973809294403</v>
      </c>
      <c r="U821" s="28">
        <v>0.19514485588297248</v>
      </c>
      <c r="V821" s="28">
        <v>0.25249201920814812</v>
      </c>
      <c r="W821" s="28">
        <v>0.40712686371989548</v>
      </c>
      <c r="X821" s="28">
        <v>0.79885699413716793</v>
      </c>
    </row>
    <row r="822" spans="1:24" ht="13.9">
      <c r="A822" s="1">
        <v>821</v>
      </c>
      <c r="B822" s="23" t="e">
        <f ca="1">_xludf.BETA.INV(R822,'04_PSA_INPUTS'!H5,'04_PSA_INPUTS'!I5)</f>
        <v>#NAME?</v>
      </c>
      <c r="C822" s="23" t="e">
        <f ca="1">_xludf.BETA.INV(S822,'04_PSA_INPUTS'!H6,'04_PSA_INPUTS'!I6)</f>
        <v>#NAME?</v>
      </c>
      <c r="D822" s="27" t="e">
        <f ca="1">_xludf.GAMMA.INV(T822,'04_PSA_INPUTS'!H7,'04_PSA_INPUTS'!I7)</f>
        <v>#NAME?</v>
      </c>
      <c r="E822" s="27" t="e">
        <f ca="1">_xludf.GAMMA.INV(U822,'04_PSA_INPUTS'!H8,'04_PSA_INPUTS'!I8)</f>
        <v>#NAME?</v>
      </c>
      <c r="F822" s="27" t="e">
        <f ca="1">_xludf.GAMMA.INV(V822,'04_PSA_INPUTS'!H9,'04_PSA_INPUTS'!I9)</f>
        <v>#NAME?</v>
      </c>
      <c r="G822" s="23" t="e">
        <f ca="1">_xludf.BETA.INV(W822,'04_PSA_INPUTS'!H10,'04_PSA_INPUTS'!I10)</f>
        <v>#NAME?</v>
      </c>
      <c r="H822" s="23" t="e">
        <f ca="1">_xludf.BETA.INV(X822,'04_PSA_INPUTS'!H11,'04_PSA_INPUTS'!I11)</f>
        <v>#NAME?</v>
      </c>
      <c r="I822" s="27" t="e">
        <f ca="1">D822+B822*F822+'01_INPUTS'!B20</f>
        <v>#NAME?</v>
      </c>
      <c r="J822" s="27" t="e">
        <f ca="1">E822+C822*F822+'01_INPUTS'!B21</f>
        <v>#NAME?</v>
      </c>
      <c r="K822" s="27" t="e">
        <f t="shared" ca="1" si="72"/>
        <v>#NAME?</v>
      </c>
      <c r="L822" s="23" t="e">
        <f t="shared" ca="1" si="73"/>
        <v>#NAME?</v>
      </c>
      <c r="M822" s="23" t="e">
        <f t="shared" ca="1" si="74"/>
        <v>#NAME?</v>
      </c>
      <c r="N822" s="23" t="e">
        <f t="shared" ca="1" si="75"/>
        <v>#NAME?</v>
      </c>
      <c r="O822" s="27" t="e">
        <f t="shared" ca="1" si="76"/>
        <v>#NAME?</v>
      </c>
      <c r="P822" s="27" t="e">
        <f ca="1">'01_INPUTS'!B9*N822-K822</f>
        <v>#NAME?</v>
      </c>
      <c r="Q822" s="1" t="e">
        <f t="shared" ca="1" si="77"/>
        <v>#NAME?</v>
      </c>
      <c r="R822" s="28">
        <v>0.45462775393389165</v>
      </c>
      <c r="S822" s="28">
        <v>0.63841779390349984</v>
      </c>
      <c r="T822" s="28">
        <v>0.94550997391343117</v>
      </c>
      <c r="U822" s="28">
        <v>0.88028097921051085</v>
      </c>
      <c r="V822" s="28">
        <v>0.88430096232332289</v>
      </c>
      <c r="W822" s="28">
        <v>0.62016314035281539</v>
      </c>
      <c r="X822" s="28">
        <v>0.49513419484719634</v>
      </c>
    </row>
    <row r="823" spans="1:24" ht="13.9">
      <c r="A823" s="1">
        <v>822</v>
      </c>
      <c r="B823" s="23" t="e">
        <f ca="1">_xludf.BETA.INV(R823,'04_PSA_INPUTS'!H5,'04_PSA_INPUTS'!I5)</f>
        <v>#NAME?</v>
      </c>
      <c r="C823" s="23" t="e">
        <f ca="1">_xludf.BETA.INV(S823,'04_PSA_INPUTS'!H6,'04_PSA_INPUTS'!I6)</f>
        <v>#NAME?</v>
      </c>
      <c r="D823" s="27" t="e">
        <f ca="1">_xludf.GAMMA.INV(T823,'04_PSA_INPUTS'!H7,'04_PSA_INPUTS'!I7)</f>
        <v>#NAME?</v>
      </c>
      <c r="E823" s="27" t="e">
        <f ca="1">_xludf.GAMMA.INV(U823,'04_PSA_INPUTS'!H8,'04_PSA_INPUTS'!I8)</f>
        <v>#NAME?</v>
      </c>
      <c r="F823" s="27" t="e">
        <f ca="1">_xludf.GAMMA.INV(V823,'04_PSA_INPUTS'!H9,'04_PSA_INPUTS'!I9)</f>
        <v>#NAME?</v>
      </c>
      <c r="G823" s="23" t="e">
        <f ca="1">_xludf.BETA.INV(W823,'04_PSA_INPUTS'!H10,'04_PSA_INPUTS'!I10)</f>
        <v>#NAME?</v>
      </c>
      <c r="H823" s="23" t="e">
        <f ca="1">_xludf.BETA.INV(X823,'04_PSA_INPUTS'!H11,'04_PSA_INPUTS'!I11)</f>
        <v>#NAME?</v>
      </c>
      <c r="I823" s="27" t="e">
        <f ca="1">D823+B823*F823+'01_INPUTS'!B20</f>
        <v>#NAME?</v>
      </c>
      <c r="J823" s="27" t="e">
        <f ca="1">E823+C823*F823+'01_INPUTS'!B21</f>
        <v>#NAME?</v>
      </c>
      <c r="K823" s="27" t="e">
        <f t="shared" ca="1" si="72"/>
        <v>#NAME?</v>
      </c>
      <c r="L823" s="23" t="e">
        <f t="shared" ca="1" si="73"/>
        <v>#NAME?</v>
      </c>
      <c r="M823" s="23" t="e">
        <f t="shared" ca="1" si="74"/>
        <v>#NAME?</v>
      </c>
      <c r="N823" s="23" t="e">
        <f t="shared" ca="1" si="75"/>
        <v>#NAME?</v>
      </c>
      <c r="O823" s="27" t="e">
        <f t="shared" ca="1" si="76"/>
        <v>#NAME?</v>
      </c>
      <c r="P823" s="27" t="e">
        <f ca="1">'01_INPUTS'!B9*N823-K823</f>
        <v>#NAME?</v>
      </c>
      <c r="Q823" s="1" t="e">
        <f t="shared" ca="1" si="77"/>
        <v>#NAME?</v>
      </c>
      <c r="R823" s="28">
        <v>0.51705616805702448</v>
      </c>
      <c r="S823" s="28">
        <v>0.34514936665073037</v>
      </c>
      <c r="T823" s="28">
        <v>8.2637558691203594E-2</v>
      </c>
      <c r="U823" s="28">
        <v>0.92670871806330979</v>
      </c>
      <c r="V823" s="28">
        <v>0.55005929758772254</v>
      </c>
      <c r="W823" s="28">
        <v>0.21692253625951707</v>
      </c>
      <c r="X823" s="28">
        <v>0.27358269365504384</v>
      </c>
    </row>
    <row r="824" spans="1:24" ht="13.9">
      <c r="A824" s="1">
        <v>823</v>
      </c>
      <c r="B824" s="23" t="e">
        <f ca="1">_xludf.BETA.INV(R824,'04_PSA_INPUTS'!H5,'04_PSA_INPUTS'!I5)</f>
        <v>#NAME?</v>
      </c>
      <c r="C824" s="23" t="e">
        <f ca="1">_xludf.BETA.INV(S824,'04_PSA_INPUTS'!H6,'04_PSA_INPUTS'!I6)</f>
        <v>#NAME?</v>
      </c>
      <c r="D824" s="27" t="e">
        <f ca="1">_xludf.GAMMA.INV(T824,'04_PSA_INPUTS'!H7,'04_PSA_INPUTS'!I7)</f>
        <v>#NAME?</v>
      </c>
      <c r="E824" s="27" t="e">
        <f ca="1">_xludf.GAMMA.INV(U824,'04_PSA_INPUTS'!H8,'04_PSA_INPUTS'!I8)</f>
        <v>#NAME?</v>
      </c>
      <c r="F824" s="27" t="e">
        <f ca="1">_xludf.GAMMA.INV(V824,'04_PSA_INPUTS'!H9,'04_PSA_INPUTS'!I9)</f>
        <v>#NAME?</v>
      </c>
      <c r="G824" s="23" t="e">
        <f ca="1">_xludf.BETA.INV(W824,'04_PSA_INPUTS'!H10,'04_PSA_INPUTS'!I10)</f>
        <v>#NAME?</v>
      </c>
      <c r="H824" s="23" t="e">
        <f ca="1">_xludf.BETA.INV(X824,'04_PSA_INPUTS'!H11,'04_PSA_INPUTS'!I11)</f>
        <v>#NAME?</v>
      </c>
      <c r="I824" s="27" t="e">
        <f ca="1">D824+B824*F824+'01_INPUTS'!B20</f>
        <v>#NAME?</v>
      </c>
      <c r="J824" s="27" t="e">
        <f ca="1">E824+C824*F824+'01_INPUTS'!B21</f>
        <v>#NAME?</v>
      </c>
      <c r="K824" s="27" t="e">
        <f t="shared" ca="1" si="72"/>
        <v>#NAME?</v>
      </c>
      <c r="L824" s="23" t="e">
        <f t="shared" ca="1" si="73"/>
        <v>#NAME?</v>
      </c>
      <c r="M824" s="23" t="e">
        <f t="shared" ca="1" si="74"/>
        <v>#NAME?</v>
      </c>
      <c r="N824" s="23" t="e">
        <f t="shared" ca="1" si="75"/>
        <v>#NAME?</v>
      </c>
      <c r="O824" s="27" t="e">
        <f t="shared" ca="1" si="76"/>
        <v>#NAME?</v>
      </c>
      <c r="P824" s="27" t="e">
        <f ca="1">'01_INPUTS'!B9*N824-K824</f>
        <v>#NAME?</v>
      </c>
      <c r="Q824" s="1" t="e">
        <f t="shared" ca="1" si="77"/>
        <v>#NAME?</v>
      </c>
      <c r="R824" s="28">
        <v>0.79080378310754895</v>
      </c>
      <c r="S824" s="28">
        <v>0.38533320603892207</v>
      </c>
      <c r="T824" s="28">
        <v>0.9637632011435926</v>
      </c>
      <c r="U824" s="28">
        <v>0.46528899203985929</v>
      </c>
      <c r="V824" s="28">
        <v>0.41688071773387492</v>
      </c>
      <c r="W824" s="28">
        <v>0.96428674133494496</v>
      </c>
      <c r="X824" s="28">
        <v>0.79157162457704544</v>
      </c>
    </row>
    <row r="825" spans="1:24" ht="13.9">
      <c r="A825" s="1">
        <v>824</v>
      </c>
      <c r="B825" s="23" t="e">
        <f ca="1">_xludf.BETA.INV(R825,'04_PSA_INPUTS'!H5,'04_PSA_INPUTS'!I5)</f>
        <v>#NAME?</v>
      </c>
      <c r="C825" s="23" t="e">
        <f ca="1">_xludf.BETA.INV(S825,'04_PSA_INPUTS'!H6,'04_PSA_INPUTS'!I6)</f>
        <v>#NAME?</v>
      </c>
      <c r="D825" s="27" t="e">
        <f ca="1">_xludf.GAMMA.INV(T825,'04_PSA_INPUTS'!H7,'04_PSA_INPUTS'!I7)</f>
        <v>#NAME?</v>
      </c>
      <c r="E825" s="27" t="e">
        <f ca="1">_xludf.GAMMA.INV(U825,'04_PSA_INPUTS'!H8,'04_PSA_INPUTS'!I8)</f>
        <v>#NAME?</v>
      </c>
      <c r="F825" s="27" t="e">
        <f ca="1">_xludf.GAMMA.INV(V825,'04_PSA_INPUTS'!H9,'04_PSA_INPUTS'!I9)</f>
        <v>#NAME?</v>
      </c>
      <c r="G825" s="23" t="e">
        <f ca="1">_xludf.BETA.INV(W825,'04_PSA_INPUTS'!H10,'04_PSA_INPUTS'!I10)</f>
        <v>#NAME?</v>
      </c>
      <c r="H825" s="23" t="e">
        <f ca="1">_xludf.BETA.INV(X825,'04_PSA_INPUTS'!H11,'04_PSA_INPUTS'!I11)</f>
        <v>#NAME?</v>
      </c>
      <c r="I825" s="27" t="e">
        <f ca="1">D825+B825*F825+'01_INPUTS'!B20</f>
        <v>#NAME?</v>
      </c>
      <c r="J825" s="27" t="e">
        <f ca="1">E825+C825*F825+'01_INPUTS'!B21</f>
        <v>#NAME?</v>
      </c>
      <c r="K825" s="27" t="e">
        <f t="shared" ca="1" si="72"/>
        <v>#NAME?</v>
      </c>
      <c r="L825" s="23" t="e">
        <f t="shared" ca="1" si="73"/>
        <v>#NAME?</v>
      </c>
      <c r="M825" s="23" t="e">
        <f t="shared" ca="1" si="74"/>
        <v>#NAME?</v>
      </c>
      <c r="N825" s="23" t="e">
        <f t="shared" ca="1" si="75"/>
        <v>#NAME?</v>
      </c>
      <c r="O825" s="27" t="e">
        <f t="shared" ca="1" si="76"/>
        <v>#NAME?</v>
      </c>
      <c r="P825" s="27" t="e">
        <f ca="1">'01_INPUTS'!B9*N825-K825</f>
        <v>#NAME?</v>
      </c>
      <c r="Q825" s="1" t="e">
        <f t="shared" ca="1" si="77"/>
        <v>#NAME?</v>
      </c>
      <c r="R825" s="28">
        <v>0.94027376663871109</v>
      </c>
      <c r="S825" s="28">
        <v>0.65865846676751971</v>
      </c>
      <c r="T825" s="28">
        <v>0.44501440413296223</v>
      </c>
      <c r="U825" s="28">
        <v>0.20670879166573286</v>
      </c>
      <c r="V825" s="28">
        <v>0.22254213248379529</v>
      </c>
      <c r="W825" s="28">
        <v>0.91509833326563239</v>
      </c>
      <c r="X825" s="28">
        <v>0.45060387719422579</v>
      </c>
    </row>
    <row r="826" spans="1:24" ht="13.9">
      <c r="A826" s="1">
        <v>825</v>
      </c>
      <c r="B826" s="23" t="e">
        <f ca="1">_xludf.BETA.INV(R826,'04_PSA_INPUTS'!H5,'04_PSA_INPUTS'!I5)</f>
        <v>#NAME?</v>
      </c>
      <c r="C826" s="23" t="e">
        <f ca="1">_xludf.BETA.INV(S826,'04_PSA_INPUTS'!H6,'04_PSA_INPUTS'!I6)</f>
        <v>#NAME?</v>
      </c>
      <c r="D826" s="27" t="e">
        <f ca="1">_xludf.GAMMA.INV(T826,'04_PSA_INPUTS'!H7,'04_PSA_INPUTS'!I7)</f>
        <v>#NAME?</v>
      </c>
      <c r="E826" s="27" t="e">
        <f ca="1">_xludf.GAMMA.INV(U826,'04_PSA_INPUTS'!H8,'04_PSA_INPUTS'!I8)</f>
        <v>#NAME?</v>
      </c>
      <c r="F826" s="27" t="e">
        <f ca="1">_xludf.GAMMA.INV(V826,'04_PSA_INPUTS'!H9,'04_PSA_INPUTS'!I9)</f>
        <v>#NAME?</v>
      </c>
      <c r="G826" s="23" t="e">
        <f ca="1">_xludf.BETA.INV(W826,'04_PSA_INPUTS'!H10,'04_PSA_INPUTS'!I10)</f>
        <v>#NAME?</v>
      </c>
      <c r="H826" s="23" t="e">
        <f ca="1">_xludf.BETA.INV(X826,'04_PSA_INPUTS'!H11,'04_PSA_INPUTS'!I11)</f>
        <v>#NAME?</v>
      </c>
      <c r="I826" s="27" t="e">
        <f ca="1">D826+B826*F826+'01_INPUTS'!B20</f>
        <v>#NAME?</v>
      </c>
      <c r="J826" s="27" t="e">
        <f ca="1">E826+C826*F826+'01_INPUTS'!B21</f>
        <v>#NAME?</v>
      </c>
      <c r="K826" s="27" t="e">
        <f t="shared" ca="1" si="72"/>
        <v>#NAME?</v>
      </c>
      <c r="L826" s="23" t="e">
        <f t="shared" ca="1" si="73"/>
        <v>#NAME?</v>
      </c>
      <c r="M826" s="23" t="e">
        <f t="shared" ca="1" si="74"/>
        <v>#NAME?</v>
      </c>
      <c r="N826" s="23" t="e">
        <f t="shared" ca="1" si="75"/>
        <v>#NAME?</v>
      </c>
      <c r="O826" s="27" t="e">
        <f t="shared" ca="1" si="76"/>
        <v>#NAME?</v>
      </c>
      <c r="P826" s="27" t="e">
        <f ca="1">'01_INPUTS'!B9*N826-K826</f>
        <v>#NAME?</v>
      </c>
      <c r="Q826" s="1" t="e">
        <f t="shared" ca="1" si="77"/>
        <v>#NAME?</v>
      </c>
      <c r="R826" s="28">
        <v>0.74742072774097323</v>
      </c>
      <c r="S826" s="28">
        <v>0.21081980364397168</v>
      </c>
      <c r="T826" s="28">
        <v>0.71732536633498967</v>
      </c>
      <c r="U826" s="28">
        <v>0.69837599177844822</v>
      </c>
      <c r="V826" s="28">
        <v>0.5883799041621387</v>
      </c>
      <c r="W826" s="28">
        <v>0.49839621596038342</v>
      </c>
      <c r="X826" s="28">
        <v>9.4750941265374422E-2</v>
      </c>
    </row>
    <row r="827" spans="1:24" ht="13.9">
      <c r="A827" s="1">
        <v>826</v>
      </c>
      <c r="B827" s="23" t="e">
        <f ca="1">_xludf.BETA.INV(R827,'04_PSA_INPUTS'!H5,'04_PSA_INPUTS'!I5)</f>
        <v>#NAME?</v>
      </c>
      <c r="C827" s="23" t="e">
        <f ca="1">_xludf.BETA.INV(S827,'04_PSA_INPUTS'!H6,'04_PSA_INPUTS'!I6)</f>
        <v>#NAME?</v>
      </c>
      <c r="D827" s="27" t="e">
        <f ca="1">_xludf.GAMMA.INV(T827,'04_PSA_INPUTS'!H7,'04_PSA_INPUTS'!I7)</f>
        <v>#NAME?</v>
      </c>
      <c r="E827" s="27" t="e">
        <f ca="1">_xludf.GAMMA.INV(U827,'04_PSA_INPUTS'!H8,'04_PSA_INPUTS'!I8)</f>
        <v>#NAME?</v>
      </c>
      <c r="F827" s="27" t="e">
        <f ca="1">_xludf.GAMMA.INV(V827,'04_PSA_INPUTS'!H9,'04_PSA_INPUTS'!I9)</f>
        <v>#NAME?</v>
      </c>
      <c r="G827" s="23" t="e">
        <f ca="1">_xludf.BETA.INV(W827,'04_PSA_INPUTS'!H10,'04_PSA_INPUTS'!I10)</f>
        <v>#NAME?</v>
      </c>
      <c r="H827" s="23" t="e">
        <f ca="1">_xludf.BETA.INV(X827,'04_PSA_INPUTS'!H11,'04_PSA_INPUTS'!I11)</f>
        <v>#NAME?</v>
      </c>
      <c r="I827" s="27" t="e">
        <f ca="1">D827+B827*F827+'01_INPUTS'!B20</f>
        <v>#NAME?</v>
      </c>
      <c r="J827" s="27" t="e">
        <f ca="1">E827+C827*F827+'01_INPUTS'!B21</f>
        <v>#NAME?</v>
      </c>
      <c r="K827" s="27" t="e">
        <f t="shared" ca="1" si="72"/>
        <v>#NAME?</v>
      </c>
      <c r="L827" s="23" t="e">
        <f t="shared" ca="1" si="73"/>
        <v>#NAME?</v>
      </c>
      <c r="M827" s="23" t="e">
        <f t="shared" ca="1" si="74"/>
        <v>#NAME?</v>
      </c>
      <c r="N827" s="23" t="e">
        <f t="shared" ca="1" si="75"/>
        <v>#NAME?</v>
      </c>
      <c r="O827" s="27" t="e">
        <f t="shared" ca="1" si="76"/>
        <v>#NAME?</v>
      </c>
      <c r="P827" s="27" t="e">
        <f ca="1">'01_INPUTS'!B9*N827-K827</f>
        <v>#NAME?</v>
      </c>
      <c r="Q827" s="1" t="e">
        <f t="shared" ca="1" si="77"/>
        <v>#NAME?</v>
      </c>
      <c r="R827" s="28">
        <v>0.23100373451597989</v>
      </c>
      <c r="S827" s="28">
        <v>0.10645173187367618</v>
      </c>
      <c r="T827" s="28">
        <v>0.7732694239821285</v>
      </c>
      <c r="U827" s="28">
        <v>0.81363404169678688</v>
      </c>
      <c r="V827" s="28">
        <v>0.92556346417404711</v>
      </c>
      <c r="W827" s="28">
        <v>0.39200374437496066</v>
      </c>
      <c r="X827" s="28">
        <v>0.3566118162125349</v>
      </c>
    </row>
    <row r="828" spans="1:24" ht="13.9">
      <c r="A828" s="1">
        <v>827</v>
      </c>
      <c r="B828" s="23" t="e">
        <f ca="1">_xludf.BETA.INV(R828,'04_PSA_INPUTS'!H5,'04_PSA_INPUTS'!I5)</f>
        <v>#NAME?</v>
      </c>
      <c r="C828" s="23" t="e">
        <f ca="1">_xludf.BETA.INV(S828,'04_PSA_INPUTS'!H6,'04_PSA_INPUTS'!I6)</f>
        <v>#NAME?</v>
      </c>
      <c r="D828" s="27" t="e">
        <f ca="1">_xludf.GAMMA.INV(T828,'04_PSA_INPUTS'!H7,'04_PSA_INPUTS'!I7)</f>
        <v>#NAME?</v>
      </c>
      <c r="E828" s="27" t="e">
        <f ca="1">_xludf.GAMMA.INV(U828,'04_PSA_INPUTS'!H8,'04_PSA_INPUTS'!I8)</f>
        <v>#NAME?</v>
      </c>
      <c r="F828" s="27" t="e">
        <f ca="1">_xludf.GAMMA.INV(V828,'04_PSA_INPUTS'!H9,'04_PSA_INPUTS'!I9)</f>
        <v>#NAME?</v>
      </c>
      <c r="G828" s="23" t="e">
        <f ca="1">_xludf.BETA.INV(W828,'04_PSA_INPUTS'!H10,'04_PSA_INPUTS'!I10)</f>
        <v>#NAME?</v>
      </c>
      <c r="H828" s="23" t="e">
        <f ca="1">_xludf.BETA.INV(X828,'04_PSA_INPUTS'!H11,'04_PSA_INPUTS'!I11)</f>
        <v>#NAME?</v>
      </c>
      <c r="I828" s="27" t="e">
        <f ca="1">D828+B828*F828+'01_INPUTS'!B20</f>
        <v>#NAME?</v>
      </c>
      <c r="J828" s="27" t="e">
        <f ca="1">E828+C828*F828+'01_INPUTS'!B21</f>
        <v>#NAME?</v>
      </c>
      <c r="K828" s="27" t="e">
        <f t="shared" ca="1" si="72"/>
        <v>#NAME?</v>
      </c>
      <c r="L828" s="23" t="e">
        <f t="shared" ca="1" si="73"/>
        <v>#NAME?</v>
      </c>
      <c r="M828" s="23" t="e">
        <f t="shared" ca="1" si="74"/>
        <v>#NAME?</v>
      </c>
      <c r="N828" s="23" t="e">
        <f t="shared" ca="1" si="75"/>
        <v>#NAME?</v>
      </c>
      <c r="O828" s="27" t="e">
        <f t="shared" ca="1" si="76"/>
        <v>#NAME?</v>
      </c>
      <c r="P828" s="27" t="e">
        <f ca="1">'01_INPUTS'!B9*N828-K828</f>
        <v>#NAME?</v>
      </c>
      <c r="Q828" s="1" t="e">
        <f t="shared" ca="1" si="77"/>
        <v>#NAME?</v>
      </c>
      <c r="R828" s="28">
        <v>0.34637040155939758</v>
      </c>
      <c r="S828" s="28">
        <v>0.59280299698002636</v>
      </c>
      <c r="T828" s="28">
        <v>0.56205387902446091</v>
      </c>
      <c r="U828" s="28">
        <v>0.50441388390026987</v>
      </c>
      <c r="V828" s="28">
        <v>0.89295839029364288</v>
      </c>
      <c r="W828" s="28">
        <v>0.46273444569669664</v>
      </c>
      <c r="X828" s="28">
        <v>3.2155635999515653E-2</v>
      </c>
    </row>
    <row r="829" spans="1:24" ht="13.9">
      <c r="A829" s="1">
        <v>828</v>
      </c>
      <c r="B829" s="23" t="e">
        <f ca="1">_xludf.BETA.INV(R829,'04_PSA_INPUTS'!H5,'04_PSA_INPUTS'!I5)</f>
        <v>#NAME?</v>
      </c>
      <c r="C829" s="23" t="e">
        <f ca="1">_xludf.BETA.INV(S829,'04_PSA_INPUTS'!H6,'04_PSA_INPUTS'!I6)</f>
        <v>#NAME?</v>
      </c>
      <c r="D829" s="27" t="e">
        <f ca="1">_xludf.GAMMA.INV(T829,'04_PSA_INPUTS'!H7,'04_PSA_INPUTS'!I7)</f>
        <v>#NAME?</v>
      </c>
      <c r="E829" s="27" t="e">
        <f ca="1">_xludf.GAMMA.INV(U829,'04_PSA_INPUTS'!H8,'04_PSA_INPUTS'!I8)</f>
        <v>#NAME?</v>
      </c>
      <c r="F829" s="27" t="e">
        <f ca="1">_xludf.GAMMA.INV(V829,'04_PSA_INPUTS'!H9,'04_PSA_INPUTS'!I9)</f>
        <v>#NAME?</v>
      </c>
      <c r="G829" s="23" t="e">
        <f ca="1">_xludf.BETA.INV(W829,'04_PSA_INPUTS'!H10,'04_PSA_INPUTS'!I10)</f>
        <v>#NAME?</v>
      </c>
      <c r="H829" s="23" t="e">
        <f ca="1">_xludf.BETA.INV(X829,'04_PSA_INPUTS'!H11,'04_PSA_INPUTS'!I11)</f>
        <v>#NAME?</v>
      </c>
      <c r="I829" s="27" t="e">
        <f ca="1">D829+B829*F829+'01_INPUTS'!B20</f>
        <v>#NAME?</v>
      </c>
      <c r="J829" s="27" t="e">
        <f ca="1">E829+C829*F829+'01_INPUTS'!B21</f>
        <v>#NAME?</v>
      </c>
      <c r="K829" s="27" t="e">
        <f t="shared" ca="1" si="72"/>
        <v>#NAME?</v>
      </c>
      <c r="L829" s="23" t="e">
        <f t="shared" ca="1" si="73"/>
        <v>#NAME?</v>
      </c>
      <c r="M829" s="23" t="e">
        <f t="shared" ca="1" si="74"/>
        <v>#NAME?</v>
      </c>
      <c r="N829" s="23" t="e">
        <f t="shared" ca="1" si="75"/>
        <v>#NAME?</v>
      </c>
      <c r="O829" s="27" t="e">
        <f t="shared" ca="1" si="76"/>
        <v>#NAME?</v>
      </c>
      <c r="P829" s="27" t="e">
        <f ca="1">'01_INPUTS'!B9*N829-K829</f>
        <v>#NAME?</v>
      </c>
      <c r="Q829" s="1" t="e">
        <f t="shared" ca="1" si="77"/>
        <v>#NAME?</v>
      </c>
      <c r="R829" s="28">
        <v>0.16908769030123949</v>
      </c>
      <c r="S829" s="28">
        <v>7.0692701963707805E-2</v>
      </c>
      <c r="T829" s="28">
        <v>0.72665091161616147</v>
      </c>
      <c r="U829" s="28">
        <v>4.7544251196086407E-2</v>
      </c>
      <c r="V829" s="28">
        <v>1.0831430554389954E-3</v>
      </c>
      <c r="W829" s="28">
        <v>0.25489516602829099</v>
      </c>
      <c r="X829" s="28">
        <v>0.15074853971600533</v>
      </c>
    </row>
    <row r="830" spans="1:24" ht="13.9">
      <c r="A830" s="1">
        <v>829</v>
      </c>
      <c r="B830" s="23" t="e">
        <f ca="1">_xludf.BETA.INV(R830,'04_PSA_INPUTS'!H5,'04_PSA_INPUTS'!I5)</f>
        <v>#NAME?</v>
      </c>
      <c r="C830" s="23" t="e">
        <f ca="1">_xludf.BETA.INV(S830,'04_PSA_INPUTS'!H6,'04_PSA_INPUTS'!I6)</f>
        <v>#NAME?</v>
      </c>
      <c r="D830" s="27" t="e">
        <f ca="1">_xludf.GAMMA.INV(T830,'04_PSA_INPUTS'!H7,'04_PSA_INPUTS'!I7)</f>
        <v>#NAME?</v>
      </c>
      <c r="E830" s="27" t="e">
        <f ca="1">_xludf.GAMMA.INV(U830,'04_PSA_INPUTS'!H8,'04_PSA_INPUTS'!I8)</f>
        <v>#NAME?</v>
      </c>
      <c r="F830" s="27" t="e">
        <f ca="1">_xludf.GAMMA.INV(V830,'04_PSA_INPUTS'!H9,'04_PSA_INPUTS'!I9)</f>
        <v>#NAME?</v>
      </c>
      <c r="G830" s="23" t="e">
        <f ca="1">_xludf.BETA.INV(W830,'04_PSA_INPUTS'!H10,'04_PSA_INPUTS'!I10)</f>
        <v>#NAME?</v>
      </c>
      <c r="H830" s="23" t="e">
        <f ca="1">_xludf.BETA.INV(X830,'04_PSA_INPUTS'!H11,'04_PSA_INPUTS'!I11)</f>
        <v>#NAME?</v>
      </c>
      <c r="I830" s="27" t="e">
        <f ca="1">D830+B830*F830+'01_INPUTS'!B20</f>
        <v>#NAME?</v>
      </c>
      <c r="J830" s="27" t="e">
        <f ca="1">E830+C830*F830+'01_INPUTS'!B21</f>
        <v>#NAME?</v>
      </c>
      <c r="K830" s="27" t="e">
        <f t="shared" ca="1" si="72"/>
        <v>#NAME?</v>
      </c>
      <c r="L830" s="23" t="e">
        <f t="shared" ca="1" si="73"/>
        <v>#NAME?</v>
      </c>
      <c r="M830" s="23" t="e">
        <f t="shared" ca="1" si="74"/>
        <v>#NAME?</v>
      </c>
      <c r="N830" s="23" t="e">
        <f t="shared" ca="1" si="75"/>
        <v>#NAME?</v>
      </c>
      <c r="O830" s="27" t="e">
        <f t="shared" ca="1" si="76"/>
        <v>#NAME?</v>
      </c>
      <c r="P830" s="27" t="e">
        <f ca="1">'01_INPUTS'!B9*N830-K830</f>
        <v>#NAME?</v>
      </c>
      <c r="Q830" s="1" t="e">
        <f t="shared" ca="1" si="77"/>
        <v>#NAME?</v>
      </c>
      <c r="R830" s="28">
        <v>0.62683942564763129</v>
      </c>
      <c r="S830" s="28">
        <v>0.96842749300412834</v>
      </c>
      <c r="T830" s="28">
        <v>0.59524984890595078</v>
      </c>
      <c r="U830" s="28">
        <v>0.64187385165132582</v>
      </c>
      <c r="V830" s="28">
        <v>0.21846776292659342</v>
      </c>
      <c r="W830" s="28">
        <v>0.51442168536596</v>
      </c>
      <c r="X830" s="28">
        <v>0.80256562912836671</v>
      </c>
    </row>
    <row r="831" spans="1:24" ht="13.9">
      <c r="A831" s="1">
        <v>830</v>
      </c>
      <c r="B831" s="23" t="e">
        <f ca="1">_xludf.BETA.INV(R831,'04_PSA_INPUTS'!H5,'04_PSA_INPUTS'!I5)</f>
        <v>#NAME?</v>
      </c>
      <c r="C831" s="23" t="e">
        <f ca="1">_xludf.BETA.INV(S831,'04_PSA_INPUTS'!H6,'04_PSA_INPUTS'!I6)</f>
        <v>#NAME?</v>
      </c>
      <c r="D831" s="27" t="e">
        <f ca="1">_xludf.GAMMA.INV(T831,'04_PSA_INPUTS'!H7,'04_PSA_INPUTS'!I7)</f>
        <v>#NAME?</v>
      </c>
      <c r="E831" s="27" t="e">
        <f ca="1">_xludf.GAMMA.INV(U831,'04_PSA_INPUTS'!H8,'04_PSA_INPUTS'!I8)</f>
        <v>#NAME?</v>
      </c>
      <c r="F831" s="27" t="e">
        <f ca="1">_xludf.GAMMA.INV(V831,'04_PSA_INPUTS'!H9,'04_PSA_INPUTS'!I9)</f>
        <v>#NAME?</v>
      </c>
      <c r="G831" s="23" t="e">
        <f ca="1">_xludf.BETA.INV(W831,'04_PSA_INPUTS'!H10,'04_PSA_INPUTS'!I10)</f>
        <v>#NAME?</v>
      </c>
      <c r="H831" s="23" t="e">
        <f ca="1">_xludf.BETA.INV(X831,'04_PSA_INPUTS'!H11,'04_PSA_INPUTS'!I11)</f>
        <v>#NAME?</v>
      </c>
      <c r="I831" s="27" t="e">
        <f ca="1">D831+B831*F831+'01_INPUTS'!B20</f>
        <v>#NAME?</v>
      </c>
      <c r="J831" s="27" t="e">
        <f ca="1">E831+C831*F831+'01_INPUTS'!B21</f>
        <v>#NAME?</v>
      </c>
      <c r="K831" s="27" t="e">
        <f t="shared" ca="1" si="72"/>
        <v>#NAME?</v>
      </c>
      <c r="L831" s="23" t="e">
        <f t="shared" ca="1" si="73"/>
        <v>#NAME?</v>
      </c>
      <c r="M831" s="23" t="e">
        <f t="shared" ca="1" si="74"/>
        <v>#NAME?</v>
      </c>
      <c r="N831" s="23" t="e">
        <f t="shared" ca="1" si="75"/>
        <v>#NAME?</v>
      </c>
      <c r="O831" s="27" t="e">
        <f t="shared" ca="1" si="76"/>
        <v>#NAME?</v>
      </c>
      <c r="P831" s="27" t="e">
        <f ca="1">'01_INPUTS'!B9*N831-K831</f>
        <v>#NAME?</v>
      </c>
      <c r="Q831" s="1" t="e">
        <f t="shared" ca="1" si="77"/>
        <v>#NAME?</v>
      </c>
      <c r="R831" s="28">
        <v>0.31417593010701239</v>
      </c>
      <c r="S831" s="28">
        <v>0.36070064804516733</v>
      </c>
      <c r="T831" s="28">
        <v>0.67734796763397753</v>
      </c>
      <c r="U831" s="28">
        <v>0.58799270680174232</v>
      </c>
      <c r="V831" s="28">
        <v>0.13729595602490008</v>
      </c>
      <c r="W831" s="28">
        <v>8.0205854261294007E-2</v>
      </c>
      <c r="X831" s="28">
        <v>0.15785437170416117</v>
      </c>
    </row>
    <row r="832" spans="1:24" ht="13.9">
      <c r="A832" s="1">
        <v>831</v>
      </c>
      <c r="B832" s="23" t="e">
        <f ca="1">_xludf.BETA.INV(R832,'04_PSA_INPUTS'!H5,'04_PSA_INPUTS'!I5)</f>
        <v>#NAME?</v>
      </c>
      <c r="C832" s="23" t="e">
        <f ca="1">_xludf.BETA.INV(S832,'04_PSA_INPUTS'!H6,'04_PSA_INPUTS'!I6)</f>
        <v>#NAME?</v>
      </c>
      <c r="D832" s="27" t="e">
        <f ca="1">_xludf.GAMMA.INV(T832,'04_PSA_INPUTS'!H7,'04_PSA_INPUTS'!I7)</f>
        <v>#NAME?</v>
      </c>
      <c r="E832" s="27" t="e">
        <f ca="1">_xludf.GAMMA.INV(U832,'04_PSA_INPUTS'!H8,'04_PSA_INPUTS'!I8)</f>
        <v>#NAME?</v>
      </c>
      <c r="F832" s="27" t="e">
        <f ca="1">_xludf.GAMMA.INV(V832,'04_PSA_INPUTS'!H9,'04_PSA_INPUTS'!I9)</f>
        <v>#NAME?</v>
      </c>
      <c r="G832" s="23" t="e">
        <f ca="1">_xludf.BETA.INV(W832,'04_PSA_INPUTS'!H10,'04_PSA_INPUTS'!I10)</f>
        <v>#NAME?</v>
      </c>
      <c r="H832" s="23" t="e">
        <f ca="1">_xludf.BETA.INV(X832,'04_PSA_INPUTS'!H11,'04_PSA_INPUTS'!I11)</f>
        <v>#NAME?</v>
      </c>
      <c r="I832" s="27" t="e">
        <f ca="1">D832+B832*F832+'01_INPUTS'!B20</f>
        <v>#NAME?</v>
      </c>
      <c r="J832" s="27" t="e">
        <f ca="1">E832+C832*F832+'01_INPUTS'!B21</f>
        <v>#NAME?</v>
      </c>
      <c r="K832" s="27" t="e">
        <f t="shared" ca="1" si="72"/>
        <v>#NAME?</v>
      </c>
      <c r="L832" s="23" t="e">
        <f t="shared" ca="1" si="73"/>
        <v>#NAME?</v>
      </c>
      <c r="M832" s="23" t="e">
        <f t="shared" ca="1" si="74"/>
        <v>#NAME?</v>
      </c>
      <c r="N832" s="23" t="e">
        <f t="shared" ca="1" si="75"/>
        <v>#NAME?</v>
      </c>
      <c r="O832" s="27" t="e">
        <f t="shared" ca="1" si="76"/>
        <v>#NAME?</v>
      </c>
      <c r="P832" s="27" t="e">
        <f ca="1">'01_INPUTS'!B9*N832-K832</f>
        <v>#NAME?</v>
      </c>
      <c r="Q832" s="1" t="e">
        <f t="shared" ca="1" si="77"/>
        <v>#NAME?</v>
      </c>
      <c r="R832" s="28">
        <v>0.56668554223142564</v>
      </c>
      <c r="S832" s="28">
        <v>0.90329035744071007</v>
      </c>
      <c r="T832" s="28">
        <v>0.34841796127147973</v>
      </c>
      <c r="U832" s="28">
        <v>0.14838561788201332</v>
      </c>
      <c r="V832" s="28">
        <v>0.78287808294408023</v>
      </c>
      <c r="W832" s="28">
        <v>0.74621697817929089</v>
      </c>
      <c r="X832" s="28">
        <v>0.95006331172771752</v>
      </c>
    </row>
    <row r="833" spans="1:24" ht="13.9">
      <c r="A833" s="1">
        <v>832</v>
      </c>
      <c r="B833" s="23" t="e">
        <f ca="1">_xludf.BETA.INV(R833,'04_PSA_INPUTS'!H5,'04_PSA_INPUTS'!I5)</f>
        <v>#NAME?</v>
      </c>
      <c r="C833" s="23" t="e">
        <f ca="1">_xludf.BETA.INV(S833,'04_PSA_INPUTS'!H6,'04_PSA_INPUTS'!I6)</f>
        <v>#NAME?</v>
      </c>
      <c r="D833" s="27" t="e">
        <f ca="1">_xludf.GAMMA.INV(T833,'04_PSA_INPUTS'!H7,'04_PSA_INPUTS'!I7)</f>
        <v>#NAME?</v>
      </c>
      <c r="E833" s="27" t="e">
        <f ca="1">_xludf.GAMMA.INV(U833,'04_PSA_INPUTS'!H8,'04_PSA_INPUTS'!I8)</f>
        <v>#NAME?</v>
      </c>
      <c r="F833" s="27" t="e">
        <f ca="1">_xludf.GAMMA.INV(V833,'04_PSA_INPUTS'!H9,'04_PSA_INPUTS'!I9)</f>
        <v>#NAME?</v>
      </c>
      <c r="G833" s="23" t="e">
        <f ca="1">_xludf.BETA.INV(W833,'04_PSA_INPUTS'!H10,'04_PSA_INPUTS'!I10)</f>
        <v>#NAME?</v>
      </c>
      <c r="H833" s="23" t="e">
        <f ca="1">_xludf.BETA.INV(X833,'04_PSA_INPUTS'!H11,'04_PSA_INPUTS'!I11)</f>
        <v>#NAME?</v>
      </c>
      <c r="I833" s="27" t="e">
        <f ca="1">D833+B833*F833+'01_INPUTS'!B20</f>
        <v>#NAME?</v>
      </c>
      <c r="J833" s="27" t="e">
        <f ca="1">E833+C833*F833+'01_INPUTS'!B21</f>
        <v>#NAME?</v>
      </c>
      <c r="K833" s="27" t="e">
        <f t="shared" ca="1" si="72"/>
        <v>#NAME?</v>
      </c>
      <c r="L833" s="23" t="e">
        <f t="shared" ca="1" si="73"/>
        <v>#NAME?</v>
      </c>
      <c r="M833" s="23" t="e">
        <f t="shared" ca="1" si="74"/>
        <v>#NAME?</v>
      </c>
      <c r="N833" s="23" t="e">
        <f t="shared" ca="1" si="75"/>
        <v>#NAME?</v>
      </c>
      <c r="O833" s="27" t="e">
        <f t="shared" ca="1" si="76"/>
        <v>#NAME?</v>
      </c>
      <c r="P833" s="27" t="e">
        <f ca="1">'01_INPUTS'!B9*N833-K833</f>
        <v>#NAME?</v>
      </c>
      <c r="Q833" s="1" t="e">
        <f t="shared" ca="1" si="77"/>
        <v>#NAME?</v>
      </c>
      <c r="R833" s="28">
        <v>0.48920610570348799</v>
      </c>
      <c r="S833" s="28">
        <v>0.54346526321023703</v>
      </c>
      <c r="T833" s="28">
        <v>0.58600116241723299</v>
      </c>
      <c r="U833" s="28">
        <v>0.75358649552799761</v>
      </c>
      <c r="V833" s="28">
        <v>0.99343232088722289</v>
      </c>
      <c r="W833" s="28">
        <v>0.67741782823577523</v>
      </c>
      <c r="X833" s="28">
        <v>0.33208645484410226</v>
      </c>
    </row>
    <row r="834" spans="1:24" ht="13.9">
      <c r="A834" s="1">
        <v>833</v>
      </c>
      <c r="B834" s="23" t="e">
        <f ca="1">_xludf.BETA.INV(R834,'04_PSA_INPUTS'!H5,'04_PSA_INPUTS'!I5)</f>
        <v>#NAME?</v>
      </c>
      <c r="C834" s="23" t="e">
        <f ca="1">_xludf.BETA.INV(S834,'04_PSA_INPUTS'!H6,'04_PSA_INPUTS'!I6)</f>
        <v>#NAME?</v>
      </c>
      <c r="D834" s="27" t="e">
        <f ca="1">_xludf.GAMMA.INV(T834,'04_PSA_INPUTS'!H7,'04_PSA_INPUTS'!I7)</f>
        <v>#NAME?</v>
      </c>
      <c r="E834" s="27" t="e">
        <f ca="1">_xludf.GAMMA.INV(U834,'04_PSA_INPUTS'!H8,'04_PSA_INPUTS'!I8)</f>
        <v>#NAME?</v>
      </c>
      <c r="F834" s="27" t="e">
        <f ca="1">_xludf.GAMMA.INV(V834,'04_PSA_INPUTS'!H9,'04_PSA_INPUTS'!I9)</f>
        <v>#NAME?</v>
      </c>
      <c r="G834" s="23" t="e">
        <f ca="1">_xludf.BETA.INV(W834,'04_PSA_INPUTS'!H10,'04_PSA_INPUTS'!I10)</f>
        <v>#NAME?</v>
      </c>
      <c r="H834" s="23" t="e">
        <f ca="1">_xludf.BETA.INV(X834,'04_PSA_INPUTS'!H11,'04_PSA_INPUTS'!I11)</f>
        <v>#NAME?</v>
      </c>
      <c r="I834" s="27" t="e">
        <f ca="1">D834+B834*F834+'01_INPUTS'!B20</f>
        <v>#NAME?</v>
      </c>
      <c r="J834" s="27" t="e">
        <f ca="1">E834+C834*F834+'01_INPUTS'!B21</f>
        <v>#NAME?</v>
      </c>
      <c r="K834" s="27" t="e">
        <f t="shared" ref="K834:K897" ca="1" si="78">I834-J834</f>
        <v>#NAME?</v>
      </c>
      <c r="L834" s="23" t="e">
        <f t="shared" ref="L834:L897" ca="1" si="79">G834-B834*H834</f>
        <v>#NAME?</v>
      </c>
      <c r="M834" s="23" t="e">
        <f t="shared" ref="M834:M897" ca="1" si="80">G834-C834*H834</f>
        <v>#NAME?</v>
      </c>
      <c r="N834" s="23" t="e">
        <f t="shared" ref="N834:N897" ca="1" si="81">L834-M834</f>
        <v>#NAME?</v>
      </c>
      <c r="O834" s="27" t="e">
        <f t="shared" ref="O834:O897" ca="1" si="82">IF(N834=0,"",K834/N834)</f>
        <v>#NAME?</v>
      </c>
      <c r="P834" s="27" t="e">
        <f ca="1">'01_INPUTS'!B9*N834-K834</f>
        <v>#NAME?</v>
      </c>
      <c r="Q834" s="1" t="e">
        <f t="shared" ref="Q834:Q897" ca="1" si="83">IF(P834&gt;0,1,0)</f>
        <v>#NAME?</v>
      </c>
      <c r="R834" s="28">
        <v>0.20128877856768668</v>
      </c>
      <c r="S834" s="28">
        <v>0.29581799381412566</v>
      </c>
      <c r="T834" s="28">
        <v>0.39094819687306881</v>
      </c>
      <c r="U834" s="28">
        <v>0.5468053633812815</v>
      </c>
      <c r="V834" s="28">
        <v>0.53340440941974521</v>
      </c>
      <c r="W834" s="28">
        <v>0.63041692739352584</v>
      </c>
      <c r="X834" s="28">
        <v>0.65480835223570466</v>
      </c>
    </row>
    <row r="835" spans="1:24" ht="13.9">
      <c r="A835" s="1">
        <v>834</v>
      </c>
      <c r="B835" s="23" t="e">
        <f ca="1">_xludf.BETA.INV(R835,'04_PSA_INPUTS'!H5,'04_PSA_INPUTS'!I5)</f>
        <v>#NAME?</v>
      </c>
      <c r="C835" s="23" t="e">
        <f ca="1">_xludf.BETA.INV(S835,'04_PSA_INPUTS'!H6,'04_PSA_INPUTS'!I6)</f>
        <v>#NAME?</v>
      </c>
      <c r="D835" s="27" t="e">
        <f ca="1">_xludf.GAMMA.INV(T835,'04_PSA_INPUTS'!H7,'04_PSA_INPUTS'!I7)</f>
        <v>#NAME?</v>
      </c>
      <c r="E835" s="27" t="e">
        <f ca="1">_xludf.GAMMA.INV(U835,'04_PSA_INPUTS'!H8,'04_PSA_INPUTS'!I8)</f>
        <v>#NAME?</v>
      </c>
      <c r="F835" s="27" t="e">
        <f ca="1">_xludf.GAMMA.INV(V835,'04_PSA_INPUTS'!H9,'04_PSA_INPUTS'!I9)</f>
        <v>#NAME?</v>
      </c>
      <c r="G835" s="23" t="e">
        <f ca="1">_xludf.BETA.INV(W835,'04_PSA_INPUTS'!H10,'04_PSA_INPUTS'!I10)</f>
        <v>#NAME?</v>
      </c>
      <c r="H835" s="23" t="e">
        <f ca="1">_xludf.BETA.INV(X835,'04_PSA_INPUTS'!H11,'04_PSA_INPUTS'!I11)</f>
        <v>#NAME?</v>
      </c>
      <c r="I835" s="27" t="e">
        <f ca="1">D835+B835*F835+'01_INPUTS'!B20</f>
        <v>#NAME?</v>
      </c>
      <c r="J835" s="27" t="e">
        <f ca="1">E835+C835*F835+'01_INPUTS'!B21</f>
        <v>#NAME?</v>
      </c>
      <c r="K835" s="27" t="e">
        <f t="shared" ca="1" si="78"/>
        <v>#NAME?</v>
      </c>
      <c r="L835" s="23" t="e">
        <f t="shared" ca="1" si="79"/>
        <v>#NAME?</v>
      </c>
      <c r="M835" s="23" t="e">
        <f t="shared" ca="1" si="80"/>
        <v>#NAME?</v>
      </c>
      <c r="N835" s="23" t="e">
        <f t="shared" ca="1" si="81"/>
        <v>#NAME?</v>
      </c>
      <c r="O835" s="27" t="e">
        <f t="shared" ca="1" si="82"/>
        <v>#NAME?</v>
      </c>
      <c r="P835" s="27" t="e">
        <f ca="1">'01_INPUTS'!B9*N835-K835</f>
        <v>#NAME?</v>
      </c>
      <c r="Q835" s="1" t="e">
        <f t="shared" ca="1" si="83"/>
        <v>#NAME?</v>
      </c>
      <c r="R835" s="28">
        <v>0.2440825633239001</v>
      </c>
      <c r="S835" s="28">
        <v>0.62578359339386225</v>
      </c>
      <c r="T835" s="28">
        <v>0.44914107723161578</v>
      </c>
      <c r="U835" s="28">
        <v>0.63227640162222087</v>
      </c>
      <c r="V835" s="28">
        <v>0.25009803799912333</v>
      </c>
      <c r="W835" s="28">
        <v>0.51784518989734352</v>
      </c>
      <c r="X835" s="28">
        <v>0.89378849719651043</v>
      </c>
    </row>
    <row r="836" spans="1:24" ht="13.9">
      <c r="A836" s="1">
        <v>835</v>
      </c>
      <c r="B836" s="23" t="e">
        <f ca="1">_xludf.BETA.INV(R836,'04_PSA_INPUTS'!H5,'04_PSA_INPUTS'!I5)</f>
        <v>#NAME?</v>
      </c>
      <c r="C836" s="23" t="e">
        <f ca="1">_xludf.BETA.INV(S836,'04_PSA_INPUTS'!H6,'04_PSA_INPUTS'!I6)</f>
        <v>#NAME?</v>
      </c>
      <c r="D836" s="27" t="e">
        <f ca="1">_xludf.GAMMA.INV(T836,'04_PSA_INPUTS'!H7,'04_PSA_INPUTS'!I7)</f>
        <v>#NAME?</v>
      </c>
      <c r="E836" s="27" t="e">
        <f ca="1">_xludf.GAMMA.INV(U836,'04_PSA_INPUTS'!H8,'04_PSA_INPUTS'!I8)</f>
        <v>#NAME?</v>
      </c>
      <c r="F836" s="27" t="e">
        <f ca="1">_xludf.GAMMA.INV(V836,'04_PSA_INPUTS'!H9,'04_PSA_INPUTS'!I9)</f>
        <v>#NAME?</v>
      </c>
      <c r="G836" s="23" t="e">
        <f ca="1">_xludf.BETA.INV(W836,'04_PSA_INPUTS'!H10,'04_PSA_INPUTS'!I10)</f>
        <v>#NAME?</v>
      </c>
      <c r="H836" s="23" t="e">
        <f ca="1">_xludf.BETA.INV(X836,'04_PSA_INPUTS'!H11,'04_PSA_INPUTS'!I11)</f>
        <v>#NAME?</v>
      </c>
      <c r="I836" s="27" t="e">
        <f ca="1">D836+B836*F836+'01_INPUTS'!B20</f>
        <v>#NAME?</v>
      </c>
      <c r="J836" s="27" t="e">
        <f ca="1">E836+C836*F836+'01_INPUTS'!B21</f>
        <v>#NAME?</v>
      </c>
      <c r="K836" s="27" t="e">
        <f t="shared" ca="1" si="78"/>
        <v>#NAME?</v>
      </c>
      <c r="L836" s="23" t="e">
        <f t="shared" ca="1" si="79"/>
        <v>#NAME?</v>
      </c>
      <c r="M836" s="23" t="e">
        <f t="shared" ca="1" si="80"/>
        <v>#NAME?</v>
      </c>
      <c r="N836" s="23" t="e">
        <f t="shared" ca="1" si="81"/>
        <v>#NAME?</v>
      </c>
      <c r="O836" s="27" t="e">
        <f t="shared" ca="1" si="82"/>
        <v>#NAME?</v>
      </c>
      <c r="P836" s="27" t="e">
        <f ca="1">'01_INPUTS'!B9*N836-K836</f>
        <v>#NAME?</v>
      </c>
      <c r="Q836" s="1" t="e">
        <f t="shared" ca="1" si="83"/>
        <v>#NAME?</v>
      </c>
      <c r="R836" s="28">
        <v>0.98080091481097043</v>
      </c>
      <c r="S836" s="28">
        <v>0.82199266506358981</v>
      </c>
      <c r="T836" s="28">
        <v>0.58473866200074553</v>
      </c>
      <c r="U836" s="28">
        <v>0.38018608838319778</v>
      </c>
      <c r="V836" s="28">
        <v>0.86559573956765234</v>
      </c>
      <c r="W836" s="28">
        <v>0.10581848351284862</v>
      </c>
      <c r="X836" s="28">
        <v>0.45163057814352214</v>
      </c>
    </row>
    <row r="837" spans="1:24" ht="13.9">
      <c r="A837" s="1">
        <v>836</v>
      </c>
      <c r="B837" s="23" t="e">
        <f ca="1">_xludf.BETA.INV(R837,'04_PSA_INPUTS'!H5,'04_PSA_INPUTS'!I5)</f>
        <v>#NAME?</v>
      </c>
      <c r="C837" s="23" t="e">
        <f ca="1">_xludf.BETA.INV(S837,'04_PSA_INPUTS'!H6,'04_PSA_INPUTS'!I6)</f>
        <v>#NAME?</v>
      </c>
      <c r="D837" s="27" t="e">
        <f ca="1">_xludf.GAMMA.INV(T837,'04_PSA_INPUTS'!H7,'04_PSA_INPUTS'!I7)</f>
        <v>#NAME?</v>
      </c>
      <c r="E837" s="27" t="e">
        <f ca="1">_xludf.GAMMA.INV(U837,'04_PSA_INPUTS'!H8,'04_PSA_INPUTS'!I8)</f>
        <v>#NAME?</v>
      </c>
      <c r="F837" s="27" t="e">
        <f ca="1">_xludf.GAMMA.INV(V837,'04_PSA_INPUTS'!H9,'04_PSA_INPUTS'!I9)</f>
        <v>#NAME?</v>
      </c>
      <c r="G837" s="23" t="e">
        <f ca="1">_xludf.BETA.INV(W837,'04_PSA_INPUTS'!H10,'04_PSA_INPUTS'!I10)</f>
        <v>#NAME?</v>
      </c>
      <c r="H837" s="23" t="e">
        <f ca="1">_xludf.BETA.INV(X837,'04_PSA_INPUTS'!H11,'04_PSA_INPUTS'!I11)</f>
        <v>#NAME?</v>
      </c>
      <c r="I837" s="27" t="e">
        <f ca="1">D837+B837*F837+'01_INPUTS'!B20</f>
        <v>#NAME?</v>
      </c>
      <c r="J837" s="27" t="e">
        <f ca="1">E837+C837*F837+'01_INPUTS'!B21</f>
        <v>#NAME?</v>
      </c>
      <c r="K837" s="27" t="e">
        <f t="shared" ca="1" si="78"/>
        <v>#NAME?</v>
      </c>
      <c r="L837" s="23" t="e">
        <f t="shared" ca="1" si="79"/>
        <v>#NAME?</v>
      </c>
      <c r="M837" s="23" t="e">
        <f t="shared" ca="1" si="80"/>
        <v>#NAME?</v>
      </c>
      <c r="N837" s="23" t="e">
        <f t="shared" ca="1" si="81"/>
        <v>#NAME?</v>
      </c>
      <c r="O837" s="27" t="e">
        <f t="shared" ca="1" si="82"/>
        <v>#NAME?</v>
      </c>
      <c r="P837" s="27" t="e">
        <f ca="1">'01_INPUTS'!B9*N837-K837</f>
        <v>#NAME?</v>
      </c>
      <c r="Q837" s="1" t="e">
        <f t="shared" ca="1" si="83"/>
        <v>#NAME?</v>
      </c>
      <c r="R837" s="28">
        <v>0.84728272608481348</v>
      </c>
      <c r="S837" s="28">
        <v>0.349814856890589</v>
      </c>
      <c r="T837" s="28">
        <v>6.1872708611190319E-3</v>
      </c>
      <c r="U837" s="28">
        <v>0.72451831120997667</v>
      </c>
      <c r="V837" s="28">
        <v>0.41451672231778502</v>
      </c>
      <c r="W837" s="28">
        <v>0.25569973909296095</v>
      </c>
      <c r="X837" s="28">
        <v>0.92067496036179364</v>
      </c>
    </row>
    <row r="838" spans="1:24" ht="13.9">
      <c r="A838" s="1">
        <v>837</v>
      </c>
      <c r="B838" s="23" t="e">
        <f ca="1">_xludf.BETA.INV(R838,'04_PSA_INPUTS'!H5,'04_PSA_INPUTS'!I5)</f>
        <v>#NAME?</v>
      </c>
      <c r="C838" s="23" t="e">
        <f ca="1">_xludf.BETA.INV(S838,'04_PSA_INPUTS'!H6,'04_PSA_INPUTS'!I6)</f>
        <v>#NAME?</v>
      </c>
      <c r="D838" s="27" t="e">
        <f ca="1">_xludf.GAMMA.INV(T838,'04_PSA_INPUTS'!H7,'04_PSA_INPUTS'!I7)</f>
        <v>#NAME?</v>
      </c>
      <c r="E838" s="27" t="e">
        <f ca="1">_xludf.GAMMA.INV(U838,'04_PSA_INPUTS'!H8,'04_PSA_INPUTS'!I8)</f>
        <v>#NAME?</v>
      </c>
      <c r="F838" s="27" t="e">
        <f ca="1">_xludf.GAMMA.INV(V838,'04_PSA_INPUTS'!H9,'04_PSA_INPUTS'!I9)</f>
        <v>#NAME?</v>
      </c>
      <c r="G838" s="23" t="e">
        <f ca="1">_xludf.BETA.INV(W838,'04_PSA_INPUTS'!H10,'04_PSA_INPUTS'!I10)</f>
        <v>#NAME?</v>
      </c>
      <c r="H838" s="23" t="e">
        <f ca="1">_xludf.BETA.INV(X838,'04_PSA_INPUTS'!H11,'04_PSA_INPUTS'!I11)</f>
        <v>#NAME?</v>
      </c>
      <c r="I838" s="27" t="e">
        <f ca="1">D838+B838*F838+'01_INPUTS'!B20</f>
        <v>#NAME?</v>
      </c>
      <c r="J838" s="27" t="e">
        <f ca="1">E838+C838*F838+'01_INPUTS'!B21</f>
        <v>#NAME?</v>
      </c>
      <c r="K838" s="27" t="e">
        <f t="shared" ca="1" si="78"/>
        <v>#NAME?</v>
      </c>
      <c r="L838" s="23" t="e">
        <f t="shared" ca="1" si="79"/>
        <v>#NAME?</v>
      </c>
      <c r="M838" s="23" t="e">
        <f t="shared" ca="1" si="80"/>
        <v>#NAME?</v>
      </c>
      <c r="N838" s="23" t="e">
        <f t="shared" ca="1" si="81"/>
        <v>#NAME?</v>
      </c>
      <c r="O838" s="27" t="e">
        <f t="shared" ca="1" si="82"/>
        <v>#NAME?</v>
      </c>
      <c r="P838" s="27" t="e">
        <f ca="1">'01_INPUTS'!B9*N838-K838</f>
        <v>#NAME?</v>
      </c>
      <c r="Q838" s="1" t="e">
        <f t="shared" ca="1" si="83"/>
        <v>#NAME?</v>
      </c>
      <c r="R838" s="28">
        <v>0.22652266337536275</v>
      </c>
      <c r="S838" s="28">
        <v>0.27811288554221392</v>
      </c>
      <c r="T838" s="28">
        <v>0.82769202580675483</v>
      </c>
      <c r="U838" s="28">
        <v>0.21279358142055571</v>
      </c>
      <c r="V838" s="28">
        <v>0.69328331272117794</v>
      </c>
      <c r="W838" s="28">
        <v>0.1832578694447875</v>
      </c>
      <c r="X838" s="28">
        <v>0.36460238532163203</v>
      </c>
    </row>
    <row r="839" spans="1:24" ht="13.9">
      <c r="A839" s="1">
        <v>838</v>
      </c>
      <c r="B839" s="23" t="e">
        <f ca="1">_xludf.BETA.INV(R839,'04_PSA_INPUTS'!H5,'04_PSA_INPUTS'!I5)</f>
        <v>#NAME?</v>
      </c>
      <c r="C839" s="23" t="e">
        <f ca="1">_xludf.BETA.INV(S839,'04_PSA_INPUTS'!H6,'04_PSA_INPUTS'!I6)</f>
        <v>#NAME?</v>
      </c>
      <c r="D839" s="27" t="e">
        <f ca="1">_xludf.GAMMA.INV(T839,'04_PSA_INPUTS'!H7,'04_PSA_INPUTS'!I7)</f>
        <v>#NAME?</v>
      </c>
      <c r="E839" s="27" t="e">
        <f ca="1">_xludf.GAMMA.INV(U839,'04_PSA_INPUTS'!H8,'04_PSA_INPUTS'!I8)</f>
        <v>#NAME?</v>
      </c>
      <c r="F839" s="27" t="e">
        <f ca="1">_xludf.GAMMA.INV(V839,'04_PSA_INPUTS'!H9,'04_PSA_INPUTS'!I9)</f>
        <v>#NAME?</v>
      </c>
      <c r="G839" s="23" t="e">
        <f ca="1">_xludf.BETA.INV(W839,'04_PSA_INPUTS'!H10,'04_PSA_INPUTS'!I10)</f>
        <v>#NAME?</v>
      </c>
      <c r="H839" s="23" t="e">
        <f ca="1">_xludf.BETA.INV(X839,'04_PSA_INPUTS'!H11,'04_PSA_INPUTS'!I11)</f>
        <v>#NAME?</v>
      </c>
      <c r="I839" s="27" t="e">
        <f ca="1">D839+B839*F839+'01_INPUTS'!B20</f>
        <v>#NAME?</v>
      </c>
      <c r="J839" s="27" t="e">
        <f ca="1">E839+C839*F839+'01_INPUTS'!B21</f>
        <v>#NAME?</v>
      </c>
      <c r="K839" s="27" t="e">
        <f t="shared" ca="1" si="78"/>
        <v>#NAME?</v>
      </c>
      <c r="L839" s="23" t="e">
        <f t="shared" ca="1" si="79"/>
        <v>#NAME?</v>
      </c>
      <c r="M839" s="23" t="e">
        <f t="shared" ca="1" si="80"/>
        <v>#NAME?</v>
      </c>
      <c r="N839" s="23" t="e">
        <f t="shared" ca="1" si="81"/>
        <v>#NAME?</v>
      </c>
      <c r="O839" s="27" t="e">
        <f t="shared" ca="1" si="82"/>
        <v>#NAME?</v>
      </c>
      <c r="P839" s="27" t="e">
        <f ca="1">'01_INPUTS'!B9*N839-K839</f>
        <v>#NAME?</v>
      </c>
      <c r="Q839" s="1" t="e">
        <f t="shared" ca="1" si="83"/>
        <v>#NAME?</v>
      </c>
      <c r="R839" s="28">
        <v>0.2555543608032167</v>
      </c>
      <c r="S839" s="28">
        <v>0.21903542475774884</v>
      </c>
      <c r="T839" s="28">
        <v>0.12853889726102352</v>
      </c>
      <c r="U839" s="28">
        <v>0.76067686779424548</v>
      </c>
      <c r="V839" s="28">
        <v>0.48439920577220619</v>
      </c>
      <c r="W839" s="28">
        <v>0.7472502167802304</v>
      </c>
      <c r="X839" s="28">
        <v>0.38942525070160627</v>
      </c>
    </row>
    <row r="840" spans="1:24" ht="13.9">
      <c r="A840" s="1">
        <v>839</v>
      </c>
      <c r="B840" s="23" t="e">
        <f ca="1">_xludf.BETA.INV(R840,'04_PSA_INPUTS'!H5,'04_PSA_INPUTS'!I5)</f>
        <v>#NAME?</v>
      </c>
      <c r="C840" s="23" t="e">
        <f ca="1">_xludf.BETA.INV(S840,'04_PSA_INPUTS'!H6,'04_PSA_INPUTS'!I6)</f>
        <v>#NAME?</v>
      </c>
      <c r="D840" s="27" t="e">
        <f ca="1">_xludf.GAMMA.INV(T840,'04_PSA_INPUTS'!H7,'04_PSA_INPUTS'!I7)</f>
        <v>#NAME?</v>
      </c>
      <c r="E840" s="27" t="e">
        <f ca="1">_xludf.GAMMA.INV(U840,'04_PSA_INPUTS'!H8,'04_PSA_INPUTS'!I8)</f>
        <v>#NAME?</v>
      </c>
      <c r="F840" s="27" t="e">
        <f ca="1">_xludf.GAMMA.INV(V840,'04_PSA_INPUTS'!H9,'04_PSA_INPUTS'!I9)</f>
        <v>#NAME?</v>
      </c>
      <c r="G840" s="23" t="e">
        <f ca="1">_xludf.BETA.INV(W840,'04_PSA_INPUTS'!H10,'04_PSA_INPUTS'!I10)</f>
        <v>#NAME?</v>
      </c>
      <c r="H840" s="23" t="e">
        <f ca="1">_xludf.BETA.INV(X840,'04_PSA_INPUTS'!H11,'04_PSA_INPUTS'!I11)</f>
        <v>#NAME?</v>
      </c>
      <c r="I840" s="27" t="e">
        <f ca="1">D840+B840*F840+'01_INPUTS'!B20</f>
        <v>#NAME?</v>
      </c>
      <c r="J840" s="27" t="e">
        <f ca="1">E840+C840*F840+'01_INPUTS'!B21</f>
        <v>#NAME?</v>
      </c>
      <c r="K840" s="27" t="e">
        <f t="shared" ca="1" si="78"/>
        <v>#NAME?</v>
      </c>
      <c r="L840" s="23" t="e">
        <f t="shared" ca="1" si="79"/>
        <v>#NAME?</v>
      </c>
      <c r="M840" s="23" t="e">
        <f t="shared" ca="1" si="80"/>
        <v>#NAME?</v>
      </c>
      <c r="N840" s="23" t="e">
        <f t="shared" ca="1" si="81"/>
        <v>#NAME?</v>
      </c>
      <c r="O840" s="27" t="e">
        <f t="shared" ca="1" si="82"/>
        <v>#NAME?</v>
      </c>
      <c r="P840" s="27" t="e">
        <f ca="1">'01_INPUTS'!B9*N840-K840</f>
        <v>#NAME?</v>
      </c>
      <c r="Q840" s="1" t="e">
        <f t="shared" ca="1" si="83"/>
        <v>#NAME?</v>
      </c>
      <c r="R840" s="28">
        <v>0.98280034470371902</v>
      </c>
      <c r="S840" s="28">
        <v>0.17095894436351955</v>
      </c>
      <c r="T840" s="28">
        <v>0.37661006511189044</v>
      </c>
      <c r="U840" s="28">
        <v>0.91814025305211544</v>
      </c>
      <c r="V840" s="28">
        <v>0.43597568152472377</v>
      </c>
      <c r="W840" s="28">
        <v>0.93939424143172801</v>
      </c>
      <c r="X840" s="28">
        <v>0.25647085253149271</v>
      </c>
    </row>
    <row r="841" spans="1:24" ht="13.9">
      <c r="A841" s="1">
        <v>840</v>
      </c>
      <c r="B841" s="23" t="e">
        <f ca="1">_xludf.BETA.INV(R841,'04_PSA_INPUTS'!H5,'04_PSA_INPUTS'!I5)</f>
        <v>#NAME?</v>
      </c>
      <c r="C841" s="23" t="e">
        <f ca="1">_xludf.BETA.INV(S841,'04_PSA_INPUTS'!H6,'04_PSA_INPUTS'!I6)</f>
        <v>#NAME?</v>
      </c>
      <c r="D841" s="27" t="e">
        <f ca="1">_xludf.GAMMA.INV(T841,'04_PSA_INPUTS'!H7,'04_PSA_INPUTS'!I7)</f>
        <v>#NAME?</v>
      </c>
      <c r="E841" s="27" t="e">
        <f ca="1">_xludf.GAMMA.INV(U841,'04_PSA_INPUTS'!H8,'04_PSA_INPUTS'!I8)</f>
        <v>#NAME?</v>
      </c>
      <c r="F841" s="27" t="e">
        <f ca="1">_xludf.GAMMA.INV(V841,'04_PSA_INPUTS'!H9,'04_PSA_INPUTS'!I9)</f>
        <v>#NAME?</v>
      </c>
      <c r="G841" s="23" t="e">
        <f ca="1">_xludf.BETA.INV(W841,'04_PSA_INPUTS'!H10,'04_PSA_INPUTS'!I10)</f>
        <v>#NAME?</v>
      </c>
      <c r="H841" s="23" t="e">
        <f ca="1">_xludf.BETA.INV(X841,'04_PSA_INPUTS'!H11,'04_PSA_INPUTS'!I11)</f>
        <v>#NAME?</v>
      </c>
      <c r="I841" s="27" t="e">
        <f ca="1">D841+B841*F841+'01_INPUTS'!B20</f>
        <v>#NAME?</v>
      </c>
      <c r="J841" s="27" t="e">
        <f ca="1">E841+C841*F841+'01_INPUTS'!B21</f>
        <v>#NAME?</v>
      </c>
      <c r="K841" s="27" t="e">
        <f t="shared" ca="1" si="78"/>
        <v>#NAME?</v>
      </c>
      <c r="L841" s="23" t="e">
        <f t="shared" ca="1" si="79"/>
        <v>#NAME?</v>
      </c>
      <c r="M841" s="23" t="e">
        <f t="shared" ca="1" si="80"/>
        <v>#NAME?</v>
      </c>
      <c r="N841" s="23" t="e">
        <f t="shared" ca="1" si="81"/>
        <v>#NAME?</v>
      </c>
      <c r="O841" s="27" t="e">
        <f t="shared" ca="1" si="82"/>
        <v>#NAME?</v>
      </c>
      <c r="P841" s="27" t="e">
        <f ca="1">'01_INPUTS'!B9*N841-K841</f>
        <v>#NAME?</v>
      </c>
      <c r="Q841" s="1" t="e">
        <f t="shared" ca="1" si="83"/>
        <v>#NAME?</v>
      </c>
      <c r="R841" s="28">
        <v>0.83588653360493481</v>
      </c>
      <c r="S841" s="28">
        <v>0.75866442499682307</v>
      </c>
      <c r="T841" s="28">
        <v>0.86589795374311507</v>
      </c>
      <c r="U841" s="28">
        <v>0.18405217654071748</v>
      </c>
      <c r="V841" s="28">
        <v>0.11123198503628373</v>
      </c>
      <c r="W841" s="28">
        <v>0.86711537255905569</v>
      </c>
      <c r="X841" s="28">
        <v>0.81034824554808438</v>
      </c>
    </row>
    <row r="842" spans="1:24" ht="13.9">
      <c r="A842" s="1">
        <v>841</v>
      </c>
      <c r="B842" s="23" t="e">
        <f ca="1">_xludf.BETA.INV(R842,'04_PSA_INPUTS'!H5,'04_PSA_INPUTS'!I5)</f>
        <v>#NAME?</v>
      </c>
      <c r="C842" s="23" t="e">
        <f ca="1">_xludf.BETA.INV(S842,'04_PSA_INPUTS'!H6,'04_PSA_INPUTS'!I6)</f>
        <v>#NAME?</v>
      </c>
      <c r="D842" s="27" t="e">
        <f ca="1">_xludf.GAMMA.INV(T842,'04_PSA_INPUTS'!H7,'04_PSA_INPUTS'!I7)</f>
        <v>#NAME?</v>
      </c>
      <c r="E842" s="27" t="e">
        <f ca="1">_xludf.GAMMA.INV(U842,'04_PSA_INPUTS'!H8,'04_PSA_INPUTS'!I8)</f>
        <v>#NAME?</v>
      </c>
      <c r="F842" s="27" t="e">
        <f ca="1">_xludf.GAMMA.INV(V842,'04_PSA_INPUTS'!H9,'04_PSA_INPUTS'!I9)</f>
        <v>#NAME?</v>
      </c>
      <c r="G842" s="23" t="e">
        <f ca="1">_xludf.BETA.INV(W842,'04_PSA_INPUTS'!H10,'04_PSA_INPUTS'!I10)</f>
        <v>#NAME?</v>
      </c>
      <c r="H842" s="23" t="e">
        <f ca="1">_xludf.BETA.INV(X842,'04_PSA_INPUTS'!H11,'04_PSA_INPUTS'!I11)</f>
        <v>#NAME?</v>
      </c>
      <c r="I842" s="27" t="e">
        <f ca="1">D842+B842*F842+'01_INPUTS'!B20</f>
        <v>#NAME?</v>
      </c>
      <c r="J842" s="27" t="e">
        <f ca="1">E842+C842*F842+'01_INPUTS'!B21</f>
        <v>#NAME?</v>
      </c>
      <c r="K842" s="27" t="e">
        <f t="shared" ca="1" si="78"/>
        <v>#NAME?</v>
      </c>
      <c r="L842" s="23" t="e">
        <f t="shared" ca="1" si="79"/>
        <v>#NAME?</v>
      </c>
      <c r="M842" s="23" t="e">
        <f t="shared" ca="1" si="80"/>
        <v>#NAME?</v>
      </c>
      <c r="N842" s="23" t="e">
        <f t="shared" ca="1" si="81"/>
        <v>#NAME?</v>
      </c>
      <c r="O842" s="27" t="e">
        <f t="shared" ca="1" si="82"/>
        <v>#NAME?</v>
      </c>
      <c r="P842" s="27" t="e">
        <f ca="1">'01_INPUTS'!B9*N842-K842</f>
        <v>#NAME?</v>
      </c>
      <c r="Q842" s="1" t="e">
        <f t="shared" ca="1" si="83"/>
        <v>#NAME?</v>
      </c>
      <c r="R842" s="28">
        <v>0.37778505799360573</v>
      </c>
      <c r="S842" s="28">
        <v>0.29762789630331099</v>
      </c>
      <c r="T842" s="28">
        <v>0.57446340657770634</v>
      </c>
      <c r="U842" s="28">
        <v>0.52072763512842357</v>
      </c>
      <c r="V842" s="28">
        <v>5.7542029535397887E-2</v>
      </c>
      <c r="W842" s="28">
        <v>0.20793647668324411</v>
      </c>
      <c r="X842" s="28">
        <v>0.39103076606988907</v>
      </c>
    </row>
    <row r="843" spans="1:24" ht="13.9">
      <c r="A843" s="1">
        <v>842</v>
      </c>
      <c r="B843" s="23" t="e">
        <f ca="1">_xludf.BETA.INV(R843,'04_PSA_INPUTS'!H5,'04_PSA_INPUTS'!I5)</f>
        <v>#NAME?</v>
      </c>
      <c r="C843" s="23" t="e">
        <f ca="1">_xludf.BETA.INV(S843,'04_PSA_INPUTS'!H6,'04_PSA_INPUTS'!I6)</f>
        <v>#NAME?</v>
      </c>
      <c r="D843" s="27" t="e">
        <f ca="1">_xludf.GAMMA.INV(T843,'04_PSA_INPUTS'!H7,'04_PSA_INPUTS'!I7)</f>
        <v>#NAME?</v>
      </c>
      <c r="E843" s="27" t="e">
        <f ca="1">_xludf.GAMMA.INV(U843,'04_PSA_INPUTS'!H8,'04_PSA_INPUTS'!I8)</f>
        <v>#NAME?</v>
      </c>
      <c r="F843" s="27" t="e">
        <f ca="1">_xludf.GAMMA.INV(V843,'04_PSA_INPUTS'!H9,'04_PSA_INPUTS'!I9)</f>
        <v>#NAME?</v>
      </c>
      <c r="G843" s="23" t="e">
        <f ca="1">_xludf.BETA.INV(W843,'04_PSA_INPUTS'!H10,'04_PSA_INPUTS'!I10)</f>
        <v>#NAME?</v>
      </c>
      <c r="H843" s="23" t="e">
        <f ca="1">_xludf.BETA.INV(X843,'04_PSA_INPUTS'!H11,'04_PSA_INPUTS'!I11)</f>
        <v>#NAME?</v>
      </c>
      <c r="I843" s="27" t="e">
        <f ca="1">D843+B843*F843+'01_INPUTS'!B20</f>
        <v>#NAME?</v>
      </c>
      <c r="J843" s="27" t="e">
        <f ca="1">E843+C843*F843+'01_INPUTS'!B21</f>
        <v>#NAME?</v>
      </c>
      <c r="K843" s="27" t="e">
        <f t="shared" ca="1" si="78"/>
        <v>#NAME?</v>
      </c>
      <c r="L843" s="23" t="e">
        <f t="shared" ca="1" si="79"/>
        <v>#NAME?</v>
      </c>
      <c r="M843" s="23" t="e">
        <f t="shared" ca="1" si="80"/>
        <v>#NAME?</v>
      </c>
      <c r="N843" s="23" t="e">
        <f t="shared" ca="1" si="81"/>
        <v>#NAME?</v>
      </c>
      <c r="O843" s="27" t="e">
        <f t="shared" ca="1" si="82"/>
        <v>#NAME?</v>
      </c>
      <c r="P843" s="27" t="e">
        <f ca="1">'01_INPUTS'!B9*N843-K843</f>
        <v>#NAME?</v>
      </c>
      <c r="Q843" s="1" t="e">
        <f t="shared" ca="1" si="83"/>
        <v>#NAME?</v>
      </c>
      <c r="R843" s="28">
        <v>0.53286812291480601</v>
      </c>
      <c r="S843" s="28">
        <v>0.53723690612241626</v>
      </c>
      <c r="T843" s="28">
        <v>0.37059614388272166</v>
      </c>
      <c r="U843" s="28">
        <v>0.72672088444232941</v>
      </c>
      <c r="V843" s="28">
        <v>0.78630310553126037</v>
      </c>
      <c r="W843" s="28">
        <v>0.34244465338997543</v>
      </c>
      <c r="X843" s="28">
        <v>0.40949012339115143</v>
      </c>
    </row>
    <row r="844" spans="1:24" ht="13.9">
      <c r="A844" s="1">
        <v>843</v>
      </c>
      <c r="B844" s="23" t="e">
        <f ca="1">_xludf.BETA.INV(R844,'04_PSA_INPUTS'!H5,'04_PSA_INPUTS'!I5)</f>
        <v>#NAME?</v>
      </c>
      <c r="C844" s="23" t="e">
        <f ca="1">_xludf.BETA.INV(S844,'04_PSA_INPUTS'!H6,'04_PSA_INPUTS'!I6)</f>
        <v>#NAME?</v>
      </c>
      <c r="D844" s="27" t="e">
        <f ca="1">_xludf.GAMMA.INV(T844,'04_PSA_INPUTS'!H7,'04_PSA_INPUTS'!I7)</f>
        <v>#NAME?</v>
      </c>
      <c r="E844" s="27" t="e">
        <f ca="1">_xludf.GAMMA.INV(U844,'04_PSA_INPUTS'!H8,'04_PSA_INPUTS'!I8)</f>
        <v>#NAME?</v>
      </c>
      <c r="F844" s="27" t="e">
        <f ca="1">_xludf.GAMMA.INV(V844,'04_PSA_INPUTS'!H9,'04_PSA_INPUTS'!I9)</f>
        <v>#NAME?</v>
      </c>
      <c r="G844" s="23" t="e">
        <f ca="1">_xludf.BETA.INV(W844,'04_PSA_INPUTS'!H10,'04_PSA_INPUTS'!I10)</f>
        <v>#NAME?</v>
      </c>
      <c r="H844" s="23" t="e">
        <f ca="1">_xludf.BETA.INV(X844,'04_PSA_INPUTS'!H11,'04_PSA_INPUTS'!I11)</f>
        <v>#NAME?</v>
      </c>
      <c r="I844" s="27" t="e">
        <f ca="1">D844+B844*F844+'01_INPUTS'!B20</f>
        <v>#NAME?</v>
      </c>
      <c r="J844" s="27" t="e">
        <f ca="1">E844+C844*F844+'01_INPUTS'!B21</f>
        <v>#NAME?</v>
      </c>
      <c r="K844" s="27" t="e">
        <f t="shared" ca="1" si="78"/>
        <v>#NAME?</v>
      </c>
      <c r="L844" s="23" t="e">
        <f t="shared" ca="1" si="79"/>
        <v>#NAME?</v>
      </c>
      <c r="M844" s="23" t="e">
        <f t="shared" ca="1" si="80"/>
        <v>#NAME?</v>
      </c>
      <c r="N844" s="23" t="e">
        <f t="shared" ca="1" si="81"/>
        <v>#NAME?</v>
      </c>
      <c r="O844" s="27" t="e">
        <f t="shared" ca="1" si="82"/>
        <v>#NAME?</v>
      </c>
      <c r="P844" s="27" t="e">
        <f ca="1">'01_INPUTS'!B9*N844-K844</f>
        <v>#NAME?</v>
      </c>
      <c r="Q844" s="1" t="e">
        <f t="shared" ca="1" si="83"/>
        <v>#NAME?</v>
      </c>
      <c r="R844" s="28">
        <v>5.4540112614631653E-5</v>
      </c>
      <c r="S844" s="28">
        <v>0.81122061796486378</v>
      </c>
      <c r="T844" s="28">
        <v>0.97625118657015264</v>
      </c>
      <c r="U844" s="28">
        <v>0.33028682041913271</v>
      </c>
      <c r="V844" s="28">
        <v>0.6448178025893867</v>
      </c>
      <c r="W844" s="28">
        <v>0.1840508827008307</v>
      </c>
      <c r="X844" s="28">
        <v>0.44340673787519336</v>
      </c>
    </row>
    <row r="845" spans="1:24" ht="13.9">
      <c r="A845" s="1">
        <v>844</v>
      </c>
      <c r="B845" s="23" t="e">
        <f ca="1">_xludf.BETA.INV(R845,'04_PSA_INPUTS'!H5,'04_PSA_INPUTS'!I5)</f>
        <v>#NAME?</v>
      </c>
      <c r="C845" s="23" t="e">
        <f ca="1">_xludf.BETA.INV(S845,'04_PSA_INPUTS'!H6,'04_PSA_INPUTS'!I6)</f>
        <v>#NAME?</v>
      </c>
      <c r="D845" s="27" t="e">
        <f ca="1">_xludf.GAMMA.INV(T845,'04_PSA_INPUTS'!H7,'04_PSA_INPUTS'!I7)</f>
        <v>#NAME?</v>
      </c>
      <c r="E845" s="27" t="e">
        <f ca="1">_xludf.GAMMA.INV(U845,'04_PSA_INPUTS'!H8,'04_PSA_INPUTS'!I8)</f>
        <v>#NAME?</v>
      </c>
      <c r="F845" s="27" t="e">
        <f ca="1">_xludf.GAMMA.INV(V845,'04_PSA_INPUTS'!H9,'04_PSA_INPUTS'!I9)</f>
        <v>#NAME?</v>
      </c>
      <c r="G845" s="23" t="e">
        <f ca="1">_xludf.BETA.INV(W845,'04_PSA_INPUTS'!H10,'04_PSA_INPUTS'!I10)</f>
        <v>#NAME?</v>
      </c>
      <c r="H845" s="23" t="e">
        <f ca="1">_xludf.BETA.INV(X845,'04_PSA_INPUTS'!H11,'04_PSA_INPUTS'!I11)</f>
        <v>#NAME?</v>
      </c>
      <c r="I845" s="27" t="e">
        <f ca="1">D845+B845*F845+'01_INPUTS'!B20</f>
        <v>#NAME?</v>
      </c>
      <c r="J845" s="27" t="e">
        <f ca="1">E845+C845*F845+'01_INPUTS'!B21</f>
        <v>#NAME?</v>
      </c>
      <c r="K845" s="27" t="e">
        <f t="shared" ca="1" si="78"/>
        <v>#NAME?</v>
      </c>
      <c r="L845" s="23" t="e">
        <f t="shared" ca="1" si="79"/>
        <v>#NAME?</v>
      </c>
      <c r="M845" s="23" t="e">
        <f t="shared" ca="1" si="80"/>
        <v>#NAME?</v>
      </c>
      <c r="N845" s="23" t="e">
        <f t="shared" ca="1" si="81"/>
        <v>#NAME?</v>
      </c>
      <c r="O845" s="27" t="e">
        <f t="shared" ca="1" si="82"/>
        <v>#NAME?</v>
      </c>
      <c r="P845" s="27" t="e">
        <f ca="1">'01_INPUTS'!B9*N845-K845</f>
        <v>#NAME?</v>
      </c>
      <c r="Q845" s="1" t="e">
        <f t="shared" ca="1" si="83"/>
        <v>#NAME?</v>
      </c>
      <c r="R845" s="28">
        <v>0.46998305874876678</v>
      </c>
      <c r="S845" s="28">
        <v>0.46770589635707438</v>
      </c>
      <c r="T845" s="28">
        <v>0.92516815615817904</v>
      </c>
      <c r="U845" s="28">
        <v>0.48429422848857939</v>
      </c>
      <c r="V845" s="28">
        <v>0.80820126971229911</v>
      </c>
      <c r="W845" s="28">
        <v>0.48054922861047089</v>
      </c>
      <c r="X845" s="28">
        <v>0.27152227167971432</v>
      </c>
    </row>
    <row r="846" spans="1:24" ht="13.9">
      <c r="A846" s="1">
        <v>845</v>
      </c>
      <c r="B846" s="23" t="e">
        <f ca="1">_xludf.BETA.INV(R846,'04_PSA_INPUTS'!H5,'04_PSA_INPUTS'!I5)</f>
        <v>#NAME?</v>
      </c>
      <c r="C846" s="23" t="e">
        <f ca="1">_xludf.BETA.INV(S846,'04_PSA_INPUTS'!H6,'04_PSA_INPUTS'!I6)</f>
        <v>#NAME?</v>
      </c>
      <c r="D846" s="27" t="e">
        <f ca="1">_xludf.GAMMA.INV(T846,'04_PSA_INPUTS'!H7,'04_PSA_INPUTS'!I7)</f>
        <v>#NAME?</v>
      </c>
      <c r="E846" s="27" t="e">
        <f ca="1">_xludf.GAMMA.INV(U846,'04_PSA_INPUTS'!H8,'04_PSA_INPUTS'!I8)</f>
        <v>#NAME?</v>
      </c>
      <c r="F846" s="27" t="e">
        <f ca="1">_xludf.GAMMA.INV(V846,'04_PSA_INPUTS'!H9,'04_PSA_INPUTS'!I9)</f>
        <v>#NAME?</v>
      </c>
      <c r="G846" s="23" t="e">
        <f ca="1">_xludf.BETA.INV(W846,'04_PSA_INPUTS'!H10,'04_PSA_INPUTS'!I10)</f>
        <v>#NAME?</v>
      </c>
      <c r="H846" s="23" t="e">
        <f ca="1">_xludf.BETA.INV(X846,'04_PSA_INPUTS'!H11,'04_PSA_INPUTS'!I11)</f>
        <v>#NAME?</v>
      </c>
      <c r="I846" s="27" t="e">
        <f ca="1">D846+B846*F846+'01_INPUTS'!B20</f>
        <v>#NAME?</v>
      </c>
      <c r="J846" s="27" t="e">
        <f ca="1">E846+C846*F846+'01_INPUTS'!B21</f>
        <v>#NAME?</v>
      </c>
      <c r="K846" s="27" t="e">
        <f t="shared" ca="1" si="78"/>
        <v>#NAME?</v>
      </c>
      <c r="L846" s="23" t="e">
        <f t="shared" ca="1" si="79"/>
        <v>#NAME?</v>
      </c>
      <c r="M846" s="23" t="e">
        <f t="shared" ca="1" si="80"/>
        <v>#NAME?</v>
      </c>
      <c r="N846" s="23" t="e">
        <f t="shared" ca="1" si="81"/>
        <v>#NAME?</v>
      </c>
      <c r="O846" s="27" t="e">
        <f t="shared" ca="1" si="82"/>
        <v>#NAME?</v>
      </c>
      <c r="P846" s="27" t="e">
        <f ca="1">'01_INPUTS'!B9*N846-K846</f>
        <v>#NAME?</v>
      </c>
      <c r="Q846" s="1" t="e">
        <f t="shared" ca="1" si="83"/>
        <v>#NAME?</v>
      </c>
      <c r="R846" s="28">
        <v>0.64156344649381936</v>
      </c>
      <c r="S846" s="28">
        <v>0.78101216536015272</v>
      </c>
      <c r="T846" s="28">
        <v>0.99130367930047214</v>
      </c>
      <c r="U846" s="28">
        <v>0.68331197649240494</v>
      </c>
      <c r="V846" s="28">
        <v>0.2855374242644757</v>
      </c>
      <c r="W846" s="28">
        <v>8.7967284489423037E-3</v>
      </c>
      <c r="X846" s="28">
        <v>0.84921887866221368</v>
      </c>
    </row>
    <row r="847" spans="1:24" ht="13.9">
      <c r="A847" s="1">
        <v>846</v>
      </c>
      <c r="B847" s="23" t="e">
        <f ca="1">_xludf.BETA.INV(R847,'04_PSA_INPUTS'!H5,'04_PSA_INPUTS'!I5)</f>
        <v>#NAME?</v>
      </c>
      <c r="C847" s="23" t="e">
        <f ca="1">_xludf.BETA.INV(S847,'04_PSA_INPUTS'!H6,'04_PSA_INPUTS'!I6)</f>
        <v>#NAME?</v>
      </c>
      <c r="D847" s="27" t="e">
        <f ca="1">_xludf.GAMMA.INV(T847,'04_PSA_INPUTS'!H7,'04_PSA_INPUTS'!I7)</f>
        <v>#NAME?</v>
      </c>
      <c r="E847" s="27" t="e">
        <f ca="1">_xludf.GAMMA.INV(U847,'04_PSA_INPUTS'!H8,'04_PSA_INPUTS'!I8)</f>
        <v>#NAME?</v>
      </c>
      <c r="F847" s="27" t="e">
        <f ca="1">_xludf.GAMMA.INV(V847,'04_PSA_INPUTS'!H9,'04_PSA_INPUTS'!I9)</f>
        <v>#NAME?</v>
      </c>
      <c r="G847" s="23" t="e">
        <f ca="1">_xludf.BETA.INV(W847,'04_PSA_INPUTS'!H10,'04_PSA_INPUTS'!I10)</f>
        <v>#NAME?</v>
      </c>
      <c r="H847" s="23" t="e">
        <f ca="1">_xludf.BETA.INV(X847,'04_PSA_INPUTS'!H11,'04_PSA_INPUTS'!I11)</f>
        <v>#NAME?</v>
      </c>
      <c r="I847" s="27" t="e">
        <f ca="1">D847+B847*F847+'01_INPUTS'!B20</f>
        <v>#NAME?</v>
      </c>
      <c r="J847" s="27" t="e">
        <f ca="1">E847+C847*F847+'01_INPUTS'!B21</f>
        <v>#NAME?</v>
      </c>
      <c r="K847" s="27" t="e">
        <f t="shared" ca="1" si="78"/>
        <v>#NAME?</v>
      </c>
      <c r="L847" s="23" t="e">
        <f t="shared" ca="1" si="79"/>
        <v>#NAME?</v>
      </c>
      <c r="M847" s="23" t="e">
        <f t="shared" ca="1" si="80"/>
        <v>#NAME?</v>
      </c>
      <c r="N847" s="23" t="e">
        <f t="shared" ca="1" si="81"/>
        <v>#NAME?</v>
      </c>
      <c r="O847" s="27" t="e">
        <f t="shared" ca="1" si="82"/>
        <v>#NAME?</v>
      </c>
      <c r="P847" s="27" t="e">
        <f ca="1">'01_INPUTS'!B9*N847-K847</f>
        <v>#NAME?</v>
      </c>
      <c r="Q847" s="1" t="e">
        <f t="shared" ca="1" si="83"/>
        <v>#NAME?</v>
      </c>
      <c r="R847" s="28">
        <v>0.92950575216673315</v>
      </c>
      <c r="S847" s="28">
        <v>0.99291132879443467</v>
      </c>
      <c r="T847" s="28">
        <v>0.18530046823434532</v>
      </c>
      <c r="U847" s="28">
        <v>0.79222660604864359</v>
      </c>
      <c r="V847" s="28">
        <v>0.7493236439768225</v>
      </c>
      <c r="W847" s="28">
        <v>0.34778814250603318</v>
      </c>
      <c r="X847" s="28">
        <v>0.23518167366273701</v>
      </c>
    </row>
    <row r="848" spans="1:24" ht="13.9">
      <c r="A848" s="1">
        <v>847</v>
      </c>
      <c r="B848" s="23" t="e">
        <f ca="1">_xludf.BETA.INV(R848,'04_PSA_INPUTS'!H5,'04_PSA_INPUTS'!I5)</f>
        <v>#NAME?</v>
      </c>
      <c r="C848" s="23" t="e">
        <f ca="1">_xludf.BETA.INV(S848,'04_PSA_INPUTS'!H6,'04_PSA_INPUTS'!I6)</f>
        <v>#NAME?</v>
      </c>
      <c r="D848" s="27" t="e">
        <f ca="1">_xludf.GAMMA.INV(T848,'04_PSA_INPUTS'!H7,'04_PSA_INPUTS'!I7)</f>
        <v>#NAME?</v>
      </c>
      <c r="E848" s="27" t="e">
        <f ca="1">_xludf.GAMMA.INV(U848,'04_PSA_INPUTS'!H8,'04_PSA_INPUTS'!I8)</f>
        <v>#NAME?</v>
      </c>
      <c r="F848" s="27" t="e">
        <f ca="1">_xludf.GAMMA.INV(V848,'04_PSA_INPUTS'!H9,'04_PSA_INPUTS'!I9)</f>
        <v>#NAME?</v>
      </c>
      <c r="G848" s="23" t="e">
        <f ca="1">_xludf.BETA.INV(W848,'04_PSA_INPUTS'!H10,'04_PSA_INPUTS'!I10)</f>
        <v>#NAME?</v>
      </c>
      <c r="H848" s="23" t="e">
        <f ca="1">_xludf.BETA.INV(X848,'04_PSA_INPUTS'!H11,'04_PSA_INPUTS'!I11)</f>
        <v>#NAME?</v>
      </c>
      <c r="I848" s="27" t="e">
        <f ca="1">D848+B848*F848+'01_INPUTS'!B20</f>
        <v>#NAME?</v>
      </c>
      <c r="J848" s="27" t="e">
        <f ca="1">E848+C848*F848+'01_INPUTS'!B21</f>
        <v>#NAME?</v>
      </c>
      <c r="K848" s="27" t="e">
        <f t="shared" ca="1" si="78"/>
        <v>#NAME?</v>
      </c>
      <c r="L848" s="23" t="e">
        <f t="shared" ca="1" si="79"/>
        <v>#NAME?</v>
      </c>
      <c r="M848" s="23" t="e">
        <f t="shared" ca="1" si="80"/>
        <v>#NAME?</v>
      </c>
      <c r="N848" s="23" t="e">
        <f t="shared" ca="1" si="81"/>
        <v>#NAME?</v>
      </c>
      <c r="O848" s="27" t="e">
        <f t="shared" ca="1" si="82"/>
        <v>#NAME?</v>
      </c>
      <c r="P848" s="27" t="e">
        <f ca="1">'01_INPUTS'!B9*N848-K848</f>
        <v>#NAME?</v>
      </c>
      <c r="Q848" s="1" t="e">
        <f t="shared" ca="1" si="83"/>
        <v>#NAME?</v>
      </c>
      <c r="R848" s="28">
        <v>0.42861999804154038</v>
      </c>
      <c r="S848" s="28">
        <v>0.56963184871710837</v>
      </c>
      <c r="T848" s="28">
        <v>0.41172991832718253</v>
      </c>
      <c r="U848" s="28">
        <v>0.54433959512971342</v>
      </c>
      <c r="V848" s="28">
        <v>0.86609591078013182</v>
      </c>
      <c r="W848" s="28">
        <v>4.8834630288183689E-3</v>
      </c>
      <c r="X848" s="28">
        <v>0.66991405375301838</v>
      </c>
    </row>
    <row r="849" spans="1:24" ht="13.9">
      <c r="A849" s="1">
        <v>848</v>
      </c>
      <c r="B849" s="23" t="e">
        <f ca="1">_xludf.BETA.INV(R849,'04_PSA_INPUTS'!H5,'04_PSA_INPUTS'!I5)</f>
        <v>#NAME?</v>
      </c>
      <c r="C849" s="23" t="e">
        <f ca="1">_xludf.BETA.INV(S849,'04_PSA_INPUTS'!H6,'04_PSA_INPUTS'!I6)</f>
        <v>#NAME?</v>
      </c>
      <c r="D849" s="27" t="e">
        <f ca="1">_xludf.GAMMA.INV(T849,'04_PSA_INPUTS'!H7,'04_PSA_INPUTS'!I7)</f>
        <v>#NAME?</v>
      </c>
      <c r="E849" s="27" t="e">
        <f ca="1">_xludf.GAMMA.INV(U849,'04_PSA_INPUTS'!H8,'04_PSA_INPUTS'!I8)</f>
        <v>#NAME?</v>
      </c>
      <c r="F849" s="27" t="e">
        <f ca="1">_xludf.GAMMA.INV(V849,'04_PSA_INPUTS'!H9,'04_PSA_INPUTS'!I9)</f>
        <v>#NAME?</v>
      </c>
      <c r="G849" s="23" t="e">
        <f ca="1">_xludf.BETA.INV(W849,'04_PSA_INPUTS'!H10,'04_PSA_INPUTS'!I10)</f>
        <v>#NAME?</v>
      </c>
      <c r="H849" s="23" t="e">
        <f ca="1">_xludf.BETA.INV(X849,'04_PSA_INPUTS'!H11,'04_PSA_INPUTS'!I11)</f>
        <v>#NAME?</v>
      </c>
      <c r="I849" s="27" t="e">
        <f ca="1">D849+B849*F849+'01_INPUTS'!B20</f>
        <v>#NAME?</v>
      </c>
      <c r="J849" s="27" t="e">
        <f ca="1">E849+C849*F849+'01_INPUTS'!B21</f>
        <v>#NAME?</v>
      </c>
      <c r="K849" s="27" t="e">
        <f t="shared" ca="1" si="78"/>
        <v>#NAME?</v>
      </c>
      <c r="L849" s="23" t="e">
        <f t="shared" ca="1" si="79"/>
        <v>#NAME?</v>
      </c>
      <c r="M849" s="23" t="e">
        <f t="shared" ca="1" si="80"/>
        <v>#NAME?</v>
      </c>
      <c r="N849" s="23" t="e">
        <f t="shared" ca="1" si="81"/>
        <v>#NAME?</v>
      </c>
      <c r="O849" s="27" t="e">
        <f t="shared" ca="1" si="82"/>
        <v>#NAME?</v>
      </c>
      <c r="P849" s="27" t="e">
        <f ca="1">'01_INPUTS'!B9*N849-K849</f>
        <v>#NAME?</v>
      </c>
      <c r="Q849" s="1" t="e">
        <f t="shared" ca="1" si="83"/>
        <v>#NAME?</v>
      </c>
      <c r="R849" s="28">
        <v>0.81168671045452356</v>
      </c>
      <c r="S849" s="28">
        <v>0.31757898023352027</v>
      </c>
      <c r="T849" s="28">
        <v>0.60627579130232334</v>
      </c>
      <c r="U849" s="28">
        <v>0.79232815420255065</v>
      </c>
      <c r="V849" s="28">
        <v>0.11766218789853156</v>
      </c>
      <c r="W849" s="28">
        <v>0.45659341872669756</v>
      </c>
      <c r="X849" s="28">
        <v>0.51316072326153517</v>
      </c>
    </row>
    <row r="850" spans="1:24" ht="13.9">
      <c r="A850" s="1">
        <v>849</v>
      </c>
      <c r="B850" s="23" t="e">
        <f ca="1">_xludf.BETA.INV(R850,'04_PSA_INPUTS'!H5,'04_PSA_INPUTS'!I5)</f>
        <v>#NAME?</v>
      </c>
      <c r="C850" s="23" t="e">
        <f ca="1">_xludf.BETA.INV(S850,'04_PSA_INPUTS'!H6,'04_PSA_INPUTS'!I6)</f>
        <v>#NAME?</v>
      </c>
      <c r="D850" s="27" t="e">
        <f ca="1">_xludf.GAMMA.INV(T850,'04_PSA_INPUTS'!H7,'04_PSA_INPUTS'!I7)</f>
        <v>#NAME?</v>
      </c>
      <c r="E850" s="27" t="e">
        <f ca="1">_xludf.GAMMA.INV(U850,'04_PSA_INPUTS'!H8,'04_PSA_INPUTS'!I8)</f>
        <v>#NAME?</v>
      </c>
      <c r="F850" s="27" t="e">
        <f ca="1">_xludf.GAMMA.INV(V850,'04_PSA_INPUTS'!H9,'04_PSA_INPUTS'!I9)</f>
        <v>#NAME?</v>
      </c>
      <c r="G850" s="23" t="e">
        <f ca="1">_xludf.BETA.INV(W850,'04_PSA_INPUTS'!H10,'04_PSA_INPUTS'!I10)</f>
        <v>#NAME?</v>
      </c>
      <c r="H850" s="23" t="e">
        <f ca="1">_xludf.BETA.INV(X850,'04_PSA_INPUTS'!H11,'04_PSA_INPUTS'!I11)</f>
        <v>#NAME?</v>
      </c>
      <c r="I850" s="27" t="e">
        <f ca="1">D850+B850*F850+'01_INPUTS'!B20</f>
        <v>#NAME?</v>
      </c>
      <c r="J850" s="27" t="e">
        <f ca="1">E850+C850*F850+'01_INPUTS'!B21</f>
        <v>#NAME?</v>
      </c>
      <c r="K850" s="27" t="e">
        <f t="shared" ca="1" si="78"/>
        <v>#NAME?</v>
      </c>
      <c r="L850" s="23" t="e">
        <f t="shared" ca="1" si="79"/>
        <v>#NAME?</v>
      </c>
      <c r="M850" s="23" t="e">
        <f t="shared" ca="1" si="80"/>
        <v>#NAME?</v>
      </c>
      <c r="N850" s="23" t="e">
        <f t="shared" ca="1" si="81"/>
        <v>#NAME?</v>
      </c>
      <c r="O850" s="27" t="e">
        <f t="shared" ca="1" si="82"/>
        <v>#NAME?</v>
      </c>
      <c r="P850" s="27" t="e">
        <f ca="1">'01_INPUTS'!B9*N850-K850</f>
        <v>#NAME?</v>
      </c>
      <c r="Q850" s="1" t="e">
        <f t="shared" ca="1" si="83"/>
        <v>#NAME?</v>
      </c>
      <c r="R850" s="28">
        <v>0.62770944531075656</v>
      </c>
      <c r="S850" s="28">
        <v>0.84455632115714252</v>
      </c>
      <c r="T850" s="28">
        <v>7.695782114751637E-2</v>
      </c>
      <c r="U850" s="28">
        <v>0.49161365954205394</v>
      </c>
      <c r="V850" s="28">
        <v>0.28467132453806698</v>
      </c>
      <c r="W850" s="28">
        <v>0.7969306418672204</v>
      </c>
      <c r="X850" s="28">
        <v>9.5822248607873917E-2</v>
      </c>
    </row>
    <row r="851" spans="1:24" ht="13.9">
      <c r="A851" s="1">
        <v>850</v>
      </c>
      <c r="B851" s="23" t="e">
        <f ca="1">_xludf.BETA.INV(R851,'04_PSA_INPUTS'!H5,'04_PSA_INPUTS'!I5)</f>
        <v>#NAME?</v>
      </c>
      <c r="C851" s="23" t="e">
        <f ca="1">_xludf.BETA.INV(S851,'04_PSA_INPUTS'!H6,'04_PSA_INPUTS'!I6)</f>
        <v>#NAME?</v>
      </c>
      <c r="D851" s="27" t="e">
        <f ca="1">_xludf.GAMMA.INV(T851,'04_PSA_INPUTS'!H7,'04_PSA_INPUTS'!I7)</f>
        <v>#NAME?</v>
      </c>
      <c r="E851" s="27" t="e">
        <f ca="1">_xludf.GAMMA.INV(U851,'04_PSA_INPUTS'!H8,'04_PSA_INPUTS'!I8)</f>
        <v>#NAME?</v>
      </c>
      <c r="F851" s="27" t="e">
        <f ca="1">_xludf.GAMMA.INV(V851,'04_PSA_INPUTS'!H9,'04_PSA_INPUTS'!I9)</f>
        <v>#NAME?</v>
      </c>
      <c r="G851" s="23" t="e">
        <f ca="1">_xludf.BETA.INV(W851,'04_PSA_INPUTS'!H10,'04_PSA_INPUTS'!I10)</f>
        <v>#NAME?</v>
      </c>
      <c r="H851" s="23" t="e">
        <f ca="1">_xludf.BETA.INV(X851,'04_PSA_INPUTS'!H11,'04_PSA_INPUTS'!I11)</f>
        <v>#NAME?</v>
      </c>
      <c r="I851" s="27" t="e">
        <f ca="1">D851+B851*F851+'01_INPUTS'!B20</f>
        <v>#NAME?</v>
      </c>
      <c r="J851" s="27" t="e">
        <f ca="1">E851+C851*F851+'01_INPUTS'!B21</f>
        <v>#NAME?</v>
      </c>
      <c r="K851" s="27" t="e">
        <f t="shared" ca="1" si="78"/>
        <v>#NAME?</v>
      </c>
      <c r="L851" s="23" t="e">
        <f t="shared" ca="1" si="79"/>
        <v>#NAME?</v>
      </c>
      <c r="M851" s="23" t="e">
        <f t="shared" ca="1" si="80"/>
        <v>#NAME?</v>
      </c>
      <c r="N851" s="23" t="e">
        <f t="shared" ca="1" si="81"/>
        <v>#NAME?</v>
      </c>
      <c r="O851" s="27" t="e">
        <f t="shared" ca="1" si="82"/>
        <v>#NAME?</v>
      </c>
      <c r="P851" s="27" t="e">
        <f ca="1">'01_INPUTS'!B9*N851-K851</f>
        <v>#NAME?</v>
      </c>
      <c r="Q851" s="1" t="e">
        <f t="shared" ca="1" si="83"/>
        <v>#NAME?</v>
      </c>
      <c r="R851" s="28">
        <v>0.90368686593137681</v>
      </c>
      <c r="S851" s="28">
        <v>0.12643779348582029</v>
      </c>
      <c r="T851" s="28">
        <v>0.21348724071867764</v>
      </c>
      <c r="U851" s="28">
        <v>0.44351793010719121</v>
      </c>
      <c r="V851" s="28">
        <v>0.3350317960139364</v>
      </c>
      <c r="W851" s="28">
        <v>0.47162385284900665</v>
      </c>
      <c r="X851" s="28">
        <v>0.65992588736116886</v>
      </c>
    </row>
    <row r="852" spans="1:24" ht="13.9">
      <c r="A852" s="1">
        <v>851</v>
      </c>
      <c r="B852" s="23" t="e">
        <f ca="1">_xludf.BETA.INV(R852,'04_PSA_INPUTS'!H5,'04_PSA_INPUTS'!I5)</f>
        <v>#NAME?</v>
      </c>
      <c r="C852" s="23" t="e">
        <f ca="1">_xludf.BETA.INV(S852,'04_PSA_INPUTS'!H6,'04_PSA_INPUTS'!I6)</f>
        <v>#NAME?</v>
      </c>
      <c r="D852" s="27" t="e">
        <f ca="1">_xludf.GAMMA.INV(T852,'04_PSA_INPUTS'!H7,'04_PSA_INPUTS'!I7)</f>
        <v>#NAME?</v>
      </c>
      <c r="E852" s="27" t="e">
        <f ca="1">_xludf.GAMMA.INV(U852,'04_PSA_INPUTS'!H8,'04_PSA_INPUTS'!I8)</f>
        <v>#NAME?</v>
      </c>
      <c r="F852" s="27" t="e">
        <f ca="1">_xludf.GAMMA.INV(V852,'04_PSA_INPUTS'!H9,'04_PSA_INPUTS'!I9)</f>
        <v>#NAME?</v>
      </c>
      <c r="G852" s="23" t="e">
        <f ca="1">_xludf.BETA.INV(W852,'04_PSA_INPUTS'!H10,'04_PSA_INPUTS'!I10)</f>
        <v>#NAME?</v>
      </c>
      <c r="H852" s="23" t="e">
        <f ca="1">_xludf.BETA.INV(X852,'04_PSA_INPUTS'!H11,'04_PSA_INPUTS'!I11)</f>
        <v>#NAME?</v>
      </c>
      <c r="I852" s="27" t="e">
        <f ca="1">D852+B852*F852+'01_INPUTS'!B20</f>
        <v>#NAME?</v>
      </c>
      <c r="J852" s="27" t="e">
        <f ca="1">E852+C852*F852+'01_INPUTS'!B21</f>
        <v>#NAME?</v>
      </c>
      <c r="K852" s="27" t="e">
        <f t="shared" ca="1" si="78"/>
        <v>#NAME?</v>
      </c>
      <c r="L852" s="23" t="e">
        <f t="shared" ca="1" si="79"/>
        <v>#NAME?</v>
      </c>
      <c r="M852" s="23" t="e">
        <f t="shared" ca="1" si="80"/>
        <v>#NAME?</v>
      </c>
      <c r="N852" s="23" t="e">
        <f t="shared" ca="1" si="81"/>
        <v>#NAME?</v>
      </c>
      <c r="O852" s="27" t="e">
        <f t="shared" ca="1" si="82"/>
        <v>#NAME?</v>
      </c>
      <c r="P852" s="27" t="e">
        <f ca="1">'01_INPUTS'!B9*N852-K852</f>
        <v>#NAME?</v>
      </c>
      <c r="Q852" s="1" t="e">
        <f t="shared" ca="1" si="83"/>
        <v>#NAME?</v>
      </c>
      <c r="R852" s="28">
        <v>6.174752302467823E-2</v>
      </c>
      <c r="S852" s="28">
        <v>0.94319687550887465</v>
      </c>
      <c r="T852" s="28">
        <v>0.82763727940618992</v>
      </c>
      <c r="U852" s="28">
        <v>0.7545448848977685</v>
      </c>
      <c r="V852" s="28">
        <v>0.82526460057124496</v>
      </c>
      <c r="W852" s="28">
        <v>0.80184226296842098</v>
      </c>
      <c r="X852" s="28">
        <v>0.29540614574216306</v>
      </c>
    </row>
    <row r="853" spans="1:24" ht="13.9">
      <c r="A853" s="1">
        <v>852</v>
      </c>
      <c r="B853" s="23" t="e">
        <f ca="1">_xludf.BETA.INV(R853,'04_PSA_INPUTS'!H5,'04_PSA_INPUTS'!I5)</f>
        <v>#NAME?</v>
      </c>
      <c r="C853" s="23" t="e">
        <f ca="1">_xludf.BETA.INV(S853,'04_PSA_INPUTS'!H6,'04_PSA_INPUTS'!I6)</f>
        <v>#NAME?</v>
      </c>
      <c r="D853" s="27" t="e">
        <f ca="1">_xludf.GAMMA.INV(T853,'04_PSA_INPUTS'!H7,'04_PSA_INPUTS'!I7)</f>
        <v>#NAME?</v>
      </c>
      <c r="E853" s="27" t="e">
        <f ca="1">_xludf.GAMMA.INV(U853,'04_PSA_INPUTS'!H8,'04_PSA_INPUTS'!I8)</f>
        <v>#NAME?</v>
      </c>
      <c r="F853" s="27" t="e">
        <f ca="1">_xludf.GAMMA.INV(V853,'04_PSA_INPUTS'!H9,'04_PSA_INPUTS'!I9)</f>
        <v>#NAME?</v>
      </c>
      <c r="G853" s="23" t="e">
        <f ca="1">_xludf.BETA.INV(W853,'04_PSA_INPUTS'!H10,'04_PSA_INPUTS'!I10)</f>
        <v>#NAME?</v>
      </c>
      <c r="H853" s="23" t="e">
        <f ca="1">_xludf.BETA.INV(X853,'04_PSA_INPUTS'!H11,'04_PSA_INPUTS'!I11)</f>
        <v>#NAME?</v>
      </c>
      <c r="I853" s="27" t="e">
        <f ca="1">D853+B853*F853+'01_INPUTS'!B20</f>
        <v>#NAME?</v>
      </c>
      <c r="J853" s="27" t="e">
        <f ca="1">E853+C853*F853+'01_INPUTS'!B21</f>
        <v>#NAME?</v>
      </c>
      <c r="K853" s="27" t="e">
        <f t="shared" ca="1" si="78"/>
        <v>#NAME?</v>
      </c>
      <c r="L853" s="23" t="e">
        <f t="shared" ca="1" si="79"/>
        <v>#NAME?</v>
      </c>
      <c r="M853" s="23" t="e">
        <f t="shared" ca="1" si="80"/>
        <v>#NAME?</v>
      </c>
      <c r="N853" s="23" t="e">
        <f t="shared" ca="1" si="81"/>
        <v>#NAME?</v>
      </c>
      <c r="O853" s="27" t="e">
        <f t="shared" ca="1" si="82"/>
        <v>#NAME?</v>
      </c>
      <c r="P853" s="27" t="e">
        <f ca="1">'01_INPUTS'!B9*N853-K853</f>
        <v>#NAME?</v>
      </c>
      <c r="Q853" s="1" t="e">
        <f t="shared" ca="1" si="83"/>
        <v>#NAME?</v>
      </c>
      <c r="R853" s="28">
        <v>0.84330417937599123</v>
      </c>
      <c r="S853" s="28">
        <v>0.6670400791335851</v>
      </c>
      <c r="T853" s="28">
        <v>0.36023843707516789</v>
      </c>
      <c r="U853" s="28">
        <v>0.57877105404622853</v>
      </c>
      <c r="V853" s="28">
        <v>0.5900254612788558</v>
      </c>
      <c r="W853" s="28">
        <v>9.9014184204861522E-2</v>
      </c>
      <c r="X853" s="28">
        <v>0.13761742692440748</v>
      </c>
    </row>
    <row r="854" spans="1:24" ht="13.9">
      <c r="A854" s="1">
        <v>853</v>
      </c>
      <c r="B854" s="23" t="e">
        <f ca="1">_xludf.BETA.INV(R854,'04_PSA_INPUTS'!H5,'04_PSA_INPUTS'!I5)</f>
        <v>#NAME?</v>
      </c>
      <c r="C854" s="23" t="e">
        <f ca="1">_xludf.BETA.INV(S854,'04_PSA_INPUTS'!H6,'04_PSA_INPUTS'!I6)</f>
        <v>#NAME?</v>
      </c>
      <c r="D854" s="27" t="e">
        <f ca="1">_xludf.GAMMA.INV(T854,'04_PSA_INPUTS'!H7,'04_PSA_INPUTS'!I7)</f>
        <v>#NAME?</v>
      </c>
      <c r="E854" s="27" t="e">
        <f ca="1">_xludf.GAMMA.INV(U854,'04_PSA_INPUTS'!H8,'04_PSA_INPUTS'!I8)</f>
        <v>#NAME?</v>
      </c>
      <c r="F854" s="27" t="e">
        <f ca="1">_xludf.GAMMA.INV(V854,'04_PSA_INPUTS'!H9,'04_PSA_INPUTS'!I9)</f>
        <v>#NAME?</v>
      </c>
      <c r="G854" s="23" t="e">
        <f ca="1">_xludf.BETA.INV(W854,'04_PSA_INPUTS'!H10,'04_PSA_INPUTS'!I10)</f>
        <v>#NAME?</v>
      </c>
      <c r="H854" s="23" t="e">
        <f ca="1">_xludf.BETA.INV(X854,'04_PSA_INPUTS'!H11,'04_PSA_INPUTS'!I11)</f>
        <v>#NAME?</v>
      </c>
      <c r="I854" s="27" t="e">
        <f ca="1">D854+B854*F854+'01_INPUTS'!B20</f>
        <v>#NAME?</v>
      </c>
      <c r="J854" s="27" t="e">
        <f ca="1">E854+C854*F854+'01_INPUTS'!B21</f>
        <v>#NAME?</v>
      </c>
      <c r="K854" s="27" t="e">
        <f t="shared" ca="1" si="78"/>
        <v>#NAME?</v>
      </c>
      <c r="L854" s="23" t="e">
        <f t="shared" ca="1" si="79"/>
        <v>#NAME?</v>
      </c>
      <c r="M854" s="23" t="e">
        <f t="shared" ca="1" si="80"/>
        <v>#NAME?</v>
      </c>
      <c r="N854" s="23" t="e">
        <f t="shared" ca="1" si="81"/>
        <v>#NAME?</v>
      </c>
      <c r="O854" s="27" t="e">
        <f t="shared" ca="1" si="82"/>
        <v>#NAME?</v>
      </c>
      <c r="P854" s="27" t="e">
        <f ca="1">'01_INPUTS'!B9*N854-K854</f>
        <v>#NAME?</v>
      </c>
      <c r="Q854" s="1" t="e">
        <f t="shared" ca="1" si="83"/>
        <v>#NAME?</v>
      </c>
      <c r="R854" s="28">
        <v>0.26149636413902044</v>
      </c>
      <c r="S854" s="28">
        <v>0.96326351398602128</v>
      </c>
      <c r="T854" s="28">
        <v>0.26170246885158122</v>
      </c>
      <c r="U854" s="28">
        <v>0.70634924783371389</v>
      </c>
      <c r="V854" s="28">
        <v>0.65490352315828204</v>
      </c>
      <c r="W854" s="28">
        <v>8.9531388366594911E-2</v>
      </c>
      <c r="X854" s="28">
        <v>0.47385258972644806</v>
      </c>
    </row>
    <row r="855" spans="1:24" ht="13.9">
      <c r="A855" s="1">
        <v>854</v>
      </c>
      <c r="B855" s="23" t="e">
        <f ca="1">_xludf.BETA.INV(R855,'04_PSA_INPUTS'!H5,'04_PSA_INPUTS'!I5)</f>
        <v>#NAME?</v>
      </c>
      <c r="C855" s="23" t="e">
        <f ca="1">_xludf.BETA.INV(S855,'04_PSA_INPUTS'!H6,'04_PSA_INPUTS'!I6)</f>
        <v>#NAME?</v>
      </c>
      <c r="D855" s="27" t="e">
        <f ca="1">_xludf.GAMMA.INV(T855,'04_PSA_INPUTS'!H7,'04_PSA_INPUTS'!I7)</f>
        <v>#NAME?</v>
      </c>
      <c r="E855" s="27" t="e">
        <f ca="1">_xludf.GAMMA.INV(U855,'04_PSA_INPUTS'!H8,'04_PSA_INPUTS'!I8)</f>
        <v>#NAME?</v>
      </c>
      <c r="F855" s="27" t="e">
        <f ca="1">_xludf.GAMMA.INV(V855,'04_PSA_INPUTS'!H9,'04_PSA_INPUTS'!I9)</f>
        <v>#NAME?</v>
      </c>
      <c r="G855" s="23" t="e">
        <f ca="1">_xludf.BETA.INV(W855,'04_PSA_INPUTS'!H10,'04_PSA_INPUTS'!I10)</f>
        <v>#NAME?</v>
      </c>
      <c r="H855" s="23" t="e">
        <f ca="1">_xludf.BETA.INV(X855,'04_PSA_INPUTS'!H11,'04_PSA_INPUTS'!I11)</f>
        <v>#NAME?</v>
      </c>
      <c r="I855" s="27" t="e">
        <f ca="1">D855+B855*F855+'01_INPUTS'!B20</f>
        <v>#NAME?</v>
      </c>
      <c r="J855" s="27" t="e">
        <f ca="1">E855+C855*F855+'01_INPUTS'!B21</f>
        <v>#NAME?</v>
      </c>
      <c r="K855" s="27" t="e">
        <f t="shared" ca="1" si="78"/>
        <v>#NAME?</v>
      </c>
      <c r="L855" s="23" t="e">
        <f t="shared" ca="1" si="79"/>
        <v>#NAME?</v>
      </c>
      <c r="M855" s="23" t="e">
        <f t="shared" ca="1" si="80"/>
        <v>#NAME?</v>
      </c>
      <c r="N855" s="23" t="e">
        <f t="shared" ca="1" si="81"/>
        <v>#NAME?</v>
      </c>
      <c r="O855" s="27" t="e">
        <f t="shared" ca="1" si="82"/>
        <v>#NAME?</v>
      </c>
      <c r="P855" s="27" t="e">
        <f ca="1">'01_INPUTS'!B9*N855-K855</f>
        <v>#NAME?</v>
      </c>
      <c r="Q855" s="1" t="e">
        <f t="shared" ca="1" si="83"/>
        <v>#NAME?</v>
      </c>
      <c r="R855" s="28">
        <v>0.1519973196554929</v>
      </c>
      <c r="S855" s="28">
        <v>0.27529563126154244</v>
      </c>
      <c r="T855" s="28">
        <v>0.61923276213929057</v>
      </c>
      <c r="U855" s="28">
        <v>0.74019030039198697</v>
      </c>
      <c r="V855" s="28">
        <v>9.7459211247041821E-2</v>
      </c>
      <c r="W855" s="28">
        <v>0.30804826691746712</v>
      </c>
      <c r="X855" s="28">
        <v>0.50519356899894774</v>
      </c>
    </row>
    <row r="856" spans="1:24" ht="13.9">
      <c r="A856" s="1">
        <v>855</v>
      </c>
      <c r="B856" s="23" t="e">
        <f ca="1">_xludf.BETA.INV(R856,'04_PSA_INPUTS'!H5,'04_PSA_INPUTS'!I5)</f>
        <v>#NAME?</v>
      </c>
      <c r="C856" s="23" t="e">
        <f ca="1">_xludf.BETA.INV(S856,'04_PSA_INPUTS'!H6,'04_PSA_INPUTS'!I6)</f>
        <v>#NAME?</v>
      </c>
      <c r="D856" s="27" t="e">
        <f ca="1">_xludf.GAMMA.INV(T856,'04_PSA_INPUTS'!H7,'04_PSA_INPUTS'!I7)</f>
        <v>#NAME?</v>
      </c>
      <c r="E856" s="27" t="e">
        <f ca="1">_xludf.GAMMA.INV(U856,'04_PSA_INPUTS'!H8,'04_PSA_INPUTS'!I8)</f>
        <v>#NAME?</v>
      </c>
      <c r="F856" s="27" t="e">
        <f ca="1">_xludf.GAMMA.INV(V856,'04_PSA_INPUTS'!H9,'04_PSA_INPUTS'!I9)</f>
        <v>#NAME?</v>
      </c>
      <c r="G856" s="23" t="e">
        <f ca="1">_xludf.BETA.INV(W856,'04_PSA_INPUTS'!H10,'04_PSA_INPUTS'!I10)</f>
        <v>#NAME?</v>
      </c>
      <c r="H856" s="23" t="e">
        <f ca="1">_xludf.BETA.INV(X856,'04_PSA_INPUTS'!H11,'04_PSA_INPUTS'!I11)</f>
        <v>#NAME?</v>
      </c>
      <c r="I856" s="27" t="e">
        <f ca="1">D856+B856*F856+'01_INPUTS'!B20</f>
        <v>#NAME?</v>
      </c>
      <c r="J856" s="27" t="e">
        <f ca="1">E856+C856*F856+'01_INPUTS'!B21</f>
        <v>#NAME?</v>
      </c>
      <c r="K856" s="27" t="e">
        <f t="shared" ca="1" si="78"/>
        <v>#NAME?</v>
      </c>
      <c r="L856" s="23" t="e">
        <f t="shared" ca="1" si="79"/>
        <v>#NAME?</v>
      </c>
      <c r="M856" s="23" t="e">
        <f t="shared" ca="1" si="80"/>
        <v>#NAME?</v>
      </c>
      <c r="N856" s="23" t="e">
        <f t="shared" ca="1" si="81"/>
        <v>#NAME?</v>
      </c>
      <c r="O856" s="27" t="e">
        <f t="shared" ca="1" si="82"/>
        <v>#NAME?</v>
      </c>
      <c r="P856" s="27" t="e">
        <f ca="1">'01_INPUTS'!B9*N856-K856</f>
        <v>#NAME?</v>
      </c>
      <c r="Q856" s="1" t="e">
        <f t="shared" ca="1" si="83"/>
        <v>#NAME?</v>
      </c>
      <c r="R856" s="28">
        <v>0.96846086997538805</v>
      </c>
      <c r="S856" s="28">
        <v>0.30189787549898028</v>
      </c>
      <c r="T856" s="28">
        <v>0.90799684333615005</v>
      </c>
      <c r="U856" s="28">
        <v>0.4953339418862015</v>
      </c>
      <c r="V856" s="28">
        <v>0.38488231459632516</v>
      </c>
      <c r="W856" s="28">
        <v>8.6485974723473191E-2</v>
      </c>
      <c r="X856" s="28">
        <v>0.19434713292866945</v>
      </c>
    </row>
    <row r="857" spans="1:24" ht="13.9">
      <c r="A857" s="1">
        <v>856</v>
      </c>
      <c r="B857" s="23" t="e">
        <f ca="1">_xludf.BETA.INV(R857,'04_PSA_INPUTS'!H5,'04_PSA_INPUTS'!I5)</f>
        <v>#NAME?</v>
      </c>
      <c r="C857" s="23" t="e">
        <f ca="1">_xludf.BETA.INV(S857,'04_PSA_INPUTS'!H6,'04_PSA_INPUTS'!I6)</f>
        <v>#NAME?</v>
      </c>
      <c r="D857" s="27" t="e">
        <f ca="1">_xludf.GAMMA.INV(T857,'04_PSA_INPUTS'!H7,'04_PSA_INPUTS'!I7)</f>
        <v>#NAME?</v>
      </c>
      <c r="E857" s="27" t="e">
        <f ca="1">_xludf.GAMMA.INV(U857,'04_PSA_INPUTS'!H8,'04_PSA_INPUTS'!I8)</f>
        <v>#NAME?</v>
      </c>
      <c r="F857" s="27" t="e">
        <f ca="1">_xludf.GAMMA.INV(V857,'04_PSA_INPUTS'!H9,'04_PSA_INPUTS'!I9)</f>
        <v>#NAME?</v>
      </c>
      <c r="G857" s="23" t="e">
        <f ca="1">_xludf.BETA.INV(W857,'04_PSA_INPUTS'!H10,'04_PSA_INPUTS'!I10)</f>
        <v>#NAME?</v>
      </c>
      <c r="H857" s="23" t="e">
        <f ca="1">_xludf.BETA.INV(X857,'04_PSA_INPUTS'!H11,'04_PSA_INPUTS'!I11)</f>
        <v>#NAME?</v>
      </c>
      <c r="I857" s="27" t="e">
        <f ca="1">D857+B857*F857+'01_INPUTS'!B20</f>
        <v>#NAME?</v>
      </c>
      <c r="J857" s="27" t="e">
        <f ca="1">E857+C857*F857+'01_INPUTS'!B21</f>
        <v>#NAME?</v>
      </c>
      <c r="K857" s="27" t="e">
        <f t="shared" ca="1" si="78"/>
        <v>#NAME?</v>
      </c>
      <c r="L857" s="23" t="e">
        <f t="shared" ca="1" si="79"/>
        <v>#NAME?</v>
      </c>
      <c r="M857" s="23" t="e">
        <f t="shared" ca="1" si="80"/>
        <v>#NAME?</v>
      </c>
      <c r="N857" s="23" t="e">
        <f t="shared" ca="1" si="81"/>
        <v>#NAME?</v>
      </c>
      <c r="O857" s="27" t="e">
        <f t="shared" ca="1" si="82"/>
        <v>#NAME?</v>
      </c>
      <c r="P857" s="27" t="e">
        <f ca="1">'01_INPUTS'!B9*N857-K857</f>
        <v>#NAME?</v>
      </c>
      <c r="Q857" s="1" t="e">
        <f t="shared" ca="1" si="83"/>
        <v>#NAME?</v>
      </c>
      <c r="R857" s="28">
        <v>8.5878669284284115E-2</v>
      </c>
      <c r="S857" s="28">
        <v>0.13351768860593438</v>
      </c>
      <c r="T857" s="28">
        <v>0.34733439097180963</v>
      </c>
      <c r="U857" s="28">
        <v>0.7401903725694865</v>
      </c>
      <c r="V857" s="28">
        <v>0.83978186617605388</v>
      </c>
      <c r="W857" s="28">
        <v>0.64295504172332585</v>
      </c>
      <c r="X857" s="28">
        <v>0.34383956994861364</v>
      </c>
    </row>
    <row r="858" spans="1:24" ht="13.9">
      <c r="A858" s="1">
        <v>857</v>
      </c>
      <c r="B858" s="23" t="e">
        <f ca="1">_xludf.BETA.INV(R858,'04_PSA_INPUTS'!H5,'04_PSA_INPUTS'!I5)</f>
        <v>#NAME?</v>
      </c>
      <c r="C858" s="23" t="e">
        <f ca="1">_xludf.BETA.INV(S858,'04_PSA_INPUTS'!H6,'04_PSA_INPUTS'!I6)</f>
        <v>#NAME?</v>
      </c>
      <c r="D858" s="27" t="e">
        <f ca="1">_xludf.GAMMA.INV(T858,'04_PSA_INPUTS'!H7,'04_PSA_INPUTS'!I7)</f>
        <v>#NAME?</v>
      </c>
      <c r="E858" s="27" t="e">
        <f ca="1">_xludf.GAMMA.INV(U858,'04_PSA_INPUTS'!H8,'04_PSA_INPUTS'!I8)</f>
        <v>#NAME?</v>
      </c>
      <c r="F858" s="27" t="e">
        <f ca="1">_xludf.GAMMA.INV(V858,'04_PSA_INPUTS'!H9,'04_PSA_INPUTS'!I9)</f>
        <v>#NAME?</v>
      </c>
      <c r="G858" s="23" t="e">
        <f ca="1">_xludf.BETA.INV(W858,'04_PSA_INPUTS'!H10,'04_PSA_INPUTS'!I10)</f>
        <v>#NAME?</v>
      </c>
      <c r="H858" s="23" t="e">
        <f ca="1">_xludf.BETA.INV(X858,'04_PSA_INPUTS'!H11,'04_PSA_INPUTS'!I11)</f>
        <v>#NAME?</v>
      </c>
      <c r="I858" s="27" t="e">
        <f ca="1">D858+B858*F858+'01_INPUTS'!B20</f>
        <v>#NAME?</v>
      </c>
      <c r="J858" s="27" t="e">
        <f ca="1">E858+C858*F858+'01_INPUTS'!B21</f>
        <v>#NAME?</v>
      </c>
      <c r="K858" s="27" t="e">
        <f t="shared" ca="1" si="78"/>
        <v>#NAME?</v>
      </c>
      <c r="L858" s="23" t="e">
        <f t="shared" ca="1" si="79"/>
        <v>#NAME?</v>
      </c>
      <c r="M858" s="23" t="e">
        <f t="shared" ca="1" si="80"/>
        <v>#NAME?</v>
      </c>
      <c r="N858" s="23" t="e">
        <f t="shared" ca="1" si="81"/>
        <v>#NAME?</v>
      </c>
      <c r="O858" s="27" t="e">
        <f t="shared" ca="1" si="82"/>
        <v>#NAME?</v>
      </c>
      <c r="P858" s="27" t="e">
        <f ca="1">'01_INPUTS'!B9*N858-K858</f>
        <v>#NAME?</v>
      </c>
      <c r="Q858" s="1" t="e">
        <f t="shared" ca="1" si="83"/>
        <v>#NAME?</v>
      </c>
      <c r="R858" s="28">
        <v>0.31305238325148821</v>
      </c>
      <c r="S858" s="28">
        <v>0.72945074178278446</v>
      </c>
      <c r="T858" s="28">
        <v>0.72427126904949546</v>
      </c>
      <c r="U858" s="28">
        <v>0.22792182071134448</v>
      </c>
      <c r="V858" s="28">
        <v>0.38068705727346241</v>
      </c>
      <c r="W858" s="28">
        <v>0.18758057965897024</v>
      </c>
      <c r="X858" s="28">
        <v>0.18725273152813315</v>
      </c>
    </row>
    <row r="859" spans="1:24" ht="13.9">
      <c r="A859" s="1">
        <v>858</v>
      </c>
      <c r="B859" s="23" t="e">
        <f ca="1">_xludf.BETA.INV(R859,'04_PSA_INPUTS'!H5,'04_PSA_INPUTS'!I5)</f>
        <v>#NAME?</v>
      </c>
      <c r="C859" s="23" t="e">
        <f ca="1">_xludf.BETA.INV(S859,'04_PSA_INPUTS'!H6,'04_PSA_INPUTS'!I6)</f>
        <v>#NAME?</v>
      </c>
      <c r="D859" s="27" t="e">
        <f ca="1">_xludf.GAMMA.INV(T859,'04_PSA_INPUTS'!H7,'04_PSA_INPUTS'!I7)</f>
        <v>#NAME?</v>
      </c>
      <c r="E859" s="27" t="e">
        <f ca="1">_xludf.GAMMA.INV(U859,'04_PSA_INPUTS'!H8,'04_PSA_INPUTS'!I8)</f>
        <v>#NAME?</v>
      </c>
      <c r="F859" s="27" t="e">
        <f ca="1">_xludf.GAMMA.INV(V859,'04_PSA_INPUTS'!H9,'04_PSA_INPUTS'!I9)</f>
        <v>#NAME?</v>
      </c>
      <c r="G859" s="23" t="e">
        <f ca="1">_xludf.BETA.INV(W859,'04_PSA_INPUTS'!H10,'04_PSA_INPUTS'!I10)</f>
        <v>#NAME?</v>
      </c>
      <c r="H859" s="23" t="e">
        <f ca="1">_xludf.BETA.INV(X859,'04_PSA_INPUTS'!H11,'04_PSA_INPUTS'!I11)</f>
        <v>#NAME?</v>
      </c>
      <c r="I859" s="27" t="e">
        <f ca="1">D859+B859*F859+'01_INPUTS'!B20</f>
        <v>#NAME?</v>
      </c>
      <c r="J859" s="27" t="e">
        <f ca="1">E859+C859*F859+'01_INPUTS'!B21</f>
        <v>#NAME?</v>
      </c>
      <c r="K859" s="27" t="e">
        <f t="shared" ca="1" si="78"/>
        <v>#NAME?</v>
      </c>
      <c r="L859" s="23" t="e">
        <f t="shared" ca="1" si="79"/>
        <v>#NAME?</v>
      </c>
      <c r="M859" s="23" t="e">
        <f t="shared" ca="1" si="80"/>
        <v>#NAME?</v>
      </c>
      <c r="N859" s="23" t="e">
        <f t="shared" ca="1" si="81"/>
        <v>#NAME?</v>
      </c>
      <c r="O859" s="27" t="e">
        <f t="shared" ca="1" si="82"/>
        <v>#NAME?</v>
      </c>
      <c r="P859" s="27" t="e">
        <f ca="1">'01_INPUTS'!B9*N859-K859</f>
        <v>#NAME?</v>
      </c>
      <c r="Q859" s="1" t="e">
        <f t="shared" ca="1" si="83"/>
        <v>#NAME?</v>
      </c>
      <c r="R859" s="28">
        <v>0.58210487989708781</v>
      </c>
      <c r="S859" s="28">
        <v>5.7321351021528244E-2</v>
      </c>
      <c r="T859" s="28">
        <v>1.8326346063986421E-2</v>
      </c>
      <c r="U859" s="28">
        <v>0.37656060373410583</v>
      </c>
      <c r="V859" s="28">
        <v>0.75638577109202743</v>
      </c>
      <c r="W859" s="28">
        <v>6.4246678492054343E-2</v>
      </c>
      <c r="X859" s="28">
        <v>0.82161031011492014</v>
      </c>
    </row>
    <row r="860" spans="1:24" ht="13.9">
      <c r="A860" s="1">
        <v>859</v>
      </c>
      <c r="B860" s="23" t="e">
        <f ca="1">_xludf.BETA.INV(R860,'04_PSA_INPUTS'!H5,'04_PSA_INPUTS'!I5)</f>
        <v>#NAME?</v>
      </c>
      <c r="C860" s="23" t="e">
        <f ca="1">_xludf.BETA.INV(S860,'04_PSA_INPUTS'!H6,'04_PSA_INPUTS'!I6)</f>
        <v>#NAME?</v>
      </c>
      <c r="D860" s="27" t="e">
        <f ca="1">_xludf.GAMMA.INV(T860,'04_PSA_INPUTS'!H7,'04_PSA_INPUTS'!I7)</f>
        <v>#NAME?</v>
      </c>
      <c r="E860" s="27" t="e">
        <f ca="1">_xludf.GAMMA.INV(U860,'04_PSA_INPUTS'!H8,'04_PSA_INPUTS'!I8)</f>
        <v>#NAME?</v>
      </c>
      <c r="F860" s="27" t="e">
        <f ca="1">_xludf.GAMMA.INV(V860,'04_PSA_INPUTS'!H9,'04_PSA_INPUTS'!I9)</f>
        <v>#NAME?</v>
      </c>
      <c r="G860" s="23" t="e">
        <f ca="1">_xludf.BETA.INV(W860,'04_PSA_INPUTS'!H10,'04_PSA_INPUTS'!I10)</f>
        <v>#NAME?</v>
      </c>
      <c r="H860" s="23" t="e">
        <f ca="1">_xludf.BETA.INV(X860,'04_PSA_INPUTS'!H11,'04_PSA_INPUTS'!I11)</f>
        <v>#NAME?</v>
      </c>
      <c r="I860" s="27" t="e">
        <f ca="1">D860+B860*F860+'01_INPUTS'!B20</f>
        <v>#NAME?</v>
      </c>
      <c r="J860" s="27" t="e">
        <f ca="1">E860+C860*F860+'01_INPUTS'!B21</f>
        <v>#NAME?</v>
      </c>
      <c r="K860" s="27" t="e">
        <f t="shared" ca="1" si="78"/>
        <v>#NAME?</v>
      </c>
      <c r="L860" s="23" t="e">
        <f t="shared" ca="1" si="79"/>
        <v>#NAME?</v>
      </c>
      <c r="M860" s="23" t="e">
        <f t="shared" ca="1" si="80"/>
        <v>#NAME?</v>
      </c>
      <c r="N860" s="23" t="e">
        <f t="shared" ca="1" si="81"/>
        <v>#NAME?</v>
      </c>
      <c r="O860" s="27" t="e">
        <f t="shared" ca="1" si="82"/>
        <v>#NAME?</v>
      </c>
      <c r="P860" s="27" t="e">
        <f ca="1">'01_INPUTS'!B9*N860-K860</f>
        <v>#NAME?</v>
      </c>
      <c r="Q860" s="1" t="e">
        <f t="shared" ca="1" si="83"/>
        <v>#NAME?</v>
      </c>
      <c r="R860" s="28">
        <v>0.49972476507537067</v>
      </c>
      <c r="S860" s="28">
        <v>0.98553795064799488</v>
      </c>
      <c r="T860" s="28">
        <v>0.96412919950671494</v>
      </c>
      <c r="U860" s="28">
        <v>6.8598813377320766E-2</v>
      </c>
      <c r="V860" s="28">
        <v>0.11930865119211376</v>
      </c>
      <c r="W860" s="28">
        <v>0.22070573084056377</v>
      </c>
      <c r="X860" s="28">
        <v>0.95230588410049677</v>
      </c>
    </row>
    <row r="861" spans="1:24" ht="13.9">
      <c r="A861" s="1">
        <v>860</v>
      </c>
      <c r="B861" s="23" t="e">
        <f ca="1">_xludf.BETA.INV(R861,'04_PSA_INPUTS'!H5,'04_PSA_INPUTS'!I5)</f>
        <v>#NAME?</v>
      </c>
      <c r="C861" s="23" t="e">
        <f ca="1">_xludf.BETA.INV(S861,'04_PSA_INPUTS'!H6,'04_PSA_INPUTS'!I6)</f>
        <v>#NAME?</v>
      </c>
      <c r="D861" s="27" t="e">
        <f ca="1">_xludf.GAMMA.INV(T861,'04_PSA_INPUTS'!H7,'04_PSA_INPUTS'!I7)</f>
        <v>#NAME?</v>
      </c>
      <c r="E861" s="27" t="e">
        <f ca="1">_xludf.GAMMA.INV(U861,'04_PSA_INPUTS'!H8,'04_PSA_INPUTS'!I8)</f>
        <v>#NAME?</v>
      </c>
      <c r="F861" s="27" t="e">
        <f ca="1">_xludf.GAMMA.INV(V861,'04_PSA_INPUTS'!H9,'04_PSA_INPUTS'!I9)</f>
        <v>#NAME?</v>
      </c>
      <c r="G861" s="23" t="e">
        <f ca="1">_xludf.BETA.INV(W861,'04_PSA_INPUTS'!H10,'04_PSA_INPUTS'!I10)</f>
        <v>#NAME?</v>
      </c>
      <c r="H861" s="23" t="e">
        <f ca="1">_xludf.BETA.INV(X861,'04_PSA_INPUTS'!H11,'04_PSA_INPUTS'!I11)</f>
        <v>#NAME?</v>
      </c>
      <c r="I861" s="27" t="e">
        <f ca="1">D861+B861*F861+'01_INPUTS'!B20</f>
        <v>#NAME?</v>
      </c>
      <c r="J861" s="27" t="e">
        <f ca="1">E861+C861*F861+'01_INPUTS'!B21</f>
        <v>#NAME?</v>
      </c>
      <c r="K861" s="27" t="e">
        <f t="shared" ca="1" si="78"/>
        <v>#NAME?</v>
      </c>
      <c r="L861" s="23" t="e">
        <f t="shared" ca="1" si="79"/>
        <v>#NAME?</v>
      </c>
      <c r="M861" s="23" t="e">
        <f t="shared" ca="1" si="80"/>
        <v>#NAME?</v>
      </c>
      <c r="N861" s="23" t="e">
        <f t="shared" ca="1" si="81"/>
        <v>#NAME?</v>
      </c>
      <c r="O861" s="27" t="e">
        <f t="shared" ca="1" si="82"/>
        <v>#NAME?</v>
      </c>
      <c r="P861" s="27" t="e">
        <f ca="1">'01_INPUTS'!B9*N861-K861</f>
        <v>#NAME?</v>
      </c>
      <c r="Q861" s="1" t="e">
        <f t="shared" ca="1" si="83"/>
        <v>#NAME?</v>
      </c>
      <c r="R861" s="28">
        <v>0.48015286051668227</v>
      </c>
      <c r="S861" s="28">
        <v>0.35296826087869704</v>
      </c>
      <c r="T861" s="28">
        <v>0.81066207378171384</v>
      </c>
      <c r="U861" s="28">
        <v>0.27769351378083229</v>
      </c>
      <c r="V861" s="28">
        <v>0.90007703634910285</v>
      </c>
      <c r="W861" s="28">
        <v>0.41453020833432674</v>
      </c>
      <c r="X861" s="28">
        <v>0.12250623316504061</v>
      </c>
    </row>
    <row r="862" spans="1:24" ht="13.9">
      <c r="A862" s="1">
        <v>861</v>
      </c>
      <c r="B862" s="23" t="e">
        <f ca="1">_xludf.BETA.INV(R862,'04_PSA_INPUTS'!H5,'04_PSA_INPUTS'!I5)</f>
        <v>#NAME?</v>
      </c>
      <c r="C862" s="23" t="e">
        <f ca="1">_xludf.BETA.INV(S862,'04_PSA_INPUTS'!H6,'04_PSA_INPUTS'!I6)</f>
        <v>#NAME?</v>
      </c>
      <c r="D862" s="27" t="e">
        <f ca="1">_xludf.GAMMA.INV(T862,'04_PSA_INPUTS'!H7,'04_PSA_INPUTS'!I7)</f>
        <v>#NAME?</v>
      </c>
      <c r="E862" s="27" t="e">
        <f ca="1">_xludf.GAMMA.INV(U862,'04_PSA_INPUTS'!H8,'04_PSA_INPUTS'!I8)</f>
        <v>#NAME?</v>
      </c>
      <c r="F862" s="27" t="e">
        <f ca="1">_xludf.GAMMA.INV(V862,'04_PSA_INPUTS'!H9,'04_PSA_INPUTS'!I9)</f>
        <v>#NAME?</v>
      </c>
      <c r="G862" s="23" t="e">
        <f ca="1">_xludf.BETA.INV(W862,'04_PSA_INPUTS'!H10,'04_PSA_INPUTS'!I10)</f>
        <v>#NAME?</v>
      </c>
      <c r="H862" s="23" t="e">
        <f ca="1">_xludf.BETA.INV(X862,'04_PSA_INPUTS'!H11,'04_PSA_INPUTS'!I11)</f>
        <v>#NAME?</v>
      </c>
      <c r="I862" s="27" t="e">
        <f ca="1">D862+B862*F862+'01_INPUTS'!B20</f>
        <v>#NAME?</v>
      </c>
      <c r="J862" s="27" t="e">
        <f ca="1">E862+C862*F862+'01_INPUTS'!B21</f>
        <v>#NAME?</v>
      </c>
      <c r="K862" s="27" t="e">
        <f t="shared" ca="1" si="78"/>
        <v>#NAME?</v>
      </c>
      <c r="L862" s="23" t="e">
        <f t="shared" ca="1" si="79"/>
        <v>#NAME?</v>
      </c>
      <c r="M862" s="23" t="e">
        <f t="shared" ca="1" si="80"/>
        <v>#NAME?</v>
      </c>
      <c r="N862" s="23" t="e">
        <f t="shared" ca="1" si="81"/>
        <v>#NAME?</v>
      </c>
      <c r="O862" s="27" t="e">
        <f t="shared" ca="1" si="82"/>
        <v>#NAME?</v>
      </c>
      <c r="P862" s="27" t="e">
        <f ca="1">'01_INPUTS'!B9*N862-K862</f>
        <v>#NAME?</v>
      </c>
      <c r="Q862" s="1" t="e">
        <f t="shared" ca="1" si="83"/>
        <v>#NAME?</v>
      </c>
      <c r="R862" s="28">
        <v>0.15670597902499139</v>
      </c>
      <c r="S862" s="28">
        <v>0.77079591504298151</v>
      </c>
      <c r="T862" s="28">
        <v>0.99280308908782899</v>
      </c>
      <c r="U862" s="28">
        <v>0.71649142098613083</v>
      </c>
      <c r="V862" s="28">
        <v>0.64231067639775574</v>
      </c>
      <c r="W862" s="28">
        <v>0.96411210298538208</v>
      </c>
      <c r="X862" s="28">
        <v>0.41028278437443078</v>
      </c>
    </row>
    <row r="863" spans="1:24" ht="13.9">
      <c r="A863" s="1">
        <v>862</v>
      </c>
      <c r="B863" s="23" t="e">
        <f ca="1">_xludf.BETA.INV(R863,'04_PSA_INPUTS'!H5,'04_PSA_INPUTS'!I5)</f>
        <v>#NAME?</v>
      </c>
      <c r="C863" s="23" t="e">
        <f ca="1">_xludf.BETA.INV(S863,'04_PSA_INPUTS'!H6,'04_PSA_INPUTS'!I6)</f>
        <v>#NAME?</v>
      </c>
      <c r="D863" s="27" t="e">
        <f ca="1">_xludf.GAMMA.INV(T863,'04_PSA_INPUTS'!H7,'04_PSA_INPUTS'!I7)</f>
        <v>#NAME?</v>
      </c>
      <c r="E863" s="27" t="e">
        <f ca="1">_xludf.GAMMA.INV(U863,'04_PSA_INPUTS'!H8,'04_PSA_INPUTS'!I8)</f>
        <v>#NAME?</v>
      </c>
      <c r="F863" s="27" t="e">
        <f ca="1">_xludf.GAMMA.INV(V863,'04_PSA_INPUTS'!H9,'04_PSA_INPUTS'!I9)</f>
        <v>#NAME?</v>
      </c>
      <c r="G863" s="23" t="e">
        <f ca="1">_xludf.BETA.INV(W863,'04_PSA_INPUTS'!H10,'04_PSA_INPUTS'!I10)</f>
        <v>#NAME?</v>
      </c>
      <c r="H863" s="23" t="e">
        <f ca="1">_xludf.BETA.INV(X863,'04_PSA_INPUTS'!H11,'04_PSA_INPUTS'!I11)</f>
        <v>#NAME?</v>
      </c>
      <c r="I863" s="27" t="e">
        <f ca="1">D863+B863*F863+'01_INPUTS'!B20</f>
        <v>#NAME?</v>
      </c>
      <c r="J863" s="27" t="e">
        <f ca="1">E863+C863*F863+'01_INPUTS'!B21</f>
        <v>#NAME?</v>
      </c>
      <c r="K863" s="27" t="e">
        <f t="shared" ca="1" si="78"/>
        <v>#NAME?</v>
      </c>
      <c r="L863" s="23" t="e">
        <f t="shared" ca="1" si="79"/>
        <v>#NAME?</v>
      </c>
      <c r="M863" s="23" t="e">
        <f t="shared" ca="1" si="80"/>
        <v>#NAME?</v>
      </c>
      <c r="N863" s="23" t="e">
        <f t="shared" ca="1" si="81"/>
        <v>#NAME?</v>
      </c>
      <c r="O863" s="27" t="e">
        <f t="shared" ca="1" si="82"/>
        <v>#NAME?</v>
      </c>
      <c r="P863" s="27" t="e">
        <f ca="1">'01_INPUTS'!B9*N863-K863</f>
        <v>#NAME?</v>
      </c>
      <c r="Q863" s="1" t="e">
        <f t="shared" ca="1" si="83"/>
        <v>#NAME?</v>
      </c>
      <c r="R863" s="28">
        <v>0.46090036071836948</v>
      </c>
      <c r="S863" s="28">
        <v>0.94405731209553778</v>
      </c>
      <c r="T863" s="28">
        <v>0.94276117533445358</v>
      </c>
      <c r="U863" s="28">
        <v>0.55862326920032501</v>
      </c>
      <c r="V863" s="28">
        <v>0.5763172407168895</v>
      </c>
      <c r="W863" s="28">
        <v>0.20599786564707756</v>
      </c>
      <c r="X863" s="28">
        <v>1.9133398309350014E-3</v>
      </c>
    </row>
    <row r="864" spans="1:24" ht="13.9">
      <c r="A864" s="1">
        <v>863</v>
      </c>
      <c r="B864" s="23" t="e">
        <f ca="1">_xludf.BETA.INV(R864,'04_PSA_INPUTS'!H5,'04_PSA_INPUTS'!I5)</f>
        <v>#NAME?</v>
      </c>
      <c r="C864" s="23" t="e">
        <f ca="1">_xludf.BETA.INV(S864,'04_PSA_INPUTS'!H6,'04_PSA_INPUTS'!I6)</f>
        <v>#NAME?</v>
      </c>
      <c r="D864" s="27" t="e">
        <f ca="1">_xludf.GAMMA.INV(T864,'04_PSA_INPUTS'!H7,'04_PSA_INPUTS'!I7)</f>
        <v>#NAME?</v>
      </c>
      <c r="E864" s="27" t="e">
        <f ca="1">_xludf.GAMMA.INV(U864,'04_PSA_INPUTS'!H8,'04_PSA_INPUTS'!I8)</f>
        <v>#NAME?</v>
      </c>
      <c r="F864" s="27" t="e">
        <f ca="1">_xludf.GAMMA.INV(V864,'04_PSA_INPUTS'!H9,'04_PSA_INPUTS'!I9)</f>
        <v>#NAME?</v>
      </c>
      <c r="G864" s="23" t="e">
        <f ca="1">_xludf.BETA.INV(W864,'04_PSA_INPUTS'!H10,'04_PSA_INPUTS'!I10)</f>
        <v>#NAME?</v>
      </c>
      <c r="H864" s="23" t="e">
        <f ca="1">_xludf.BETA.INV(X864,'04_PSA_INPUTS'!H11,'04_PSA_INPUTS'!I11)</f>
        <v>#NAME?</v>
      </c>
      <c r="I864" s="27" t="e">
        <f ca="1">D864+B864*F864+'01_INPUTS'!B20</f>
        <v>#NAME?</v>
      </c>
      <c r="J864" s="27" t="e">
        <f ca="1">E864+C864*F864+'01_INPUTS'!B21</f>
        <v>#NAME?</v>
      </c>
      <c r="K864" s="27" t="e">
        <f t="shared" ca="1" si="78"/>
        <v>#NAME?</v>
      </c>
      <c r="L864" s="23" t="e">
        <f t="shared" ca="1" si="79"/>
        <v>#NAME?</v>
      </c>
      <c r="M864" s="23" t="e">
        <f t="shared" ca="1" si="80"/>
        <v>#NAME?</v>
      </c>
      <c r="N864" s="23" t="e">
        <f t="shared" ca="1" si="81"/>
        <v>#NAME?</v>
      </c>
      <c r="O864" s="27" t="e">
        <f t="shared" ca="1" si="82"/>
        <v>#NAME?</v>
      </c>
      <c r="P864" s="27" t="e">
        <f ca="1">'01_INPUTS'!B9*N864-K864</f>
        <v>#NAME?</v>
      </c>
      <c r="Q864" s="1" t="e">
        <f t="shared" ca="1" si="83"/>
        <v>#NAME?</v>
      </c>
      <c r="R864" s="28">
        <v>0.6230474291369319</v>
      </c>
      <c r="S864" s="28">
        <v>0.72307913680560887</v>
      </c>
      <c r="T864" s="28">
        <v>0.62765180715359747</v>
      </c>
      <c r="U864" s="28">
        <v>0.70077400375157595</v>
      </c>
      <c r="V864" s="28">
        <v>0.90760840778239071</v>
      </c>
      <c r="W864" s="28">
        <v>5.2588897291570902E-2</v>
      </c>
      <c r="X864" s="28">
        <v>0.63902174821123481</v>
      </c>
    </row>
    <row r="865" spans="1:24" ht="13.9">
      <c r="A865" s="1">
        <v>864</v>
      </c>
      <c r="B865" s="23" t="e">
        <f ca="1">_xludf.BETA.INV(R865,'04_PSA_INPUTS'!H5,'04_PSA_INPUTS'!I5)</f>
        <v>#NAME?</v>
      </c>
      <c r="C865" s="23" t="e">
        <f ca="1">_xludf.BETA.INV(S865,'04_PSA_INPUTS'!H6,'04_PSA_INPUTS'!I6)</f>
        <v>#NAME?</v>
      </c>
      <c r="D865" s="27" t="e">
        <f ca="1">_xludf.GAMMA.INV(T865,'04_PSA_INPUTS'!H7,'04_PSA_INPUTS'!I7)</f>
        <v>#NAME?</v>
      </c>
      <c r="E865" s="27" t="e">
        <f ca="1">_xludf.GAMMA.INV(U865,'04_PSA_INPUTS'!H8,'04_PSA_INPUTS'!I8)</f>
        <v>#NAME?</v>
      </c>
      <c r="F865" s="27" t="e">
        <f ca="1">_xludf.GAMMA.INV(V865,'04_PSA_INPUTS'!H9,'04_PSA_INPUTS'!I9)</f>
        <v>#NAME?</v>
      </c>
      <c r="G865" s="23" t="e">
        <f ca="1">_xludf.BETA.INV(W865,'04_PSA_INPUTS'!H10,'04_PSA_INPUTS'!I10)</f>
        <v>#NAME?</v>
      </c>
      <c r="H865" s="23" t="e">
        <f ca="1">_xludf.BETA.INV(X865,'04_PSA_INPUTS'!H11,'04_PSA_INPUTS'!I11)</f>
        <v>#NAME?</v>
      </c>
      <c r="I865" s="27" t="e">
        <f ca="1">D865+B865*F865+'01_INPUTS'!B20</f>
        <v>#NAME?</v>
      </c>
      <c r="J865" s="27" t="e">
        <f ca="1">E865+C865*F865+'01_INPUTS'!B21</f>
        <v>#NAME?</v>
      </c>
      <c r="K865" s="27" t="e">
        <f t="shared" ca="1" si="78"/>
        <v>#NAME?</v>
      </c>
      <c r="L865" s="23" t="e">
        <f t="shared" ca="1" si="79"/>
        <v>#NAME?</v>
      </c>
      <c r="M865" s="23" t="e">
        <f t="shared" ca="1" si="80"/>
        <v>#NAME?</v>
      </c>
      <c r="N865" s="23" t="e">
        <f t="shared" ca="1" si="81"/>
        <v>#NAME?</v>
      </c>
      <c r="O865" s="27" t="e">
        <f t="shared" ca="1" si="82"/>
        <v>#NAME?</v>
      </c>
      <c r="P865" s="27" t="e">
        <f ca="1">'01_INPUTS'!B9*N865-K865</f>
        <v>#NAME?</v>
      </c>
      <c r="Q865" s="1" t="e">
        <f t="shared" ca="1" si="83"/>
        <v>#NAME?</v>
      </c>
      <c r="R865" s="28">
        <v>0.79168567806482315</v>
      </c>
      <c r="S865" s="28">
        <v>0.34365210984833539</v>
      </c>
      <c r="T865" s="28">
        <v>0.68628604849800467</v>
      </c>
      <c r="U865" s="28">
        <v>0.98299450241029263</v>
      </c>
      <c r="V865" s="28">
        <v>0.32829805742949247</v>
      </c>
      <c r="W865" s="28">
        <v>0.33163073752075434</v>
      </c>
      <c r="X865" s="28">
        <v>0.44692659261636436</v>
      </c>
    </row>
    <row r="866" spans="1:24" ht="13.9">
      <c r="A866" s="1">
        <v>865</v>
      </c>
      <c r="B866" s="23" t="e">
        <f ca="1">_xludf.BETA.INV(R866,'04_PSA_INPUTS'!H5,'04_PSA_INPUTS'!I5)</f>
        <v>#NAME?</v>
      </c>
      <c r="C866" s="23" t="e">
        <f ca="1">_xludf.BETA.INV(S866,'04_PSA_INPUTS'!H6,'04_PSA_INPUTS'!I6)</f>
        <v>#NAME?</v>
      </c>
      <c r="D866" s="27" t="e">
        <f ca="1">_xludf.GAMMA.INV(T866,'04_PSA_INPUTS'!H7,'04_PSA_INPUTS'!I7)</f>
        <v>#NAME?</v>
      </c>
      <c r="E866" s="27" t="e">
        <f ca="1">_xludf.GAMMA.INV(U866,'04_PSA_INPUTS'!H8,'04_PSA_INPUTS'!I8)</f>
        <v>#NAME?</v>
      </c>
      <c r="F866" s="27" t="e">
        <f ca="1">_xludf.GAMMA.INV(V866,'04_PSA_INPUTS'!H9,'04_PSA_INPUTS'!I9)</f>
        <v>#NAME?</v>
      </c>
      <c r="G866" s="23" t="e">
        <f ca="1">_xludf.BETA.INV(W866,'04_PSA_INPUTS'!H10,'04_PSA_INPUTS'!I10)</f>
        <v>#NAME?</v>
      </c>
      <c r="H866" s="23" t="e">
        <f ca="1">_xludf.BETA.INV(X866,'04_PSA_INPUTS'!H11,'04_PSA_INPUTS'!I11)</f>
        <v>#NAME?</v>
      </c>
      <c r="I866" s="27" t="e">
        <f ca="1">D866+B866*F866+'01_INPUTS'!B20</f>
        <v>#NAME?</v>
      </c>
      <c r="J866" s="27" t="e">
        <f ca="1">E866+C866*F866+'01_INPUTS'!B21</f>
        <v>#NAME?</v>
      </c>
      <c r="K866" s="27" t="e">
        <f t="shared" ca="1" si="78"/>
        <v>#NAME?</v>
      </c>
      <c r="L866" s="23" t="e">
        <f t="shared" ca="1" si="79"/>
        <v>#NAME?</v>
      </c>
      <c r="M866" s="23" t="e">
        <f t="shared" ca="1" si="80"/>
        <v>#NAME?</v>
      </c>
      <c r="N866" s="23" t="e">
        <f t="shared" ca="1" si="81"/>
        <v>#NAME?</v>
      </c>
      <c r="O866" s="27" t="e">
        <f t="shared" ca="1" si="82"/>
        <v>#NAME?</v>
      </c>
      <c r="P866" s="27" t="e">
        <f ca="1">'01_INPUTS'!B9*N866-K866</f>
        <v>#NAME?</v>
      </c>
      <c r="Q866" s="1" t="e">
        <f t="shared" ca="1" si="83"/>
        <v>#NAME?</v>
      </c>
      <c r="R866" s="28">
        <v>5.6642512558028102E-2</v>
      </c>
      <c r="S866" s="28">
        <v>0.72675323043949902</v>
      </c>
      <c r="T866" s="28">
        <v>0.79515672498382628</v>
      </c>
      <c r="U866" s="28">
        <v>0.1349501614458859</v>
      </c>
      <c r="V866" s="28">
        <v>0.89984774962067604</v>
      </c>
      <c r="W866" s="28">
        <v>0.91732806689105928</v>
      </c>
      <c r="X866" s="28">
        <v>0.56820784788578749</v>
      </c>
    </row>
    <row r="867" spans="1:24" ht="13.9">
      <c r="A867" s="1">
        <v>866</v>
      </c>
      <c r="B867" s="23" t="e">
        <f ca="1">_xludf.BETA.INV(R867,'04_PSA_INPUTS'!H5,'04_PSA_INPUTS'!I5)</f>
        <v>#NAME?</v>
      </c>
      <c r="C867" s="23" t="e">
        <f ca="1">_xludf.BETA.INV(S867,'04_PSA_INPUTS'!H6,'04_PSA_INPUTS'!I6)</f>
        <v>#NAME?</v>
      </c>
      <c r="D867" s="27" t="e">
        <f ca="1">_xludf.GAMMA.INV(T867,'04_PSA_INPUTS'!H7,'04_PSA_INPUTS'!I7)</f>
        <v>#NAME?</v>
      </c>
      <c r="E867" s="27" t="e">
        <f ca="1">_xludf.GAMMA.INV(U867,'04_PSA_INPUTS'!H8,'04_PSA_INPUTS'!I8)</f>
        <v>#NAME?</v>
      </c>
      <c r="F867" s="27" t="e">
        <f ca="1">_xludf.GAMMA.INV(V867,'04_PSA_INPUTS'!H9,'04_PSA_INPUTS'!I9)</f>
        <v>#NAME?</v>
      </c>
      <c r="G867" s="23" t="e">
        <f ca="1">_xludf.BETA.INV(W867,'04_PSA_INPUTS'!H10,'04_PSA_INPUTS'!I10)</f>
        <v>#NAME?</v>
      </c>
      <c r="H867" s="23" t="e">
        <f ca="1">_xludf.BETA.INV(X867,'04_PSA_INPUTS'!H11,'04_PSA_INPUTS'!I11)</f>
        <v>#NAME?</v>
      </c>
      <c r="I867" s="27" t="e">
        <f ca="1">D867+B867*F867+'01_INPUTS'!B20</f>
        <v>#NAME?</v>
      </c>
      <c r="J867" s="27" t="e">
        <f ca="1">E867+C867*F867+'01_INPUTS'!B21</f>
        <v>#NAME?</v>
      </c>
      <c r="K867" s="27" t="e">
        <f t="shared" ca="1" si="78"/>
        <v>#NAME?</v>
      </c>
      <c r="L867" s="23" t="e">
        <f t="shared" ca="1" si="79"/>
        <v>#NAME?</v>
      </c>
      <c r="M867" s="23" t="e">
        <f t="shared" ca="1" si="80"/>
        <v>#NAME?</v>
      </c>
      <c r="N867" s="23" t="e">
        <f t="shared" ca="1" si="81"/>
        <v>#NAME?</v>
      </c>
      <c r="O867" s="27" t="e">
        <f t="shared" ca="1" si="82"/>
        <v>#NAME?</v>
      </c>
      <c r="P867" s="27" t="e">
        <f ca="1">'01_INPUTS'!B9*N867-K867</f>
        <v>#NAME?</v>
      </c>
      <c r="Q867" s="1" t="e">
        <f t="shared" ca="1" si="83"/>
        <v>#NAME?</v>
      </c>
      <c r="R867" s="28">
        <v>2.2549869958311319E-2</v>
      </c>
      <c r="S867" s="28">
        <v>0.51522985519841313</v>
      </c>
      <c r="T867" s="28">
        <v>0.16400560783222318</v>
      </c>
      <c r="U867" s="28">
        <v>0.73921381100080907</v>
      </c>
      <c r="V867" s="28">
        <v>0.35497748083434999</v>
      </c>
      <c r="W867" s="28">
        <v>0.82452445453964174</v>
      </c>
      <c r="X867" s="28">
        <v>9.0806509600952268E-2</v>
      </c>
    </row>
    <row r="868" spans="1:24" ht="13.9">
      <c r="A868" s="1">
        <v>867</v>
      </c>
      <c r="B868" s="23" t="e">
        <f ca="1">_xludf.BETA.INV(R868,'04_PSA_INPUTS'!H5,'04_PSA_INPUTS'!I5)</f>
        <v>#NAME?</v>
      </c>
      <c r="C868" s="23" t="e">
        <f ca="1">_xludf.BETA.INV(S868,'04_PSA_INPUTS'!H6,'04_PSA_INPUTS'!I6)</f>
        <v>#NAME?</v>
      </c>
      <c r="D868" s="27" t="e">
        <f ca="1">_xludf.GAMMA.INV(T868,'04_PSA_INPUTS'!H7,'04_PSA_INPUTS'!I7)</f>
        <v>#NAME?</v>
      </c>
      <c r="E868" s="27" t="e">
        <f ca="1">_xludf.GAMMA.INV(U868,'04_PSA_INPUTS'!H8,'04_PSA_INPUTS'!I8)</f>
        <v>#NAME?</v>
      </c>
      <c r="F868" s="27" t="e">
        <f ca="1">_xludf.GAMMA.INV(V868,'04_PSA_INPUTS'!H9,'04_PSA_INPUTS'!I9)</f>
        <v>#NAME?</v>
      </c>
      <c r="G868" s="23" t="e">
        <f ca="1">_xludf.BETA.INV(W868,'04_PSA_INPUTS'!H10,'04_PSA_INPUTS'!I10)</f>
        <v>#NAME?</v>
      </c>
      <c r="H868" s="23" t="e">
        <f ca="1">_xludf.BETA.INV(X868,'04_PSA_INPUTS'!H11,'04_PSA_INPUTS'!I11)</f>
        <v>#NAME?</v>
      </c>
      <c r="I868" s="27" t="e">
        <f ca="1">D868+B868*F868+'01_INPUTS'!B20</f>
        <v>#NAME?</v>
      </c>
      <c r="J868" s="27" t="e">
        <f ca="1">E868+C868*F868+'01_INPUTS'!B21</f>
        <v>#NAME?</v>
      </c>
      <c r="K868" s="27" t="e">
        <f t="shared" ca="1" si="78"/>
        <v>#NAME?</v>
      </c>
      <c r="L868" s="23" t="e">
        <f t="shared" ca="1" si="79"/>
        <v>#NAME?</v>
      </c>
      <c r="M868" s="23" t="e">
        <f t="shared" ca="1" si="80"/>
        <v>#NAME?</v>
      </c>
      <c r="N868" s="23" t="e">
        <f t="shared" ca="1" si="81"/>
        <v>#NAME?</v>
      </c>
      <c r="O868" s="27" t="e">
        <f t="shared" ca="1" si="82"/>
        <v>#NAME?</v>
      </c>
      <c r="P868" s="27" t="e">
        <f ca="1">'01_INPUTS'!B9*N868-K868</f>
        <v>#NAME?</v>
      </c>
      <c r="Q868" s="1" t="e">
        <f t="shared" ca="1" si="83"/>
        <v>#NAME?</v>
      </c>
      <c r="R868" s="28">
        <v>0.67960504395887256</v>
      </c>
      <c r="S868" s="28">
        <v>0.69317458081059158</v>
      </c>
      <c r="T868" s="28">
        <v>3.4488220233470201E-2</v>
      </c>
      <c r="U868" s="28">
        <v>0.82756506791338325</v>
      </c>
      <c r="V868" s="28">
        <v>0.20994033268652856</v>
      </c>
      <c r="W868" s="28">
        <v>0.70067782024852931</v>
      </c>
      <c r="X868" s="28">
        <v>4.3357554124668241E-2</v>
      </c>
    </row>
    <row r="869" spans="1:24" ht="13.9">
      <c r="A869" s="1">
        <v>868</v>
      </c>
      <c r="B869" s="23" t="e">
        <f ca="1">_xludf.BETA.INV(R869,'04_PSA_INPUTS'!H5,'04_PSA_INPUTS'!I5)</f>
        <v>#NAME?</v>
      </c>
      <c r="C869" s="23" t="e">
        <f ca="1">_xludf.BETA.INV(S869,'04_PSA_INPUTS'!H6,'04_PSA_INPUTS'!I6)</f>
        <v>#NAME?</v>
      </c>
      <c r="D869" s="27" t="e">
        <f ca="1">_xludf.GAMMA.INV(T869,'04_PSA_INPUTS'!H7,'04_PSA_INPUTS'!I7)</f>
        <v>#NAME?</v>
      </c>
      <c r="E869" s="27" t="e">
        <f ca="1">_xludf.GAMMA.INV(U869,'04_PSA_INPUTS'!H8,'04_PSA_INPUTS'!I8)</f>
        <v>#NAME?</v>
      </c>
      <c r="F869" s="27" t="e">
        <f ca="1">_xludf.GAMMA.INV(V869,'04_PSA_INPUTS'!H9,'04_PSA_INPUTS'!I9)</f>
        <v>#NAME?</v>
      </c>
      <c r="G869" s="23" t="e">
        <f ca="1">_xludf.BETA.INV(W869,'04_PSA_INPUTS'!H10,'04_PSA_INPUTS'!I10)</f>
        <v>#NAME?</v>
      </c>
      <c r="H869" s="23" t="e">
        <f ca="1">_xludf.BETA.INV(X869,'04_PSA_INPUTS'!H11,'04_PSA_INPUTS'!I11)</f>
        <v>#NAME?</v>
      </c>
      <c r="I869" s="27" t="e">
        <f ca="1">D869+B869*F869+'01_INPUTS'!B20</f>
        <v>#NAME?</v>
      </c>
      <c r="J869" s="27" t="e">
        <f ca="1">E869+C869*F869+'01_INPUTS'!B21</f>
        <v>#NAME?</v>
      </c>
      <c r="K869" s="27" t="e">
        <f t="shared" ca="1" si="78"/>
        <v>#NAME?</v>
      </c>
      <c r="L869" s="23" t="e">
        <f t="shared" ca="1" si="79"/>
        <v>#NAME?</v>
      </c>
      <c r="M869" s="23" t="e">
        <f t="shared" ca="1" si="80"/>
        <v>#NAME?</v>
      </c>
      <c r="N869" s="23" t="e">
        <f t="shared" ca="1" si="81"/>
        <v>#NAME?</v>
      </c>
      <c r="O869" s="27" t="e">
        <f t="shared" ca="1" si="82"/>
        <v>#NAME?</v>
      </c>
      <c r="P869" s="27" t="e">
        <f ca="1">'01_INPUTS'!B9*N869-K869</f>
        <v>#NAME?</v>
      </c>
      <c r="Q869" s="1" t="e">
        <f t="shared" ca="1" si="83"/>
        <v>#NAME?</v>
      </c>
      <c r="R869" s="28">
        <v>0.64384378469549119</v>
      </c>
      <c r="S869" s="28">
        <v>6.0572876129299402E-2</v>
      </c>
      <c r="T869" s="28">
        <v>0.93741477932780981</v>
      </c>
      <c r="U869" s="28">
        <v>0.63044512644410133</v>
      </c>
      <c r="V869" s="28">
        <v>0.16995742195285857</v>
      </c>
      <c r="W869" s="28">
        <v>0.68260292708873749</v>
      </c>
      <c r="X869" s="28">
        <v>0.61156475520692766</v>
      </c>
    </row>
    <row r="870" spans="1:24" ht="13.9">
      <c r="A870" s="1">
        <v>869</v>
      </c>
      <c r="B870" s="23" t="e">
        <f ca="1">_xludf.BETA.INV(R870,'04_PSA_INPUTS'!H5,'04_PSA_INPUTS'!I5)</f>
        <v>#NAME?</v>
      </c>
      <c r="C870" s="23" t="e">
        <f ca="1">_xludf.BETA.INV(S870,'04_PSA_INPUTS'!H6,'04_PSA_INPUTS'!I6)</f>
        <v>#NAME?</v>
      </c>
      <c r="D870" s="27" t="e">
        <f ca="1">_xludf.GAMMA.INV(T870,'04_PSA_INPUTS'!H7,'04_PSA_INPUTS'!I7)</f>
        <v>#NAME?</v>
      </c>
      <c r="E870" s="27" t="e">
        <f ca="1">_xludf.GAMMA.INV(U870,'04_PSA_INPUTS'!H8,'04_PSA_INPUTS'!I8)</f>
        <v>#NAME?</v>
      </c>
      <c r="F870" s="27" t="e">
        <f ca="1">_xludf.GAMMA.INV(V870,'04_PSA_INPUTS'!H9,'04_PSA_INPUTS'!I9)</f>
        <v>#NAME?</v>
      </c>
      <c r="G870" s="23" t="e">
        <f ca="1">_xludf.BETA.INV(W870,'04_PSA_INPUTS'!H10,'04_PSA_INPUTS'!I10)</f>
        <v>#NAME?</v>
      </c>
      <c r="H870" s="23" t="e">
        <f ca="1">_xludf.BETA.INV(X870,'04_PSA_INPUTS'!H11,'04_PSA_INPUTS'!I11)</f>
        <v>#NAME?</v>
      </c>
      <c r="I870" s="27" t="e">
        <f ca="1">D870+B870*F870+'01_INPUTS'!B20</f>
        <v>#NAME?</v>
      </c>
      <c r="J870" s="27" t="e">
        <f ca="1">E870+C870*F870+'01_INPUTS'!B21</f>
        <v>#NAME?</v>
      </c>
      <c r="K870" s="27" t="e">
        <f t="shared" ca="1" si="78"/>
        <v>#NAME?</v>
      </c>
      <c r="L870" s="23" t="e">
        <f t="shared" ca="1" si="79"/>
        <v>#NAME?</v>
      </c>
      <c r="M870" s="23" t="e">
        <f t="shared" ca="1" si="80"/>
        <v>#NAME?</v>
      </c>
      <c r="N870" s="23" t="e">
        <f t="shared" ca="1" si="81"/>
        <v>#NAME?</v>
      </c>
      <c r="O870" s="27" t="e">
        <f t="shared" ca="1" si="82"/>
        <v>#NAME?</v>
      </c>
      <c r="P870" s="27" t="e">
        <f ca="1">'01_INPUTS'!B9*N870-K870</f>
        <v>#NAME?</v>
      </c>
      <c r="Q870" s="1" t="e">
        <f t="shared" ca="1" si="83"/>
        <v>#NAME?</v>
      </c>
      <c r="R870" s="28">
        <v>0.45821688184514642</v>
      </c>
      <c r="S870" s="28">
        <v>4.026439692825079E-2</v>
      </c>
      <c r="T870" s="28">
        <v>0.18690090393647552</v>
      </c>
      <c r="U870" s="28">
        <v>0.2443606024608016</v>
      </c>
      <c r="V870" s="28">
        <v>0.5670911711640656</v>
      </c>
      <c r="W870" s="28">
        <v>0.91864699660800397</v>
      </c>
      <c r="X870" s="28">
        <v>0.98912754189223051</v>
      </c>
    </row>
    <row r="871" spans="1:24" ht="13.9">
      <c r="A871" s="1">
        <v>870</v>
      </c>
      <c r="B871" s="23" t="e">
        <f ca="1">_xludf.BETA.INV(R871,'04_PSA_INPUTS'!H5,'04_PSA_INPUTS'!I5)</f>
        <v>#NAME?</v>
      </c>
      <c r="C871" s="23" t="e">
        <f ca="1">_xludf.BETA.INV(S871,'04_PSA_INPUTS'!H6,'04_PSA_INPUTS'!I6)</f>
        <v>#NAME?</v>
      </c>
      <c r="D871" s="27" t="e">
        <f ca="1">_xludf.GAMMA.INV(T871,'04_PSA_INPUTS'!H7,'04_PSA_INPUTS'!I7)</f>
        <v>#NAME?</v>
      </c>
      <c r="E871" s="27" t="e">
        <f ca="1">_xludf.GAMMA.INV(U871,'04_PSA_INPUTS'!H8,'04_PSA_INPUTS'!I8)</f>
        <v>#NAME?</v>
      </c>
      <c r="F871" s="27" t="e">
        <f ca="1">_xludf.GAMMA.INV(V871,'04_PSA_INPUTS'!H9,'04_PSA_INPUTS'!I9)</f>
        <v>#NAME?</v>
      </c>
      <c r="G871" s="23" t="e">
        <f ca="1">_xludf.BETA.INV(W871,'04_PSA_INPUTS'!H10,'04_PSA_INPUTS'!I10)</f>
        <v>#NAME?</v>
      </c>
      <c r="H871" s="23" t="e">
        <f ca="1">_xludf.BETA.INV(X871,'04_PSA_INPUTS'!H11,'04_PSA_INPUTS'!I11)</f>
        <v>#NAME?</v>
      </c>
      <c r="I871" s="27" t="e">
        <f ca="1">D871+B871*F871+'01_INPUTS'!B20</f>
        <v>#NAME?</v>
      </c>
      <c r="J871" s="27" t="e">
        <f ca="1">E871+C871*F871+'01_INPUTS'!B21</f>
        <v>#NAME?</v>
      </c>
      <c r="K871" s="27" t="e">
        <f t="shared" ca="1" si="78"/>
        <v>#NAME?</v>
      </c>
      <c r="L871" s="23" t="e">
        <f t="shared" ca="1" si="79"/>
        <v>#NAME?</v>
      </c>
      <c r="M871" s="23" t="e">
        <f t="shared" ca="1" si="80"/>
        <v>#NAME?</v>
      </c>
      <c r="N871" s="23" t="e">
        <f t="shared" ca="1" si="81"/>
        <v>#NAME?</v>
      </c>
      <c r="O871" s="27" t="e">
        <f t="shared" ca="1" si="82"/>
        <v>#NAME?</v>
      </c>
      <c r="P871" s="27" t="e">
        <f ca="1">'01_INPUTS'!B9*N871-K871</f>
        <v>#NAME?</v>
      </c>
      <c r="Q871" s="1" t="e">
        <f t="shared" ca="1" si="83"/>
        <v>#NAME?</v>
      </c>
      <c r="R871" s="28">
        <v>0.60091413557529449</v>
      </c>
      <c r="S871" s="28">
        <v>0.88173933792859316</v>
      </c>
      <c r="T871" s="28">
        <v>0.21631866879761219</v>
      </c>
      <c r="U871" s="28">
        <v>0.85190814035013318</v>
      </c>
      <c r="V871" s="28">
        <v>0.18306185724213719</v>
      </c>
      <c r="W871" s="28">
        <v>0.31149355950765312</v>
      </c>
      <c r="X871" s="28">
        <v>6.8856868892908096E-3</v>
      </c>
    </row>
    <row r="872" spans="1:24" ht="13.9">
      <c r="A872" s="1">
        <v>871</v>
      </c>
      <c r="B872" s="23" t="e">
        <f ca="1">_xludf.BETA.INV(R872,'04_PSA_INPUTS'!H5,'04_PSA_INPUTS'!I5)</f>
        <v>#NAME?</v>
      </c>
      <c r="C872" s="23" t="e">
        <f ca="1">_xludf.BETA.INV(S872,'04_PSA_INPUTS'!H6,'04_PSA_INPUTS'!I6)</f>
        <v>#NAME?</v>
      </c>
      <c r="D872" s="27" t="e">
        <f ca="1">_xludf.GAMMA.INV(T872,'04_PSA_INPUTS'!H7,'04_PSA_INPUTS'!I7)</f>
        <v>#NAME?</v>
      </c>
      <c r="E872" s="27" t="e">
        <f ca="1">_xludf.GAMMA.INV(U872,'04_PSA_INPUTS'!H8,'04_PSA_INPUTS'!I8)</f>
        <v>#NAME?</v>
      </c>
      <c r="F872" s="27" t="e">
        <f ca="1">_xludf.GAMMA.INV(V872,'04_PSA_INPUTS'!H9,'04_PSA_INPUTS'!I9)</f>
        <v>#NAME?</v>
      </c>
      <c r="G872" s="23" t="e">
        <f ca="1">_xludf.BETA.INV(W872,'04_PSA_INPUTS'!H10,'04_PSA_INPUTS'!I10)</f>
        <v>#NAME?</v>
      </c>
      <c r="H872" s="23" t="e">
        <f ca="1">_xludf.BETA.INV(X872,'04_PSA_INPUTS'!H11,'04_PSA_INPUTS'!I11)</f>
        <v>#NAME?</v>
      </c>
      <c r="I872" s="27" t="e">
        <f ca="1">D872+B872*F872+'01_INPUTS'!B20</f>
        <v>#NAME?</v>
      </c>
      <c r="J872" s="27" t="e">
        <f ca="1">E872+C872*F872+'01_INPUTS'!B21</f>
        <v>#NAME?</v>
      </c>
      <c r="K872" s="27" t="e">
        <f t="shared" ca="1" si="78"/>
        <v>#NAME?</v>
      </c>
      <c r="L872" s="23" t="e">
        <f t="shared" ca="1" si="79"/>
        <v>#NAME?</v>
      </c>
      <c r="M872" s="23" t="e">
        <f t="shared" ca="1" si="80"/>
        <v>#NAME?</v>
      </c>
      <c r="N872" s="23" t="e">
        <f t="shared" ca="1" si="81"/>
        <v>#NAME?</v>
      </c>
      <c r="O872" s="27" t="e">
        <f t="shared" ca="1" si="82"/>
        <v>#NAME?</v>
      </c>
      <c r="P872" s="27" t="e">
        <f ca="1">'01_INPUTS'!B9*N872-K872</f>
        <v>#NAME?</v>
      </c>
      <c r="Q872" s="1" t="e">
        <f t="shared" ca="1" si="83"/>
        <v>#NAME?</v>
      </c>
      <c r="R872" s="28">
        <v>0.17028526146896183</v>
      </c>
      <c r="S872" s="28">
        <v>0.25278940517455339</v>
      </c>
      <c r="T872" s="28">
        <v>0.28102577803656459</v>
      </c>
      <c r="U872" s="28">
        <v>0.57600172306410968</v>
      </c>
      <c r="V872" s="28">
        <v>0.91645452054217458</v>
      </c>
      <c r="W872" s="28">
        <v>0.48826865223236382</v>
      </c>
      <c r="X872" s="28">
        <v>0.70911619067192078</v>
      </c>
    </row>
    <row r="873" spans="1:24" ht="13.9">
      <c r="A873" s="1">
        <v>872</v>
      </c>
      <c r="B873" s="23" t="e">
        <f ca="1">_xludf.BETA.INV(R873,'04_PSA_INPUTS'!H5,'04_PSA_INPUTS'!I5)</f>
        <v>#NAME?</v>
      </c>
      <c r="C873" s="23" t="e">
        <f ca="1">_xludf.BETA.INV(S873,'04_PSA_INPUTS'!H6,'04_PSA_INPUTS'!I6)</f>
        <v>#NAME?</v>
      </c>
      <c r="D873" s="27" t="e">
        <f ca="1">_xludf.GAMMA.INV(T873,'04_PSA_INPUTS'!H7,'04_PSA_INPUTS'!I7)</f>
        <v>#NAME?</v>
      </c>
      <c r="E873" s="27" t="e">
        <f ca="1">_xludf.GAMMA.INV(U873,'04_PSA_INPUTS'!H8,'04_PSA_INPUTS'!I8)</f>
        <v>#NAME?</v>
      </c>
      <c r="F873" s="27" t="e">
        <f ca="1">_xludf.GAMMA.INV(V873,'04_PSA_INPUTS'!H9,'04_PSA_INPUTS'!I9)</f>
        <v>#NAME?</v>
      </c>
      <c r="G873" s="23" t="e">
        <f ca="1">_xludf.BETA.INV(W873,'04_PSA_INPUTS'!H10,'04_PSA_INPUTS'!I10)</f>
        <v>#NAME?</v>
      </c>
      <c r="H873" s="23" t="e">
        <f ca="1">_xludf.BETA.INV(X873,'04_PSA_INPUTS'!H11,'04_PSA_INPUTS'!I11)</f>
        <v>#NAME?</v>
      </c>
      <c r="I873" s="27" t="e">
        <f ca="1">D873+B873*F873+'01_INPUTS'!B20</f>
        <v>#NAME?</v>
      </c>
      <c r="J873" s="27" t="e">
        <f ca="1">E873+C873*F873+'01_INPUTS'!B21</f>
        <v>#NAME?</v>
      </c>
      <c r="K873" s="27" t="e">
        <f t="shared" ca="1" si="78"/>
        <v>#NAME?</v>
      </c>
      <c r="L873" s="23" t="e">
        <f t="shared" ca="1" si="79"/>
        <v>#NAME?</v>
      </c>
      <c r="M873" s="23" t="e">
        <f t="shared" ca="1" si="80"/>
        <v>#NAME?</v>
      </c>
      <c r="N873" s="23" t="e">
        <f t="shared" ca="1" si="81"/>
        <v>#NAME?</v>
      </c>
      <c r="O873" s="27" t="e">
        <f t="shared" ca="1" si="82"/>
        <v>#NAME?</v>
      </c>
      <c r="P873" s="27" t="e">
        <f ca="1">'01_INPUTS'!B9*N873-K873</f>
        <v>#NAME?</v>
      </c>
      <c r="Q873" s="1" t="e">
        <f t="shared" ca="1" si="83"/>
        <v>#NAME?</v>
      </c>
      <c r="R873" s="28">
        <v>0.3773183929733932</v>
      </c>
      <c r="S873" s="28">
        <v>8.0051572062075138E-2</v>
      </c>
      <c r="T873" s="28">
        <v>0.64802650571800768</v>
      </c>
      <c r="U873" s="28">
        <v>0.78516208031214774</v>
      </c>
      <c r="V873" s="28">
        <v>0.31362766493111849</v>
      </c>
      <c r="W873" s="28">
        <v>0.68730890215374529</v>
      </c>
      <c r="X873" s="28">
        <v>0.63768214103765786</v>
      </c>
    </row>
    <row r="874" spans="1:24" ht="13.9">
      <c r="A874" s="1">
        <v>873</v>
      </c>
      <c r="B874" s="23" t="e">
        <f ca="1">_xludf.BETA.INV(R874,'04_PSA_INPUTS'!H5,'04_PSA_INPUTS'!I5)</f>
        <v>#NAME?</v>
      </c>
      <c r="C874" s="23" t="e">
        <f ca="1">_xludf.BETA.INV(S874,'04_PSA_INPUTS'!H6,'04_PSA_INPUTS'!I6)</f>
        <v>#NAME?</v>
      </c>
      <c r="D874" s="27" t="e">
        <f ca="1">_xludf.GAMMA.INV(T874,'04_PSA_INPUTS'!H7,'04_PSA_INPUTS'!I7)</f>
        <v>#NAME?</v>
      </c>
      <c r="E874" s="27" t="e">
        <f ca="1">_xludf.GAMMA.INV(U874,'04_PSA_INPUTS'!H8,'04_PSA_INPUTS'!I8)</f>
        <v>#NAME?</v>
      </c>
      <c r="F874" s="27" t="e">
        <f ca="1">_xludf.GAMMA.INV(V874,'04_PSA_INPUTS'!H9,'04_PSA_INPUTS'!I9)</f>
        <v>#NAME?</v>
      </c>
      <c r="G874" s="23" t="e">
        <f ca="1">_xludf.BETA.INV(W874,'04_PSA_INPUTS'!H10,'04_PSA_INPUTS'!I10)</f>
        <v>#NAME?</v>
      </c>
      <c r="H874" s="23" t="e">
        <f ca="1">_xludf.BETA.INV(X874,'04_PSA_INPUTS'!H11,'04_PSA_INPUTS'!I11)</f>
        <v>#NAME?</v>
      </c>
      <c r="I874" s="27" t="e">
        <f ca="1">D874+B874*F874+'01_INPUTS'!B20</f>
        <v>#NAME?</v>
      </c>
      <c r="J874" s="27" t="e">
        <f ca="1">E874+C874*F874+'01_INPUTS'!B21</f>
        <v>#NAME?</v>
      </c>
      <c r="K874" s="27" t="e">
        <f t="shared" ca="1" si="78"/>
        <v>#NAME?</v>
      </c>
      <c r="L874" s="23" t="e">
        <f t="shared" ca="1" si="79"/>
        <v>#NAME?</v>
      </c>
      <c r="M874" s="23" t="e">
        <f t="shared" ca="1" si="80"/>
        <v>#NAME?</v>
      </c>
      <c r="N874" s="23" t="e">
        <f t="shared" ca="1" si="81"/>
        <v>#NAME?</v>
      </c>
      <c r="O874" s="27" t="e">
        <f t="shared" ca="1" si="82"/>
        <v>#NAME?</v>
      </c>
      <c r="P874" s="27" t="e">
        <f ca="1">'01_INPUTS'!B9*N874-K874</f>
        <v>#NAME?</v>
      </c>
      <c r="Q874" s="1" t="e">
        <f t="shared" ca="1" si="83"/>
        <v>#NAME?</v>
      </c>
      <c r="R874" s="28">
        <v>0.75853511248715222</v>
      </c>
      <c r="S874" s="28">
        <v>0.48393278475850821</v>
      </c>
      <c r="T874" s="28">
        <v>2.4390155449509621E-3</v>
      </c>
      <c r="U874" s="28">
        <v>0.74439291749149561</v>
      </c>
      <c r="V874" s="28">
        <v>0.24024866847321391</v>
      </c>
      <c r="W874" s="28">
        <v>0.2109920559450984</v>
      </c>
      <c r="X874" s="28">
        <v>0.16796885151416063</v>
      </c>
    </row>
    <row r="875" spans="1:24" ht="13.9">
      <c r="A875" s="1">
        <v>874</v>
      </c>
      <c r="B875" s="23" t="e">
        <f ca="1">_xludf.BETA.INV(R875,'04_PSA_INPUTS'!H5,'04_PSA_INPUTS'!I5)</f>
        <v>#NAME?</v>
      </c>
      <c r="C875" s="23" t="e">
        <f ca="1">_xludf.BETA.INV(S875,'04_PSA_INPUTS'!H6,'04_PSA_INPUTS'!I6)</f>
        <v>#NAME?</v>
      </c>
      <c r="D875" s="27" t="e">
        <f ca="1">_xludf.GAMMA.INV(T875,'04_PSA_INPUTS'!H7,'04_PSA_INPUTS'!I7)</f>
        <v>#NAME?</v>
      </c>
      <c r="E875" s="27" t="e">
        <f ca="1">_xludf.GAMMA.INV(U875,'04_PSA_INPUTS'!H8,'04_PSA_INPUTS'!I8)</f>
        <v>#NAME?</v>
      </c>
      <c r="F875" s="27" t="e">
        <f ca="1">_xludf.GAMMA.INV(V875,'04_PSA_INPUTS'!H9,'04_PSA_INPUTS'!I9)</f>
        <v>#NAME?</v>
      </c>
      <c r="G875" s="23" t="e">
        <f ca="1">_xludf.BETA.INV(W875,'04_PSA_INPUTS'!H10,'04_PSA_INPUTS'!I10)</f>
        <v>#NAME?</v>
      </c>
      <c r="H875" s="23" t="e">
        <f ca="1">_xludf.BETA.INV(X875,'04_PSA_INPUTS'!H11,'04_PSA_INPUTS'!I11)</f>
        <v>#NAME?</v>
      </c>
      <c r="I875" s="27" t="e">
        <f ca="1">D875+B875*F875+'01_INPUTS'!B20</f>
        <v>#NAME?</v>
      </c>
      <c r="J875" s="27" t="e">
        <f ca="1">E875+C875*F875+'01_INPUTS'!B21</f>
        <v>#NAME?</v>
      </c>
      <c r="K875" s="27" t="e">
        <f t="shared" ca="1" si="78"/>
        <v>#NAME?</v>
      </c>
      <c r="L875" s="23" t="e">
        <f t="shared" ca="1" si="79"/>
        <v>#NAME?</v>
      </c>
      <c r="M875" s="23" t="e">
        <f t="shared" ca="1" si="80"/>
        <v>#NAME?</v>
      </c>
      <c r="N875" s="23" t="e">
        <f t="shared" ca="1" si="81"/>
        <v>#NAME?</v>
      </c>
      <c r="O875" s="27" t="e">
        <f t="shared" ca="1" si="82"/>
        <v>#NAME?</v>
      </c>
      <c r="P875" s="27" t="e">
        <f ca="1">'01_INPUTS'!B9*N875-K875</f>
        <v>#NAME?</v>
      </c>
      <c r="Q875" s="1" t="e">
        <f t="shared" ca="1" si="83"/>
        <v>#NAME?</v>
      </c>
      <c r="R875" s="28">
        <v>8.8825721759349108E-3</v>
      </c>
      <c r="S875" s="28">
        <v>0.22153645846992731</v>
      </c>
      <c r="T875" s="28">
        <v>0.81785648688673973</v>
      </c>
      <c r="U875" s="28">
        <v>0.94865130260586739</v>
      </c>
      <c r="V875" s="28">
        <v>0.79162112111225724</v>
      </c>
      <c r="W875" s="28">
        <v>0.2662960491143167</v>
      </c>
      <c r="X875" s="28">
        <v>0.35597569309175014</v>
      </c>
    </row>
    <row r="876" spans="1:24" ht="13.9">
      <c r="A876" s="1">
        <v>875</v>
      </c>
      <c r="B876" s="23" t="e">
        <f ca="1">_xludf.BETA.INV(R876,'04_PSA_INPUTS'!H5,'04_PSA_INPUTS'!I5)</f>
        <v>#NAME?</v>
      </c>
      <c r="C876" s="23" t="e">
        <f ca="1">_xludf.BETA.INV(S876,'04_PSA_INPUTS'!H6,'04_PSA_INPUTS'!I6)</f>
        <v>#NAME?</v>
      </c>
      <c r="D876" s="27" t="e">
        <f ca="1">_xludf.GAMMA.INV(T876,'04_PSA_INPUTS'!H7,'04_PSA_INPUTS'!I7)</f>
        <v>#NAME?</v>
      </c>
      <c r="E876" s="27" t="e">
        <f ca="1">_xludf.GAMMA.INV(U876,'04_PSA_INPUTS'!H8,'04_PSA_INPUTS'!I8)</f>
        <v>#NAME?</v>
      </c>
      <c r="F876" s="27" t="e">
        <f ca="1">_xludf.GAMMA.INV(V876,'04_PSA_INPUTS'!H9,'04_PSA_INPUTS'!I9)</f>
        <v>#NAME?</v>
      </c>
      <c r="G876" s="23" t="e">
        <f ca="1">_xludf.BETA.INV(W876,'04_PSA_INPUTS'!H10,'04_PSA_INPUTS'!I10)</f>
        <v>#NAME?</v>
      </c>
      <c r="H876" s="23" t="e">
        <f ca="1">_xludf.BETA.INV(X876,'04_PSA_INPUTS'!H11,'04_PSA_INPUTS'!I11)</f>
        <v>#NAME?</v>
      </c>
      <c r="I876" s="27" t="e">
        <f ca="1">D876+B876*F876+'01_INPUTS'!B20</f>
        <v>#NAME?</v>
      </c>
      <c r="J876" s="27" t="e">
        <f ca="1">E876+C876*F876+'01_INPUTS'!B21</f>
        <v>#NAME?</v>
      </c>
      <c r="K876" s="27" t="e">
        <f t="shared" ca="1" si="78"/>
        <v>#NAME?</v>
      </c>
      <c r="L876" s="23" t="e">
        <f t="shared" ca="1" si="79"/>
        <v>#NAME?</v>
      </c>
      <c r="M876" s="23" t="e">
        <f t="shared" ca="1" si="80"/>
        <v>#NAME?</v>
      </c>
      <c r="N876" s="23" t="e">
        <f t="shared" ca="1" si="81"/>
        <v>#NAME?</v>
      </c>
      <c r="O876" s="27" t="e">
        <f t="shared" ca="1" si="82"/>
        <v>#NAME?</v>
      </c>
      <c r="P876" s="27" t="e">
        <f ca="1">'01_INPUTS'!B9*N876-K876</f>
        <v>#NAME?</v>
      </c>
      <c r="Q876" s="1" t="e">
        <f t="shared" ca="1" si="83"/>
        <v>#NAME?</v>
      </c>
      <c r="R876" s="28">
        <v>0.9686927127186209</v>
      </c>
      <c r="S876" s="28">
        <v>0.37629210553131998</v>
      </c>
      <c r="T876" s="28">
        <v>0.6001662714406848</v>
      </c>
      <c r="U876" s="28">
        <v>0.64036065759137273</v>
      </c>
      <c r="V876" s="28">
        <v>0.65692109288647771</v>
      </c>
      <c r="W876" s="28">
        <v>0.52896548295393586</v>
      </c>
      <c r="X876" s="28">
        <v>0.62117687915451825</v>
      </c>
    </row>
    <row r="877" spans="1:24" ht="13.9">
      <c r="A877" s="1">
        <v>876</v>
      </c>
      <c r="B877" s="23" t="e">
        <f ca="1">_xludf.BETA.INV(R877,'04_PSA_INPUTS'!H5,'04_PSA_INPUTS'!I5)</f>
        <v>#NAME?</v>
      </c>
      <c r="C877" s="23" t="e">
        <f ca="1">_xludf.BETA.INV(S877,'04_PSA_INPUTS'!H6,'04_PSA_INPUTS'!I6)</f>
        <v>#NAME?</v>
      </c>
      <c r="D877" s="27" t="e">
        <f ca="1">_xludf.GAMMA.INV(T877,'04_PSA_INPUTS'!H7,'04_PSA_INPUTS'!I7)</f>
        <v>#NAME?</v>
      </c>
      <c r="E877" s="27" t="e">
        <f ca="1">_xludf.GAMMA.INV(U877,'04_PSA_INPUTS'!H8,'04_PSA_INPUTS'!I8)</f>
        <v>#NAME?</v>
      </c>
      <c r="F877" s="27" t="e">
        <f ca="1">_xludf.GAMMA.INV(V877,'04_PSA_INPUTS'!H9,'04_PSA_INPUTS'!I9)</f>
        <v>#NAME?</v>
      </c>
      <c r="G877" s="23" t="e">
        <f ca="1">_xludf.BETA.INV(W877,'04_PSA_INPUTS'!H10,'04_PSA_INPUTS'!I10)</f>
        <v>#NAME?</v>
      </c>
      <c r="H877" s="23" t="e">
        <f ca="1">_xludf.BETA.INV(X877,'04_PSA_INPUTS'!H11,'04_PSA_INPUTS'!I11)</f>
        <v>#NAME?</v>
      </c>
      <c r="I877" s="27" t="e">
        <f ca="1">D877+B877*F877+'01_INPUTS'!B20</f>
        <v>#NAME?</v>
      </c>
      <c r="J877" s="27" t="e">
        <f ca="1">E877+C877*F877+'01_INPUTS'!B21</f>
        <v>#NAME?</v>
      </c>
      <c r="K877" s="27" t="e">
        <f t="shared" ca="1" si="78"/>
        <v>#NAME?</v>
      </c>
      <c r="L877" s="23" t="e">
        <f t="shared" ca="1" si="79"/>
        <v>#NAME?</v>
      </c>
      <c r="M877" s="23" t="e">
        <f t="shared" ca="1" si="80"/>
        <v>#NAME?</v>
      </c>
      <c r="N877" s="23" t="e">
        <f t="shared" ca="1" si="81"/>
        <v>#NAME?</v>
      </c>
      <c r="O877" s="27" t="e">
        <f t="shared" ca="1" si="82"/>
        <v>#NAME?</v>
      </c>
      <c r="P877" s="27" t="e">
        <f ca="1">'01_INPUTS'!B9*N877-K877</f>
        <v>#NAME?</v>
      </c>
      <c r="Q877" s="1" t="e">
        <f t="shared" ca="1" si="83"/>
        <v>#NAME?</v>
      </c>
      <c r="R877" s="28">
        <v>0.74353408813476563</v>
      </c>
      <c r="S877" s="28">
        <v>0.41927122813649476</v>
      </c>
      <c r="T877" s="28">
        <v>0.22719382308423519</v>
      </c>
      <c r="U877" s="28">
        <v>5.2322070812806487E-2</v>
      </c>
      <c r="V877" s="28">
        <v>0.2818359094671905</v>
      </c>
      <c r="W877" s="28">
        <v>0.36457219114527106</v>
      </c>
      <c r="X877" s="28">
        <v>0.61445265775546432</v>
      </c>
    </row>
    <row r="878" spans="1:24" ht="13.9">
      <c r="A878" s="1">
        <v>877</v>
      </c>
      <c r="B878" s="23" t="e">
        <f ca="1">_xludf.BETA.INV(R878,'04_PSA_INPUTS'!H5,'04_PSA_INPUTS'!I5)</f>
        <v>#NAME?</v>
      </c>
      <c r="C878" s="23" t="e">
        <f ca="1">_xludf.BETA.INV(S878,'04_PSA_INPUTS'!H6,'04_PSA_INPUTS'!I6)</f>
        <v>#NAME?</v>
      </c>
      <c r="D878" s="27" t="e">
        <f ca="1">_xludf.GAMMA.INV(T878,'04_PSA_INPUTS'!H7,'04_PSA_INPUTS'!I7)</f>
        <v>#NAME?</v>
      </c>
      <c r="E878" s="27" t="e">
        <f ca="1">_xludf.GAMMA.INV(U878,'04_PSA_INPUTS'!H8,'04_PSA_INPUTS'!I8)</f>
        <v>#NAME?</v>
      </c>
      <c r="F878" s="27" t="e">
        <f ca="1">_xludf.GAMMA.INV(V878,'04_PSA_INPUTS'!H9,'04_PSA_INPUTS'!I9)</f>
        <v>#NAME?</v>
      </c>
      <c r="G878" s="23" t="e">
        <f ca="1">_xludf.BETA.INV(W878,'04_PSA_INPUTS'!H10,'04_PSA_INPUTS'!I10)</f>
        <v>#NAME?</v>
      </c>
      <c r="H878" s="23" t="e">
        <f ca="1">_xludf.BETA.INV(X878,'04_PSA_INPUTS'!H11,'04_PSA_INPUTS'!I11)</f>
        <v>#NAME?</v>
      </c>
      <c r="I878" s="27" t="e">
        <f ca="1">D878+B878*F878+'01_INPUTS'!B20</f>
        <v>#NAME?</v>
      </c>
      <c r="J878" s="27" t="e">
        <f ca="1">E878+C878*F878+'01_INPUTS'!B21</f>
        <v>#NAME?</v>
      </c>
      <c r="K878" s="27" t="e">
        <f t="shared" ca="1" si="78"/>
        <v>#NAME?</v>
      </c>
      <c r="L878" s="23" t="e">
        <f t="shared" ca="1" si="79"/>
        <v>#NAME?</v>
      </c>
      <c r="M878" s="23" t="e">
        <f t="shared" ca="1" si="80"/>
        <v>#NAME?</v>
      </c>
      <c r="N878" s="23" t="e">
        <f t="shared" ca="1" si="81"/>
        <v>#NAME?</v>
      </c>
      <c r="O878" s="27" t="e">
        <f t="shared" ca="1" si="82"/>
        <v>#NAME?</v>
      </c>
      <c r="P878" s="27" t="e">
        <f ca="1">'01_INPUTS'!B9*N878-K878</f>
        <v>#NAME?</v>
      </c>
      <c r="Q878" s="1" t="e">
        <f t="shared" ca="1" si="83"/>
        <v>#NAME?</v>
      </c>
      <c r="R878" s="28">
        <v>0.18344097561202943</v>
      </c>
      <c r="S878" s="28">
        <v>0.42700932431034744</v>
      </c>
      <c r="T878" s="28">
        <v>0.48240216635167599</v>
      </c>
      <c r="U878" s="28">
        <v>0.40621598344296217</v>
      </c>
      <c r="V878" s="28">
        <v>0.33034131349995732</v>
      </c>
      <c r="W878" s="28">
        <v>0.43518225569278002</v>
      </c>
      <c r="X878" s="28">
        <v>0.49039221601560712</v>
      </c>
    </row>
    <row r="879" spans="1:24" ht="13.9">
      <c r="A879" s="1">
        <v>878</v>
      </c>
      <c r="B879" s="23" t="e">
        <f ca="1">_xludf.BETA.INV(R879,'04_PSA_INPUTS'!H5,'04_PSA_INPUTS'!I5)</f>
        <v>#NAME?</v>
      </c>
      <c r="C879" s="23" t="e">
        <f ca="1">_xludf.BETA.INV(S879,'04_PSA_INPUTS'!H6,'04_PSA_INPUTS'!I6)</f>
        <v>#NAME?</v>
      </c>
      <c r="D879" s="27" t="e">
        <f ca="1">_xludf.GAMMA.INV(T879,'04_PSA_INPUTS'!H7,'04_PSA_INPUTS'!I7)</f>
        <v>#NAME?</v>
      </c>
      <c r="E879" s="27" t="e">
        <f ca="1">_xludf.GAMMA.INV(U879,'04_PSA_INPUTS'!H8,'04_PSA_INPUTS'!I8)</f>
        <v>#NAME?</v>
      </c>
      <c r="F879" s="27" t="e">
        <f ca="1">_xludf.GAMMA.INV(V879,'04_PSA_INPUTS'!H9,'04_PSA_INPUTS'!I9)</f>
        <v>#NAME?</v>
      </c>
      <c r="G879" s="23" t="e">
        <f ca="1">_xludf.BETA.INV(W879,'04_PSA_INPUTS'!H10,'04_PSA_INPUTS'!I10)</f>
        <v>#NAME?</v>
      </c>
      <c r="H879" s="23" t="e">
        <f ca="1">_xludf.BETA.INV(X879,'04_PSA_INPUTS'!H11,'04_PSA_INPUTS'!I11)</f>
        <v>#NAME?</v>
      </c>
      <c r="I879" s="27" t="e">
        <f ca="1">D879+B879*F879+'01_INPUTS'!B20</f>
        <v>#NAME?</v>
      </c>
      <c r="J879" s="27" t="e">
        <f ca="1">E879+C879*F879+'01_INPUTS'!B21</f>
        <v>#NAME?</v>
      </c>
      <c r="K879" s="27" t="e">
        <f t="shared" ca="1" si="78"/>
        <v>#NAME?</v>
      </c>
      <c r="L879" s="23" t="e">
        <f t="shared" ca="1" si="79"/>
        <v>#NAME?</v>
      </c>
      <c r="M879" s="23" t="e">
        <f t="shared" ca="1" si="80"/>
        <v>#NAME?</v>
      </c>
      <c r="N879" s="23" t="e">
        <f t="shared" ca="1" si="81"/>
        <v>#NAME?</v>
      </c>
      <c r="O879" s="27" t="e">
        <f t="shared" ca="1" si="82"/>
        <v>#NAME?</v>
      </c>
      <c r="P879" s="27" t="e">
        <f ca="1">'01_INPUTS'!B9*N879-K879</f>
        <v>#NAME?</v>
      </c>
      <c r="Q879" s="1" t="e">
        <f t="shared" ca="1" si="83"/>
        <v>#NAME?</v>
      </c>
      <c r="R879" s="28">
        <v>0.53811794309876859</v>
      </c>
      <c r="S879" s="28">
        <v>4.9364913953468204E-2</v>
      </c>
      <c r="T879" s="28">
        <v>0.32151161879301071</v>
      </c>
      <c r="U879" s="28">
        <v>0.90778798912651837</v>
      </c>
      <c r="V879" s="28">
        <v>0.17891170457005501</v>
      </c>
      <c r="W879" s="28">
        <v>0.43998172786086798</v>
      </c>
      <c r="X879" s="28">
        <v>0.60172165744006634</v>
      </c>
    </row>
    <row r="880" spans="1:24" ht="13.9">
      <c r="A880" s="1">
        <v>879</v>
      </c>
      <c r="B880" s="23" t="e">
        <f ca="1">_xludf.BETA.INV(R880,'04_PSA_INPUTS'!H5,'04_PSA_INPUTS'!I5)</f>
        <v>#NAME?</v>
      </c>
      <c r="C880" s="23" t="e">
        <f ca="1">_xludf.BETA.INV(S880,'04_PSA_INPUTS'!H6,'04_PSA_INPUTS'!I6)</f>
        <v>#NAME?</v>
      </c>
      <c r="D880" s="27" t="e">
        <f ca="1">_xludf.GAMMA.INV(T880,'04_PSA_INPUTS'!H7,'04_PSA_INPUTS'!I7)</f>
        <v>#NAME?</v>
      </c>
      <c r="E880" s="27" t="e">
        <f ca="1">_xludf.GAMMA.INV(U880,'04_PSA_INPUTS'!H8,'04_PSA_INPUTS'!I8)</f>
        <v>#NAME?</v>
      </c>
      <c r="F880" s="27" t="e">
        <f ca="1">_xludf.GAMMA.INV(V880,'04_PSA_INPUTS'!H9,'04_PSA_INPUTS'!I9)</f>
        <v>#NAME?</v>
      </c>
      <c r="G880" s="23" t="e">
        <f ca="1">_xludf.BETA.INV(W880,'04_PSA_INPUTS'!H10,'04_PSA_INPUTS'!I10)</f>
        <v>#NAME?</v>
      </c>
      <c r="H880" s="23" t="e">
        <f ca="1">_xludf.BETA.INV(X880,'04_PSA_INPUTS'!H11,'04_PSA_INPUTS'!I11)</f>
        <v>#NAME?</v>
      </c>
      <c r="I880" s="27" t="e">
        <f ca="1">D880+B880*F880+'01_INPUTS'!B20</f>
        <v>#NAME?</v>
      </c>
      <c r="J880" s="27" t="e">
        <f ca="1">E880+C880*F880+'01_INPUTS'!B21</f>
        <v>#NAME?</v>
      </c>
      <c r="K880" s="27" t="e">
        <f t="shared" ca="1" si="78"/>
        <v>#NAME?</v>
      </c>
      <c r="L880" s="23" t="e">
        <f t="shared" ca="1" si="79"/>
        <v>#NAME?</v>
      </c>
      <c r="M880" s="23" t="e">
        <f t="shared" ca="1" si="80"/>
        <v>#NAME?</v>
      </c>
      <c r="N880" s="23" t="e">
        <f t="shared" ca="1" si="81"/>
        <v>#NAME?</v>
      </c>
      <c r="O880" s="27" t="e">
        <f t="shared" ca="1" si="82"/>
        <v>#NAME?</v>
      </c>
      <c r="P880" s="27" t="e">
        <f ca="1">'01_INPUTS'!B9*N880-K880</f>
        <v>#NAME?</v>
      </c>
      <c r="Q880" s="1" t="e">
        <f t="shared" ca="1" si="83"/>
        <v>#NAME?</v>
      </c>
      <c r="R880" s="28">
        <v>0.92075576563365757</v>
      </c>
      <c r="S880" s="28">
        <v>0.8531910206656903</v>
      </c>
      <c r="T880" s="28">
        <v>0.17545188800431788</v>
      </c>
      <c r="U880" s="28">
        <v>0.31171343778260052</v>
      </c>
      <c r="V880" s="28">
        <v>0.84973385115154088</v>
      </c>
      <c r="W880" s="28">
        <v>0.83679916290566325</v>
      </c>
      <c r="X880" s="28">
        <v>0.51235158718191087</v>
      </c>
    </row>
    <row r="881" spans="1:24" ht="13.9">
      <c r="A881" s="1">
        <v>880</v>
      </c>
      <c r="B881" s="23" t="e">
        <f ca="1">_xludf.BETA.INV(R881,'04_PSA_INPUTS'!H5,'04_PSA_INPUTS'!I5)</f>
        <v>#NAME?</v>
      </c>
      <c r="C881" s="23" t="e">
        <f ca="1">_xludf.BETA.INV(S881,'04_PSA_INPUTS'!H6,'04_PSA_INPUTS'!I6)</f>
        <v>#NAME?</v>
      </c>
      <c r="D881" s="27" t="e">
        <f ca="1">_xludf.GAMMA.INV(T881,'04_PSA_INPUTS'!H7,'04_PSA_INPUTS'!I7)</f>
        <v>#NAME?</v>
      </c>
      <c r="E881" s="27" t="e">
        <f ca="1">_xludf.GAMMA.INV(U881,'04_PSA_INPUTS'!H8,'04_PSA_INPUTS'!I8)</f>
        <v>#NAME?</v>
      </c>
      <c r="F881" s="27" t="e">
        <f ca="1">_xludf.GAMMA.INV(V881,'04_PSA_INPUTS'!H9,'04_PSA_INPUTS'!I9)</f>
        <v>#NAME?</v>
      </c>
      <c r="G881" s="23" t="e">
        <f ca="1">_xludf.BETA.INV(W881,'04_PSA_INPUTS'!H10,'04_PSA_INPUTS'!I10)</f>
        <v>#NAME?</v>
      </c>
      <c r="H881" s="23" t="e">
        <f ca="1">_xludf.BETA.INV(X881,'04_PSA_INPUTS'!H11,'04_PSA_INPUTS'!I11)</f>
        <v>#NAME?</v>
      </c>
      <c r="I881" s="27" t="e">
        <f ca="1">D881+B881*F881+'01_INPUTS'!B20</f>
        <v>#NAME?</v>
      </c>
      <c r="J881" s="27" t="e">
        <f ca="1">E881+C881*F881+'01_INPUTS'!B21</f>
        <v>#NAME?</v>
      </c>
      <c r="K881" s="27" t="e">
        <f t="shared" ca="1" si="78"/>
        <v>#NAME?</v>
      </c>
      <c r="L881" s="23" t="e">
        <f t="shared" ca="1" si="79"/>
        <v>#NAME?</v>
      </c>
      <c r="M881" s="23" t="e">
        <f t="shared" ca="1" si="80"/>
        <v>#NAME?</v>
      </c>
      <c r="N881" s="23" t="e">
        <f t="shared" ca="1" si="81"/>
        <v>#NAME?</v>
      </c>
      <c r="O881" s="27" t="e">
        <f t="shared" ca="1" si="82"/>
        <v>#NAME?</v>
      </c>
      <c r="P881" s="27" t="e">
        <f ca="1">'01_INPUTS'!B9*N881-K881</f>
        <v>#NAME?</v>
      </c>
      <c r="Q881" s="1" t="e">
        <f t="shared" ca="1" si="83"/>
        <v>#NAME?</v>
      </c>
      <c r="R881" s="28">
        <v>0.85378161817789078</v>
      </c>
      <c r="S881" s="28">
        <v>0.17509991070255637</v>
      </c>
      <c r="T881" s="28">
        <v>0.23995568719692528</v>
      </c>
      <c r="U881" s="28">
        <v>0.9126201740000397</v>
      </c>
      <c r="V881" s="28">
        <v>0.9716374462004751</v>
      </c>
      <c r="W881" s="28">
        <v>0.78084858879446983</v>
      </c>
      <c r="X881" s="28">
        <v>0.59536871919408441</v>
      </c>
    </row>
    <row r="882" spans="1:24" ht="13.9">
      <c r="A882" s="1">
        <v>881</v>
      </c>
      <c r="B882" s="23" t="e">
        <f ca="1">_xludf.BETA.INV(R882,'04_PSA_INPUTS'!H5,'04_PSA_INPUTS'!I5)</f>
        <v>#NAME?</v>
      </c>
      <c r="C882" s="23" t="e">
        <f ca="1">_xludf.BETA.INV(S882,'04_PSA_INPUTS'!H6,'04_PSA_INPUTS'!I6)</f>
        <v>#NAME?</v>
      </c>
      <c r="D882" s="27" t="e">
        <f ca="1">_xludf.GAMMA.INV(T882,'04_PSA_INPUTS'!H7,'04_PSA_INPUTS'!I7)</f>
        <v>#NAME?</v>
      </c>
      <c r="E882" s="27" t="e">
        <f ca="1">_xludf.GAMMA.INV(U882,'04_PSA_INPUTS'!H8,'04_PSA_INPUTS'!I8)</f>
        <v>#NAME?</v>
      </c>
      <c r="F882" s="27" t="e">
        <f ca="1">_xludf.GAMMA.INV(V882,'04_PSA_INPUTS'!H9,'04_PSA_INPUTS'!I9)</f>
        <v>#NAME?</v>
      </c>
      <c r="G882" s="23" t="e">
        <f ca="1">_xludf.BETA.INV(W882,'04_PSA_INPUTS'!H10,'04_PSA_INPUTS'!I10)</f>
        <v>#NAME?</v>
      </c>
      <c r="H882" s="23" t="e">
        <f ca="1">_xludf.BETA.INV(X882,'04_PSA_INPUTS'!H11,'04_PSA_INPUTS'!I11)</f>
        <v>#NAME?</v>
      </c>
      <c r="I882" s="27" t="e">
        <f ca="1">D882+B882*F882+'01_INPUTS'!B20</f>
        <v>#NAME?</v>
      </c>
      <c r="J882" s="27" t="e">
        <f ca="1">E882+C882*F882+'01_INPUTS'!B21</f>
        <v>#NAME?</v>
      </c>
      <c r="K882" s="27" t="e">
        <f t="shared" ca="1" si="78"/>
        <v>#NAME?</v>
      </c>
      <c r="L882" s="23" t="e">
        <f t="shared" ca="1" si="79"/>
        <v>#NAME?</v>
      </c>
      <c r="M882" s="23" t="e">
        <f t="shared" ca="1" si="80"/>
        <v>#NAME?</v>
      </c>
      <c r="N882" s="23" t="e">
        <f t="shared" ca="1" si="81"/>
        <v>#NAME?</v>
      </c>
      <c r="O882" s="27" t="e">
        <f t="shared" ca="1" si="82"/>
        <v>#NAME?</v>
      </c>
      <c r="P882" s="27" t="e">
        <f ca="1">'01_INPUTS'!B9*N882-K882</f>
        <v>#NAME?</v>
      </c>
      <c r="Q882" s="1" t="e">
        <f t="shared" ca="1" si="83"/>
        <v>#NAME?</v>
      </c>
      <c r="R882" s="28">
        <v>0.13551450218074024</v>
      </c>
      <c r="S882" s="28">
        <v>0.67586536286398768</v>
      </c>
      <c r="T882" s="28">
        <v>0.75461570476181805</v>
      </c>
      <c r="U882" s="28">
        <v>0.90357709676027298</v>
      </c>
      <c r="V882" s="28">
        <v>0.53121693944558501</v>
      </c>
      <c r="W882" s="28">
        <v>0.33743266970850527</v>
      </c>
      <c r="X882" s="28">
        <v>0.2990997179877013</v>
      </c>
    </row>
    <row r="883" spans="1:24" ht="13.9">
      <c r="A883" s="1">
        <v>882</v>
      </c>
      <c r="B883" s="23" t="e">
        <f ca="1">_xludf.BETA.INV(R883,'04_PSA_INPUTS'!H5,'04_PSA_INPUTS'!I5)</f>
        <v>#NAME?</v>
      </c>
      <c r="C883" s="23" t="e">
        <f ca="1">_xludf.BETA.INV(S883,'04_PSA_INPUTS'!H6,'04_PSA_INPUTS'!I6)</f>
        <v>#NAME?</v>
      </c>
      <c r="D883" s="27" t="e">
        <f ca="1">_xludf.GAMMA.INV(T883,'04_PSA_INPUTS'!H7,'04_PSA_INPUTS'!I7)</f>
        <v>#NAME?</v>
      </c>
      <c r="E883" s="27" t="e">
        <f ca="1">_xludf.GAMMA.INV(U883,'04_PSA_INPUTS'!H8,'04_PSA_INPUTS'!I8)</f>
        <v>#NAME?</v>
      </c>
      <c r="F883" s="27" t="e">
        <f ca="1">_xludf.GAMMA.INV(V883,'04_PSA_INPUTS'!H9,'04_PSA_INPUTS'!I9)</f>
        <v>#NAME?</v>
      </c>
      <c r="G883" s="23" t="e">
        <f ca="1">_xludf.BETA.INV(W883,'04_PSA_INPUTS'!H10,'04_PSA_INPUTS'!I10)</f>
        <v>#NAME?</v>
      </c>
      <c r="H883" s="23" t="e">
        <f ca="1">_xludf.BETA.INV(X883,'04_PSA_INPUTS'!H11,'04_PSA_INPUTS'!I11)</f>
        <v>#NAME?</v>
      </c>
      <c r="I883" s="27" t="e">
        <f ca="1">D883+B883*F883+'01_INPUTS'!B20</f>
        <v>#NAME?</v>
      </c>
      <c r="J883" s="27" t="e">
        <f ca="1">E883+C883*F883+'01_INPUTS'!B21</f>
        <v>#NAME?</v>
      </c>
      <c r="K883" s="27" t="e">
        <f t="shared" ca="1" si="78"/>
        <v>#NAME?</v>
      </c>
      <c r="L883" s="23" t="e">
        <f t="shared" ca="1" si="79"/>
        <v>#NAME?</v>
      </c>
      <c r="M883" s="23" t="e">
        <f t="shared" ca="1" si="80"/>
        <v>#NAME?</v>
      </c>
      <c r="N883" s="23" t="e">
        <f t="shared" ca="1" si="81"/>
        <v>#NAME?</v>
      </c>
      <c r="O883" s="27" t="e">
        <f t="shared" ca="1" si="82"/>
        <v>#NAME?</v>
      </c>
      <c r="P883" s="27" t="e">
        <f ca="1">'01_INPUTS'!B9*N883-K883</f>
        <v>#NAME?</v>
      </c>
      <c r="Q883" s="1" t="e">
        <f t="shared" ca="1" si="83"/>
        <v>#NAME?</v>
      </c>
      <c r="R883" s="28">
        <v>0.10083184624090791</v>
      </c>
      <c r="S883" s="28">
        <v>0.98896178929135203</v>
      </c>
      <c r="T883" s="28">
        <v>0.90744343935512006</v>
      </c>
      <c r="U883" s="28">
        <v>0.81451664050109684</v>
      </c>
      <c r="V883" s="28">
        <v>0.75652475049719214</v>
      </c>
      <c r="W883" s="28">
        <v>0.32993302913382649</v>
      </c>
      <c r="X883" s="28">
        <v>0.9678205051459372</v>
      </c>
    </row>
    <row r="884" spans="1:24" ht="13.9">
      <c r="A884" s="1">
        <v>883</v>
      </c>
      <c r="B884" s="23" t="e">
        <f ca="1">_xludf.BETA.INV(R884,'04_PSA_INPUTS'!H5,'04_PSA_INPUTS'!I5)</f>
        <v>#NAME?</v>
      </c>
      <c r="C884" s="23" t="e">
        <f ca="1">_xludf.BETA.INV(S884,'04_PSA_INPUTS'!H6,'04_PSA_INPUTS'!I6)</f>
        <v>#NAME?</v>
      </c>
      <c r="D884" s="27" t="e">
        <f ca="1">_xludf.GAMMA.INV(T884,'04_PSA_INPUTS'!H7,'04_PSA_INPUTS'!I7)</f>
        <v>#NAME?</v>
      </c>
      <c r="E884" s="27" t="e">
        <f ca="1">_xludf.GAMMA.INV(U884,'04_PSA_INPUTS'!H8,'04_PSA_INPUTS'!I8)</f>
        <v>#NAME?</v>
      </c>
      <c r="F884" s="27" t="e">
        <f ca="1">_xludf.GAMMA.INV(V884,'04_PSA_INPUTS'!H9,'04_PSA_INPUTS'!I9)</f>
        <v>#NAME?</v>
      </c>
      <c r="G884" s="23" t="e">
        <f ca="1">_xludf.BETA.INV(W884,'04_PSA_INPUTS'!H10,'04_PSA_INPUTS'!I10)</f>
        <v>#NAME?</v>
      </c>
      <c r="H884" s="23" t="e">
        <f ca="1">_xludf.BETA.INV(X884,'04_PSA_INPUTS'!H11,'04_PSA_INPUTS'!I11)</f>
        <v>#NAME?</v>
      </c>
      <c r="I884" s="27" t="e">
        <f ca="1">D884+B884*F884+'01_INPUTS'!B20</f>
        <v>#NAME?</v>
      </c>
      <c r="J884" s="27" t="e">
        <f ca="1">E884+C884*F884+'01_INPUTS'!B21</f>
        <v>#NAME?</v>
      </c>
      <c r="K884" s="27" t="e">
        <f t="shared" ca="1" si="78"/>
        <v>#NAME?</v>
      </c>
      <c r="L884" s="23" t="e">
        <f t="shared" ca="1" si="79"/>
        <v>#NAME?</v>
      </c>
      <c r="M884" s="23" t="e">
        <f t="shared" ca="1" si="80"/>
        <v>#NAME?</v>
      </c>
      <c r="N884" s="23" t="e">
        <f t="shared" ca="1" si="81"/>
        <v>#NAME?</v>
      </c>
      <c r="O884" s="27" t="e">
        <f t="shared" ca="1" si="82"/>
        <v>#NAME?</v>
      </c>
      <c r="P884" s="27" t="e">
        <f ca="1">'01_INPUTS'!B9*N884-K884</f>
        <v>#NAME?</v>
      </c>
      <c r="Q884" s="1" t="e">
        <f t="shared" ca="1" si="83"/>
        <v>#NAME?</v>
      </c>
      <c r="R884" s="28">
        <v>0.97838951484300196</v>
      </c>
      <c r="S884" s="28">
        <v>0.34426649007946253</v>
      </c>
      <c r="T884" s="28">
        <v>0.50862000021152198</v>
      </c>
      <c r="U884" s="28">
        <v>0.47369059477932751</v>
      </c>
      <c r="V884" s="28">
        <v>2.7933388948440552E-2</v>
      </c>
      <c r="W884" s="28">
        <v>1.840246794745326E-2</v>
      </c>
      <c r="X884" s="28">
        <v>9.8819733131676912E-2</v>
      </c>
    </row>
    <row r="885" spans="1:24" ht="13.9">
      <c r="A885" s="1">
        <v>884</v>
      </c>
      <c r="B885" s="23" t="e">
        <f ca="1">_xludf.BETA.INV(R885,'04_PSA_INPUTS'!H5,'04_PSA_INPUTS'!I5)</f>
        <v>#NAME?</v>
      </c>
      <c r="C885" s="23" t="e">
        <f ca="1">_xludf.BETA.INV(S885,'04_PSA_INPUTS'!H6,'04_PSA_INPUTS'!I6)</f>
        <v>#NAME?</v>
      </c>
      <c r="D885" s="27" t="e">
        <f ca="1">_xludf.GAMMA.INV(T885,'04_PSA_INPUTS'!H7,'04_PSA_INPUTS'!I7)</f>
        <v>#NAME?</v>
      </c>
      <c r="E885" s="27" t="e">
        <f ca="1">_xludf.GAMMA.INV(U885,'04_PSA_INPUTS'!H8,'04_PSA_INPUTS'!I8)</f>
        <v>#NAME?</v>
      </c>
      <c r="F885" s="27" t="e">
        <f ca="1">_xludf.GAMMA.INV(V885,'04_PSA_INPUTS'!H9,'04_PSA_INPUTS'!I9)</f>
        <v>#NAME?</v>
      </c>
      <c r="G885" s="23" t="e">
        <f ca="1">_xludf.BETA.INV(W885,'04_PSA_INPUTS'!H10,'04_PSA_INPUTS'!I10)</f>
        <v>#NAME?</v>
      </c>
      <c r="H885" s="23" t="e">
        <f ca="1">_xludf.BETA.INV(X885,'04_PSA_INPUTS'!H11,'04_PSA_INPUTS'!I11)</f>
        <v>#NAME?</v>
      </c>
      <c r="I885" s="27" t="e">
        <f ca="1">D885+B885*F885+'01_INPUTS'!B20</f>
        <v>#NAME?</v>
      </c>
      <c r="J885" s="27" t="e">
        <f ca="1">E885+C885*F885+'01_INPUTS'!B21</f>
        <v>#NAME?</v>
      </c>
      <c r="K885" s="27" t="e">
        <f t="shared" ca="1" si="78"/>
        <v>#NAME?</v>
      </c>
      <c r="L885" s="23" t="e">
        <f t="shared" ca="1" si="79"/>
        <v>#NAME?</v>
      </c>
      <c r="M885" s="23" t="e">
        <f t="shared" ca="1" si="80"/>
        <v>#NAME?</v>
      </c>
      <c r="N885" s="23" t="e">
        <f t="shared" ca="1" si="81"/>
        <v>#NAME?</v>
      </c>
      <c r="O885" s="27" t="e">
        <f t="shared" ca="1" si="82"/>
        <v>#NAME?</v>
      </c>
      <c r="P885" s="27" t="e">
        <f ca="1">'01_INPUTS'!B9*N885-K885</f>
        <v>#NAME?</v>
      </c>
      <c r="Q885" s="1" t="e">
        <f t="shared" ca="1" si="83"/>
        <v>#NAME?</v>
      </c>
      <c r="R885" s="28">
        <v>0.25705366977490485</v>
      </c>
      <c r="S885" s="28">
        <v>8.27569211833179E-2</v>
      </c>
      <c r="T885" s="28">
        <v>6.2553664436563849E-2</v>
      </c>
      <c r="U885" s="28">
        <v>0.383273895829916</v>
      </c>
      <c r="V885" s="28">
        <v>0.5413925857283175</v>
      </c>
      <c r="W885" s="28">
        <v>0.62196643371134996</v>
      </c>
      <c r="X885" s="28">
        <v>0.62309430749155581</v>
      </c>
    </row>
    <row r="886" spans="1:24" ht="13.9">
      <c r="A886" s="1">
        <v>885</v>
      </c>
      <c r="B886" s="23" t="e">
        <f ca="1">_xludf.BETA.INV(R886,'04_PSA_INPUTS'!H5,'04_PSA_INPUTS'!I5)</f>
        <v>#NAME?</v>
      </c>
      <c r="C886" s="23" t="e">
        <f ca="1">_xludf.BETA.INV(S886,'04_PSA_INPUTS'!H6,'04_PSA_INPUTS'!I6)</f>
        <v>#NAME?</v>
      </c>
      <c r="D886" s="27" t="e">
        <f ca="1">_xludf.GAMMA.INV(T886,'04_PSA_INPUTS'!H7,'04_PSA_INPUTS'!I7)</f>
        <v>#NAME?</v>
      </c>
      <c r="E886" s="27" t="e">
        <f ca="1">_xludf.GAMMA.INV(U886,'04_PSA_INPUTS'!H8,'04_PSA_INPUTS'!I8)</f>
        <v>#NAME?</v>
      </c>
      <c r="F886" s="27" t="e">
        <f ca="1">_xludf.GAMMA.INV(V886,'04_PSA_INPUTS'!H9,'04_PSA_INPUTS'!I9)</f>
        <v>#NAME?</v>
      </c>
      <c r="G886" s="23" t="e">
        <f ca="1">_xludf.BETA.INV(W886,'04_PSA_INPUTS'!H10,'04_PSA_INPUTS'!I10)</f>
        <v>#NAME?</v>
      </c>
      <c r="H886" s="23" t="e">
        <f ca="1">_xludf.BETA.INV(X886,'04_PSA_INPUTS'!H11,'04_PSA_INPUTS'!I11)</f>
        <v>#NAME?</v>
      </c>
      <c r="I886" s="27" t="e">
        <f ca="1">D886+B886*F886+'01_INPUTS'!B20</f>
        <v>#NAME?</v>
      </c>
      <c r="J886" s="27" t="e">
        <f ca="1">E886+C886*F886+'01_INPUTS'!B21</f>
        <v>#NAME?</v>
      </c>
      <c r="K886" s="27" t="e">
        <f t="shared" ca="1" si="78"/>
        <v>#NAME?</v>
      </c>
      <c r="L886" s="23" t="e">
        <f t="shared" ca="1" si="79"/>
        <v>#NAME?</v>
      </c>
      <c r="M886" s="23" t="e">
        <f t="shared" ca="1" si="80"/>
        <v>#NAME?</v>
      </c>
      <c r="N886" s="23" t="e">
        <f t="shared" ca="1" si="81"/>
        <v>#NAME?</v>
      </c>
      <c r="O886" s="27" t="e">
        <f t="shared" ca="1" si="82"/>
        <v>#NAME?</v>
      </c>
      <c r="P886" s="27" t="e">
        <f ca="1">'01_INPUTS'!B9*N886-K886</f>
        <v>#NAME?</v>
      </c>
      <c r="Q886" s="1" t="e">
        <f t="shared" ca="1" si="83"/>
        <v>#NAME?</v>
      </c>
      <c r="R886" s="28">
        <v>0.37701463792473078</v>
      </c>
      <c r="S886" s="28">
        <v>0.26526862336322665</v>
      </c>
      <c r="T886" s="28">
        <v>0.39054422196932137</v>
      </c>
      <c r="U886" s="28">
        <v>0.16962013789452612</v>
      </c>
      <c r="V886" s="28">
        <v>0.4737290907651186</v>
      </c>
      <c r="W886" s="28">
        <v>0.84982051816768944</v>
      </c>
      <c r="X886" s="28">
        <v>0.72456280002370477</v>
      </c>
    </row>
    <row r="887" spans="1:24" ht="13.9">
      <c r="A887" s="1">
        <v>886</v>
      </c>
      <c r="B887" s="23" t="e">
        <f ca="1">_xludf.BETA.INV(R887,'04_PSA_INPUTS'!H5,'04_PSA_INPUTS'!I5)</f>
        <v>#NAME?</v>
      </c>
      <c r="C887" s="23" t="e">
        <f ca="1">_xludf.BETA.INV(S887,'04_PSA_INPUTS'!H6,'04_PSA_INPUTS'!I6)</f>
        <v>#NAME?</v>
      </c>
      <c r="D887" s="27" t="e">
        <f ca="1">_xludf.GAMMA.INV(T887,'04_PSA_INPUTS'!H7,'04_PSA_INPUTS'!I7)</f>
        <v>#NAME?</v>
      </c>
      <c r="E887" s="27" t="e">
        <f ca="1">_xludf.GAMMA.INV(U887,'04_PSA_INPUTS'!H8,'04_PSA_INPUTS'!I8)</f>
        <v>#NAME?</v>
      </c>
      <c r="F887" s="27" t="e">
        <f ca="1">_xludf.GAMMA.INV(V887,'04_PSA_INPUTS'!H9,'04_PSA_INPUTS'!I9)</f>
        <v>#NAME?</v>
      </c>
      <c r="G887" s="23" t="e">
        <f ca="1">_xludf.BETA.INV(W887,'04_PSA_INPUTS'!H10,'04_PSA_INPUTS'!I10)</f>
        <v>#NAME?</v>
      </c>
      <c r="H887" s="23" t="e">
        <f ca="1">_xludf.BETA.INV(X887,'04_PSA_INPUTS'!H11,'04_PSA_INPUTS'!I11)</f>
        <v>#NAME?</v>
      </c>
      <c r="I887" s="27" t="e">
        <f ca="1">D887+B887*F887+'01_INPUTS'!B20</f>
        <v>#NAME?</v>
      </c>
      <c r="J887" s="27" t="e">
        <f ca="1">E887+C887*F887+'01_INPUTS'!B21</f>
        <v>#NAME?</v>
      </c>
      <c r="K887" s="27" t="e">
        <f t="shared" ca="1" si="78"/>
        <v>#NAME?</v>
      </c>
      <c r="L887" s="23" t="e">
        <f t="shared" ca="1" si="79"/>
        <v>#NAME?</v>
      </c>
      <c r="M887" s="23" t="e">
        <f t="shared" ca="1" si="80"/>
        <v>#NAME?</v>
      </c>
      <c r="N887" s="23" t="e">
        <f t="shared" ca="1" si="81"/>
        <v>#NAME?</v>
      </c>
      <c r="O887" s="27" t="e">
        <f t="shared" ca="1" si="82"/>
        <v>#NAME?</v>
      </c>
      <c r="P887" s="27" t="e">
        <f ca="1">'01_INPUTS'!B9*N887-K887</f>
        <v>#NAME?</v>
      </c>
      <c r="Q887" s="1" t="e">
        <f t="shared" ca="1" si="83"/>
        <v>#NAME?</v>
      </c>
      <c r="R887" s="28">
        <v>0.93918364634737372</v>
      </c>
      <c r="S887" s="28">
        <v>0.73149480554275215</v>
      </c>
      <c r="T887" s="28">
        <v>0.71451437566429377</v>
      </c>
      <c r="U887" s="28">
        <v>0.48156301397830248</v>
      </c>
      <c r="V887" s="28">
        <v>0.38627552427351475</v>
      </c>
      <c r="W887" s="28">
        <v>0.43872110615484416</v>
      </c>
      <c r="X887" s="28">
        <v>0.55623261234723032</v>
      </c>
    </row>
    <row r="888" spans="1:24" ht="13.9">
      <c r="A888" s="1">
        <v>887</v>
      </c>
      <c r="B888" s="23" t="e">
        <f ca="1">_xludf.BETA.INV(R888,'04_PSA_INPUTS'!H5,'04_PSA_INPUTS'!I5)</f>
        <v>#NAME?</v>
      </c>
      <c r="C888" s="23" t="e">
        <f ca="1">_xludf.BETA.INV(S888,'04_PSA_INPUTS'!H6,'04_PSA_INPUTS'!I6)</f>
        <v>#NAME?</v>
      </c>
      <c r="D888" s="27" t="e">
        <f ca="1">_xludf.GAMMA.INV(T888,'04_PSA_INPUTS'!H7,'04_PSA_INPUTS'!I7)</f>
        <v>#NAME?</v>
      </c>
      <c r="E888" s="27" t="e">
        <f ca="1">_xludf.GAMMA.INV(U888,'04_PSA_INPUTS'!H8,'04_PSA_INPUTS'!I8)</f>
        <v>#NAME?</v>
      </c>
      <c r="F888" s="27" t="e">
        <f ca="1">_xludf.GAMMA.INV(V888,'04_PSA_INPUTS'!H9,'04_PSA_INPUTS'!I9)</f>
        <v>#NAME?</v>
      </c>
      <c r="G888" s="23" t="e">
        <f ca="1">_xludf.BETA.INV(W888,'04_PSA_INPUTS'!H10,'04_PSA_INPUTS'!I10)</f>
        <v>#NAME?</v>
      </c>
      <c r="H888" s="23" t="e">
        <f ca="1">_xludf.BETA.INV(X888,'04_PSA_INPUTS'!H11,'04_PSA_INPUTS'!I11)</f>
        <v>#NAME?</v>
      </c>
      <c r="I888" s="27" t="e">
        <f ca="1">D888+B888*F888+'01_INPUTS'!B20</f>
        <v>#NAME?</v>
      </c>
      <c r="J888" s="27" t="e">
        <f ca="1">E888+C888*F888+'01_INPUTS'!B21</f>
        <v>#NAME?</v>
      </c>
      <c r="K888" s="27" t="e">
        <f t="shared" ca="1" si="78"/>
        <v>#NAME?</v>
      </c>
      <c r="L888" s="23" t="e">
        <f t="shared" ca="1" si="79"/>
        <v>#NAME?</v>
      </c>
      <c r="M888" s="23" t="e">
        <f t="shared" ca="1" si="80"/>
        <v>#NAME?</v>
      </c>
      <c r="N888" s="23" t="e">
        <f t="shared" ca="1" si="81"/>
        <v>#NAME?</v>
      </c>
      <c r="O888" s="27" t="e">
        <f t="shared" ca="1" si="82"/>
        <v>#NAME?</v>
      </c>
      <c r="P888" s="27" t="e">
        <f ca="1">'01_INPUTS'!B9*N888-K888</f>
        <v>#NAME?</v>
      </c>
      <c r="Q888" s="1" t="e">
        <f t="shared" ca="1" si="83"/>
        <v>#NAME?</v>
      </c>
      <c r="R888" s="28">
        <v>0.29386950237676501</v>
      </c>
      <c r="S888" s="28">
        <v>0.5528437711764127</v>
      </c>
      <c r="T888" s="28">
        <v>0.54321367316879332</v>
      </c>
      <c r="U888" s="28">
        <v>0.73225962114520371</v>
      </c>
      <c r="V888" s="28">
        <v>0.41000289074145257</v>
      </c>
      <c r="W888" s="28">
        <v>0.32192698889411986</v>
      </c>
      <c r="X888" s="28">
        <v>0.66024516080506146</v>
      </c>
    </row>
    <row r="889" spans="1:24" ht="13.9">
      <c r="A889" s="1">
        <v>888</v>
      </c>
      <c r="B889" s="23" t="e">
        <f ca="1">_xludf.BETA.INV(R889,'04_PSA_INPUTS'!H5,'04_PSA_INPUTS'!I5)</f>
        <v>#NAME?</v>
      </c>
      <c r="C889" s="23" t="e">
        <f ca="1">_xludf.BETA.INV(S889,'04_PSA_INPUTS'!H6,'04_PSA_INPUTS'!I6)</f>
        <v>#NAME?</v>
      </c>
      <c r="D889" s="27" t="e">
        <f ca="1">_xludf.GAMMA.INV(T889,'04_PSA_INPUTS'!H7,'04_PSA_INPUTS'!I7)</f>
        <v>#NAME?</v>
      </c>
      <c r="E889" s="27" t="e">
        <f ca="1">_xludf.GAMMA.INV(U889,'04_PSA_INPUTS'!H8,'04_PSA_INPUTS'!I8)</f>
        <v>#NAME?</v>
      </c>
      <c r="F889" s="27" t="e">
        <f ca="1">_xludf.GAMMA.INV(V889,'04_PSA_INPUTS'!H9,'04_PSA_INPUTS'!I9)</f>
        <v>#NAME?</v>
      </c>
      <c r="G889" s="23" t="e">
        <f ca="1">_xludf.BETA.INV(W889,'04_PSA_INPUTS'!H10,'04_PSA_INPUTS'!I10)</f>
        <v>#NAME?</v>
      </c>
      <c r="H889" s="23" t="e">
        <f ca="1">_xludf.BETA.INV(X889,'04_PSA_INPUTS'!H11,'04_PSA_INPUTS'!I11)</f>
        <v>#NAME?</v>
      </c>
      <c r="I889" s="27" t="e">
        <f ca="1">D889+B889*F889+'01_INPUTS'!B20</f>
        <v>#NAME?</v>
      </c>
      <c r="J889" s="27" t="e">
        <f ca="1">E889+C889*F889+'01_INPUTS'!B21</f>
        <v>#NAME?</v>
      </c>
      <c r="K889" s="27" t="e">
        <f t="shared" ca="1" si="78"/>
        <v>#NAME?</v>
      </c>
      <c r="L889" s="23" t="e">
        <f t="shared" ca="1" si="79"/>
        <v>#NAME?</v>
      </c>
      <c r="M889" s="23" t="e">
        <f t="shared" ca="1" si="80"/>
        <v>#NAME?</v>
      </c>
      <c r="N889" s="23" t="e">
        <f t="shared" ca="1" si="81"/>
        <v>#NAME?</v>
      </c>
      <c r="O889" s="27" t="e">
        <f t="shared" ca="1" si="82"/>
        <v>#NAME?</v>
      </c>
      <c r="P889" s="27" t="e">
        <f ca="1">'01_INPUTS'!B9*N889-K889</f>
        <v>#NAME?</v>
      </c>
      <c r="Q889" s="1" t="e">
        <f t="shared" ca="1" si="83"/>
        <v>#NAME?</v>
      </c>
      <c r="R889" s="28">
        <v>0.46568077756091952</v>
      </c>
      <c r="S889" s="28">
        <v>0.78387851198203862</v>
      </c>
      <c r="T889" s="28">
        <v>0.40493744076229632</v>
      </c>
      <c r="U889" s="28">
        <v>0.35319183929823339</v>
      </c>
      <c r="V889" s="28">
        <v>0.57641130173578858</v>
      </c>
      <c r="W889" s="28">
        <v>0.72808009502477944</v>
      </c>
      <c r="X889" s="28">
        <v>0.90811792830936611</v>
      </c>
    </row>
    <row r="890" spans="1:24" ht="13.9">
      <c r="A890" s="1">
        <v>889</v>
      </c>
      <c r="B890" s="23" t="e">
        <f ca="1">_xludf.BETA.INV(R890,'04_PSA_INPUTS'!H5,'04_PSA_INPUTS'!I5)</f>
        <v>#NAME?</v>
      </c>
      <c r="C890" s="23" t="e">
        <f ca="1">_xludf.BETA.INV(S890,'04_PSA_INPUTS'!H6,'04_PSA_INPUTS'!I6)</f>
        <v>#NAME?</v>
      </c>
      <c r="D890" s="27" t="e">
        <f ca="1">_xludf.GAMMA.INV(T890,'04_PSA_INPUTS'!H7,'04_PSA_INPUTS'!I7)</f>
        <v>#NAME?</v>
      </c>
      <c r="E890" s="27" t="e">
        <f ca="1">_xludf.GAMMA.INV(U890,'04_PSA_INPUTS'!H8,'04_PSA_INPUTS'!I8)</f>
        <v>#NAME?</v>
      </c>
      <c r="F890" s="27" t="e">
        <f ca="1">_xludf.GAMMA.INV(V890,'04_PSA_INPUTS'!H9,'04_PSA_INPUTS'!I9)</f>
        <v>#NAME?</v>
      </c>
      <c r="G890" s="23" t="e">
        <f ca="1">_xludf.BETA.INV(W890,'04_PSA_INPUTS'!H10,'04_PSA_INPUTS'!I10)</f>
        <v>#NAME?</v>
      </c>
      <c r="H890" s="23" t="e">
        <f ca="1">_xludf.BETA.INV(X890,'04_PSA_INPUTS'!H11,'04_PSA_INPUTS'!I11)</f>
        <v>#NAME?</v>
      </c>
      <c r="I890" s="27" t="e">
        <f ca="1">D890+B890*F890+'01_INPUTS'!B20</f>
        <v>#NAME?</v>
      </c>
      <c r="J890" s="27" t="e">
        <f ca="1">E890+C890*F890+'01_INPUTS'!B21</f>
        <v>#NAME?</v>
      </c>
      <c r="K890" s="27" t="e">
        <f t="shared" ca="1" si="78"/>
        <v>#NAME?</v>
      </c>
      <c r="L890" s="23" t="e">
        <f t="shared" ca="1" si="79"/>
        <v>#NAME?</v>
      </c>
      <c r="M890" s="23" t="e">
        <f t="shared" ca="1" si="80"/>
        <v>#NAME?</v>
      </c>
      <c r="N890" s="23" t="e">
        <f t="shared" ca="1" si="81"/>
        <v>#NAME?</v>
      </c>
      <c r="O890" s="27" t="e">
        <f t="shared" ca="1" si="82"/>
        <v>#NAME?</v>
      </c>
      <c r="P890" s="27" t="e">
        <f ca="1">'01_INPUTS'!B9*N890-K890</f>
        <v>#NAME?</v>
      </c>
      <c r="Q890" s="1" t="e">
        <f t="shared" ca="1" si="83"/>
        <v>#NAME?</v>
      </c>
      <c r="R890" s="28">
        <v>0.27216415083967149</v>
      </c>
      <c r="S890" s="28">
        <v>0.87915286934003234</v>
      </c>
      <c r="T890" s="28">
        <v>0.93627901980653405</v>
      </c>
      <c r="U890" s="28">
        <v>0.98435627785511315</v>
      </c>
      <c r="V890" s="28">
        <v>0.1048033710103482</v>
      </c>
      <c r="W890" s="28">
        <v>0.83336365316063166</v>
      </c>
      <c r="X890" s="28">
        <v>0.78441926231607795</v>
      </c>
    </row>
    <row r="891" spans="1:24" ht="13.9">
      <c r="A891" s="1">
        <v>890</v>
      </c>
      <c r="B891" s="23" t="e">
        <f ca="1">_xludf.BETA.INV(R891,'04_PSA_INPUTS'!H5,'04_PSA_INPUTS'!I5)</f>
        <v>#NAME?</v>
      </c>
      <c r="C891" s="23" t="e">
        <f ca="1">_xludf.BETA.INV(S891,'04_PSA_INPUTS'!H6,'04_PSA_INPUTS'!I6)</f>
        <v>#NAME?</v>
      </c>
      <c r="D891" s="27" t="e">
        <f ca="1">_xludf.GAMMA.INV(T891,'04_PSA_INPUTS'!H7,'04_PSA_INPUTS'!I7)</f>
        <v>#NAME?</v>
      </c>
      <c r="E891" s="27" t="e">
        <f ca="1">_xludf.GAMMA.INV(U891,'04_PSA_INPUTS'!H8,'04_PSA_INPUTS'!I8)</f>
        <v>#NAME?</v>
      </c>
      <c r="F891" s="27" t="e">
        <f ca="1">_xludf.GAMMA.INV(V891,'04_PSA_INPUTS'!H9,'04_PSA_INPUTS'!I9)</f>
        <v>#NAME?</v>
      </c>
      <c r="G891" s="23" t="e">
        <f ca="1">_xludf.BETA.INV(W891,'04_PSA_INPUTS'!H10,'04_PSA_INPUTS'!I10)</f>
        <v>#NAME?</v>
      </c>
      <c r="H891" s="23" t="e">
        <f ca="1">_xludf.BETA.INV(X891,'04_PSA_INPUTS'!H11,'04_PSA_INPUTS'!I11)</f>
        <v>#NAME?</v>
      </c>
      <c r="I891" s="27" t="e">
        <f ca="1">D891+B891*F891+'01_INPUTS'!B20</f>
        <v>#NAME?</v>
      </c>
      <c r="J891" s="27" t="e">
        <f ca="1">E891+C891*F891+'01_INPUTS'!B21</f>
        <v>#NAME?</v>
      </c>
      <c r="K891" s="27" t="e">
        <f t="shared" ca="1" si="78"/>
        <v>#NAME?</v>
      </c>
      <c r="L891" s="23" t="e">
        <f t="shared" ca="1" si="79"/>
        <v>#NAME?</v>
      </c>
      <c r="M891" s="23" t="e">
        <f t="shared" ca="1" si="80"/>
        <v>#NAME?</v>
      </c>
      <c r="N891" s="23" t="e">
        <f t="shared" ca="1" si="81"/>
        <v>#NAME?</v>
      </c>
      <c r="O891" s="27" t="e">
        <f t="shared" ca="1" si="82"/>
        <v>#NAME?</v>
      </c>
      <c r="P891" s="27" t="e">
        <f ca="1">'01_INPUTS'!B9*N891-K891</f>
        <v>#NAME?</v>
      </c>
      <c r="Q891" s="1" t="e">
        <f t="shared" ca="1" si="83"/>
        <v>#NAME?</v>
      </c>
      <c r="R891" s="28">
        <v>4.7127222176641226E-2</v>
      </c>
      <c r="S891" s="28">
        <v>0.71447496092878282</v>
      </c>
      <c r="T891" s="28">
        <v>0.82527053216472268</v>
      </c>
      <c r="U891" s="28">
        <v>0.73294813628308475</v>
      </c>
      <c r="V891" s="28">
        <v>0.66950906161218882</v>
      </c>
      <c r="W891" s="28">
        <v>0.96164065250195563</v>
      </c>
      <c r="X891" s="28">
        <v>0.18987015588209033</v>
      </c>
    </row>
    <row r="892" spans="1:24" ht="13.9">
      <c r="A892" s="1">
        <v>891</v>
      </c>
      <c r="B892" s="23" t="e">
        <f ca="1">_xludf.BETA.INV(R892,'04_PSA_INPUTS'!H5,'04_PSA_INPUTS'!I5)</f>
        <v>#NAME?</v>
      </c>
      <c r="C892" s="23" t="e">
        <f ca="1">_xludf.BETA.INV(S892,'04_PSA_INPUTS'!H6,'04_PSA_INPUTS'!I6)</f>
        <v>#NAME?</v>
      </c>
      <c r="D892" s="27" t="e">
        <f ca="1">_xludf.GAMMA.INV(T892,'04_PSA_INPUTS'!H7,'04_PSA_INPUTS'!I7)</f>
        <v>#NAME?</v>
      </c>
      <c r="E892" s="27" t="e">
        <f ca="1">_xludf.GAMMA.INV(U892,'04_PSA_INPUTS'!H8,'04_PSA_INPUTS'!I8)</f>
        <v>#NAME?</v>
      </c>
      <c r="F892" s="27" t="e">
        <f ca="1">_xludf.GAMMA.INV(V892,'04_PSA_INPUTS'!H9,'04_PSA_INPUTS'!I9)</f>
        <v>#NAME?</v>
      </c>
      <c r="G892" s="23" t="e">
        <f ca="1">_xludf.BETA.INV(W892,'04_PSA_INPUTS'!H10,'04_PSA_INPUTS'!I10)</f>
        <v>#NAME?</v>
      </c>
      <c r="H892" s="23" t="e">
        <f ca="1">_xludf.BETA.INV(X892,'04_PSA_INPUTS'!H11,'04_PSA_INPUTS'!I11)</f>
        <v>#NAME?</v>
      </c>
      <c r="I892" s="27" t="e">
        <f ca="1">D892+B892*F892+'01_INPUTS'!B20</f>
        <v>#NAME?</v>
      </c>
      <c r="J892" s="27" t="e">
        <f ca="1">E892+C892*F892+'01_INPUTS'!B21</f>
        <v>#NAME?</v>
      </c>
      <c r="K892" s="27" t="e">
        <f t="shared" ca="1" si="78"/>
        <v>#NAME?</v>
      </c>
      <c r="L892" s="23" t="e">
        <f t="shared" ca="1" si="79"/>
        <v>#NAME?</v>
      </c>
      <c r="M892" s="23" t="e">
        <f t="shared" ca="1" si="80"/>
        <v>#NAME?</v>
      </c>
      <c r="N892" s="23" t="e">
        <f t="shared" ca="1" si="81"/>
        <v>#NAME?</v>
      </c>
      <c r="O892" s="27" t="e">
        <f t="shared" ca="1" si="82"/>
        <v>#NAME?</v>
      </c>
      <c r="P892" s="27" t="e">
        <f ca="1">'01_INPUTS'!B9*N892-K892</f>
        <v>#NAME?</v>
      </c>
      <c r="Q892" s="1" t="e">
        <f t="shared" ca="1" si="83"/>
        <v>#NAME?</v>
      </c>
      <c r="R892" s="28">
        <v>0.52606456354260445</v>
      </c>
      <c r="S892" s="28">
        <v>0.95856669079512358</v>
      </c>
      <c r="T892" s="28">
        <v>0.25361015135422349</v>
      </c>
      <c r="U892" s="28">
        <v>0.90242839930579066</v>
      </c>
      <c r="V892" s="28">
        <v>0.45566175249405205</v>
      </c>
      <c r="W892" s="28">
        <v>0.41683717095293105</v>
      </c>
      <c r="X892" s="28">
        <v>0.66638450627215207</v>
      </c>
    </row>
    <row r="893" spans="1:24" ht="13.9">
      <c r="A893" s="1">
        <v>892</v>
      </c>
      <c r="B893" s="23" t="e">
        <f ca="1">_xludf.BETA.INV(R893,'04_PSA_INPUTS'!H5,'04_PSA_INPUTS'!I5)</f>
        <v>#NAME?</v>
      </c>
      <c r="C893" s="23" t="e">
        <f ca="1">_xludf.BETA.INV(S893,'04_PSA_INPUTS'!H6,'04_PSA_INPUTS'!I6)</f>
        <v>#NAME?</v>
      </c>
      <c r="D893" s="27" t="e">
        <f ca="1">_xludf.GAMMA.INV(T893,'04_PSA_INPUTS'!H7,'04_PSA_INPUTS'!I7)</f>
        <v>#NAME?</v>
      </c>
      <c r="E893" s="27" t="e">
        <f ca="1">_xludf.GAMMA.INV(U893,'04_PSA_INPUTS'!H8,'04_PSA_INPUTS'!I8)</f>
        <v>#NAME?</v>
      </c>
      <c r="F893" s="27" t="e">
        <f ca="1">_xludf.GAMMA.INV(V893,'04_PSA_INPUTS'!H9,'04_PSA_INPUTS'!I9)</f>
        <v>#NAME?</v>
      </c>
      <c r="G893" s="23" t="e">
        <f ca="1">_xludf.BETA.INV(W893,'04_PSA_INPUTS'!H10,'04_PSA_INPUTS'!I10)</f>
        <v>#NAME?</v>
      </c>
      <c r="H893" s="23" t="e">
        <f ca="1">_xludf.BETA.INV(X893,'04_PSA_INPUTS'!H11,'04_PSA_INPUTS'!I11)</f>
        <v>#NAME?</v>
      </c>
      <c r="I893" s="27" t="e">
        <f ca="1">D893+B893*F893+'01_INPUTS'!B20</f>
        <v>#NAME?</v>
      </c>
      <c r="J893" s="27" t="e">
        <f ca="1">E893+C893*F893+'01_INPUTS'!B21</f>
        <v>#NAME?</v>
      </c>
      <c r="K893" s="27" t="e">
        <f t="shared" ca="1" si="78"/>
        <v>#NAME?</v>
      </c>
      <c r="L893" s="23" t="e">
        <f t="shared" ca="1" si="79"/>
        <v>#NAME?</v>
      </c>
      <c r="M893" s="23" t="e">
        <f t="shared" ca="1" si="80"/>
        <v>#NAME?</v>
      </c>
      <c r="N893" s="23" t="e">
        <f t="shared" ca="1" si="81"/>
        <v>#NAME?</v>
      </c>
      <c r="O893" s="27" t="e">
        <f t="shared" ca="1" si="82"/>
        <v>#NAME?</v>
      </c>
      <c r="P893" s="27" t="e">
        <f ca="1">'01_INPUTS'!B9*N893-K893</f>
        <v>#NAME?</v>
      </c>
      <c r="Q893" s="1" t="e">
        <f t="shared" ca="1" si="83"/>
        <v>#NAME?</v>
      </c>
      <c r="R893" s="28">
        <v>0.80033202422782779</v>
      </c>
      <c r="S893" s="28">
        <v>0.74643440986983478</v>
      </c>
      <c r="T893" s="28">
        <v>0.79818501486442983</v>
      </c>
      <c r="U893" s="28">
        <v>0.51421458926051855</v>
      </c>
      <c r="V893" s="28">
        <v>8.1201086286455393E-2</v>
      </c>
      <c r="W893" s="28">
        <v>0.50488514127209783</v>
      </c>
      <c r="X893" s="28">
        <v>0.96877705818042159</v>
      </c>
    </row>
    <row r="894" spans="1:24" ht="13.9">
      <c r="A894" s="1">
        <v>893</v>
      </c>
      <c r="B894" s="23" t="e">
        <f ca="1">_xludf.BETA.INV(R894,'04_PSA_INPUTS'!H5,'04_PSA_INPUTS'!I5)</f>
        <v>#NAME?</v>
      </c>
      <c r="C894" s="23" t="e">
        <f ca="1">_xludf.BETA.INV(S894,'04_PSA_INPUTS'!H6,'04_PSA_INPUTS'!I6)</f>
        <v>#NAME?</v>
      </c>
      <c r="D894" s="27" t="e">
        <f ca="1">_xludf.GAMMA.INV(T894,'04_PSA_INPUTS'!H7,'04_PSA_INPUTS'!I7)</f>
        <v>#NAME?</v>
      </c>
      <c r="E894" s="27" t="e">
        <f ca="1">_xludf.GAMMA.INV(U894,'04_PSA_INPUTS'!H8,'04_PSA_INPUTS'!I8)</f>
        <v>#NAME?</v>
      </c>
      <c r="F894" s="27" t="e">
        <f ca="1">_xludf.GAMMA.INV(V894,'04_PSA_INPUTS'!H9,'04_PSA_INPUTS'!I9)</f>
        <v>#NAME?</v>
      </c>
      <c r="G894" s="23" t="e">
        <f ca="1">_xludf.BETA.INV(W894,'04_PSA_INPUTS'!H10,'04_PSA_INPUTS'!I10)</f>
        <v>#NAME?</v>
      </c>
      <c r="H894" s="23" t="e">
        <f ca="1">_xludf.BETA.INV(X894,'04_PSA_INPUTS'!H11,'04_PSA_INPUTS'!I11)</f>
        <v>#NAME?</v>
      </c>
      <c r="I894" s="27" t="e">
        <f ca="1">D894+B894*F894+'01_INPUTS'!B20</f>
        <v>#NAME?</v>
      </c>
      <c r="J894" s="27" t="e">
        <f ca="1">E894+C894*F894+'01_INPUTS'!B21</f>
        <v>#NAME?</v>
      </c>
      <c r="K894" s="27" t="e">
        <f t="shared" ca="1" si="78"/>
        <v>#NAME?</v>
      </c>
      <c r="L894" s="23" t="e">
        <f t="shared" ca="1" si="79"/>
        <v>#NAME?</v>
      </c>
      <c r="M894" s="23" t="e">
        <f t="shared" ca="1" si="80"/>
        <v>#NAME?</v>
      </c>
      <c r="N894" s="23" t="e">
        <f t="shared" ca="1" si="81"/>
        <v>#NAME?</v>
      </c>
      <c r="O894" s="27" t="e">
        <f t="shared" ca="1" si="82"/>
        <v>#NAME?</v>
      </c>
      <c r="P894" s="27" t="e">
        <f ca="1">'01_INPUTS'!B9*N894-K894</f>
        <v>#NAME?</v>
      </c>
      <c r="Q894" s="1" t="e">
        <f t="shared" ca="1" si="83"/>
        <v>#NAME?</v>
      </c>
      <c r="R894" s="28">
        <v>0.72003703378140926</v>
      </c>
      <c r="S894" s="28">
        <v>0.41935118986293674</v>
      </c>
      <c r="T894" s="28">
        <v>0.87765130749903619</v>
      </c>
      <c r="U894" s="28">
        <v>0.94834497128613293</v>
      </c>
      <c r="V894" s="28">
        <v>9.8193026846274734E-2</v>
      </c>
      <c r="W894" s="28">
        <v>0.36813824344426394</v>
      </c>
      <c r="X894" s="28">
        <v>0.77861016150563955</v>
      </c>
    </row>
    <row r="895" spans="1:24" ht="13.9">
      <c r="A895" s="1">
        <v>894</v>
      </c>
      <c r="B895" s="23" t="e">
        <f ca="1">_xludf.BETA.INV(R895,'04_PSA_INPUTS'!H5,'04_PSA_INPUTS'!I5)</f>
        <v>#NAME?</v>
      </c>
      <c r="C895" s="23" t="e">
        <f ca="1">_xludf.BETA.INV(S895,'04_PSA_INPUTS'!H6,'04_PSA_INPUTS'!I6)</f>
        <v>#NAME?</v>
      </c>
      <c r="D895" s="27" t="e">
        <f ca="1">_xludf.GAMMA.INV(T895,'04_PSA_INPUTS'!H7,'04_PSA_INPUTS'!I7)</f>
        <v>#NAME?</v>
      </c>
      <c r="E895" s="27" t="e">
        <f ca="1">_xludf.GAMMA.INV(U895,'04_PSA_INPUTS'!H8,'04_PSA_INPUTS'!I8)</f>
        <v>#NAME?</v>
      </c>
      <c r="F895" s="27" t="e">
        <f ca="1">_xludf.GAMMA.INV(V895,'04_PSA_INPUTS'!H9,'04_PSA_INPUTS'!I9)</f>
        <v>#NAME?</v>
      </c>
      <c r="G895" s="23" t="e">
        <f ca="1">_xludf.BETA.INV(W895,'04_PSA_INPUTS'!H10,'04_PSA_INPUTS'!I10)</f>
        <v>#NAME?</v>
      </c>
      <c r="H895" s="23" t="e">
        <f ca="1">_xludf.BETA.INV(X895,'04_PSA_INPUTS'!H11,'04_PSA_INPUTS'!I11)</f>
        <v>#NAME?</v>
      </c>
      <c r="I895" s="27" t="e">
        <f ca="1">D895+B895*F895+'01_INPUTS'!B20</f>
        <v>#NAME?</v>
      </c>
      <c r="J895" s="27" t="e">
        <f ca="1">E895+C895*F895+'01_INPUTS'!B21</f>
        <v>#NAME?</v>
      </c>
      <c r="K895" s="27" t="e">
        <f t="shared" ca="1" si="78"/>
        <v>#NAME?</v>
      </c>
      <c r="L895" s="23" t="e">
        <f t="shared" ca="1" si="79"/>
        <v>#NAME?</v>
      </c>
      <c r="M895" s="23" t="e">
        <f t="shared" ca="1" si="80"/>
        <v>#NAME?</v>
      </c>
      <c r="N895" s="23" t="e">
        <f t="shared" ca="1" si="81"/>
        <v>#NAME?</v>
      </c>
      <c r="O895" s="27" t="e">
        <f t="shared" ca="1" si="82"/>
        <v>#NAME?</v>
      </c>
      <c r="P895" s="27" t="e">
        <f ca="1">'01_INPUTS'!B9*N895-K895</f>
        <v>#NAME?</v>
      </c>
      <c r="Q895" s="1" t="e">
        <f t="shared" ca="1" si="83"/>
        <v>#NAME?</v>
      </c>
      <c r="R895" s="28">
        <v>0.44013797352090478</v>
      </c>
      <c r="S895" s="28">
        <v>0.10449709789827466</v>
      </c>
      <c r="T895" s="28">
        <v>0.97447479306720197</v>
      </c>
      <c r="U895" s="28">
        <v>0.54841588600538671</v>
      </c>
      <c r="V895" s="28">
        <v>0.40862979786470532</v>
      </c>
      <c r="W895" s="28">
        <v>0.60157445375807583</v>
      </c>
      <c r="X895" s="28">
        <v>0.21449113637208939</v>
      </c>
    </row>
    <row r="896" spans="1:24" ht="13.9">
      <c r="A896" s="1">
        <v>895</v>
      </c>
      <c r="B896" s="23" t="e">
        <f ca="1">_xludf.BETA.INV(R896,'04_PSA_INPUTS'!H5,'04_PSA_INPUTS'!I5)</f>
        <v>#NAME?</v>
      </c>
      <c r="C896" s="23" t="e">
        <f ca="1">_xludf.BETA.INV(S896,'04_PSA_INPUTS'!H6,'04_PSA_INPUTS'!I6)</f>
        <v>#NAME?</v>
      </c>
      <c r="D896" s="27" t="e">
        <f ca="1">_xludf.GAMMA.INV(T896,'04_PSA_INPUTS'!H7,'04_PSA_INPUTS'!I7)</f>
        <v>#NAME?</v>
      </c>
      <c r="E896" s="27" t="e">
        <f ca="1">_xludf.GAMMA.INV(U896,'04_PSA_INPUTS'!H8,'04_PSA_INPUTS'!I8)</f>
        <v>#NAME?</v>
      </c>
      <c r="F896" s="27" t="e">
        <f ca="1">_xludf.GAMMA.INV(V896,'04_PSA_INPUTS'!H9,'04_PSA_INPUTS'!I9)</f>
        <v>#NAME?</v>
      </c>
      <c r="G896" s="23" t="e">
        <f ca="1">_xludf.BETA.INV(W896,'04_PSA_INPUTS'!H10,'04_PSA_INPUTS'!I10)</f>
        <v>#NAME?</v>
      </c>
      <c r="H896" s="23" t="e">
        <f ca="1">_xludf.BETA.INV(X896,'04_PSA_INPUTS'!H11,'04_PSA_INPUTS'!I11)</f>
        <v>#NAME?</v>
      </c>
      <c r="I896" s="27" t="e">
        <f ca="1">D896+B896*F896+'01_INPUTS'!B20</f>
        <v>#NAME?</v>
      </c>
      <c r="J896" s="27" t="e">
        <f ca="1">E896+C896*F896+'01_INPUTS'!B21</f>
        <v>#NAME?</v>
      </c>
      <c r="K896" s="27" t="e">
        <f t="shared" ca="1" si="78"/>
        <v>#NAME?</v>
      </c>
      <c r="L896" s="23" t="e">
        <f t="shared" ca="1" si="79"/>
        <v>#NAME?</v>
      </c>
      <c r="M896" s="23" t="e">
        <f t="shared" ca="1" si="80"/>
        <v>#NAME?</v>
      </c>
      <c r="N896" s="23" t="e">
        <f t="shared" ca="1" si="81"/>
        <v>#NAME?</v>
      </c>
      <c r="O896" s="27" t="e">
        <f t="shared" ca="1" si="82"/>
        <v>#NAME?</v>
      </c>
      <c r="P896" s="27" t="e">
        <f ca="1">'01_INPUTS'!B9*N896-K896</f>
        <v>#NAME?</v>
      </c>
      <c r="Q896" s="1" t="e">
        <f t="shared" ca="1" si="83"/>
        <v>#NAME?</v>
      </c>
      <c r="R896" s="28">
        <v>0.56161714717745781</v>
      </c>
      <c r="S896" s="28">
        <v>0.83634907519444823</v>
      </c>
      <c r="T896" s="28">
        <v>0.67313523916527629</v>
      </c>
      <c r="U896" s="28">
        <v>0.45595125434920192</v>
      </c>
      <c r="V896" s="28">
        <v>0.30654778401367366</v>
      </c>
      <c r="W896" s="28">
        <v>2.9367276001721621E-3</v>
      </c>
      <c r="X896" s="28">
        <v>0.31602982990443707</v>
      </c>
    </row>
    <row r="897" spans="1:24" ht="13.9">
      <c r="A897" s="1">
        <v>896</v>
      </c>
      <c r="B897" s="23" t="e">
        <f ca="1">_xludf.BETA.INV(R897,'04_PSA_INPUTS'!H5,'04_PSA_INPUTS'!I5)</f>
        <v>#NAME?</v>
      </c>
      <c r="C897" s="23" t="e">
        <f ca="1">_xludf.BETA.INV(S897,'04_PSA_INPUTS'!H6,'04_PSA_INPUTS'!I6)</f>
        <v>#NAME?</v>
      </c>
      <c r="D897" s="27" t="e">
        <f ca="1">_xludf.GAMMA.INV(T897,'04_PSA_INPUTS'!H7,'04_PSA_INPUTS'!I7)</f>
        <v>#NAME?</v>
      </c>
      <c r="E897" s="27" t="e">
        <f ca="1">_xludf.GAMMA.INV(U897,'04_PSA_INPUTS'!H8,'04_PSA_INPUTS'!I8)</f>
        <v>#NAME?</v>
      </c>
      <c r="F897" s="27" t="e">
        <f ca="1">_xludf.GAMMA.INV(V897,'04_PSA_INPUTS'!H9,'04_PSA_INPUTS'!I9)</f>
        <v>#NAME?</v>
      </c>
      <c r="G897" s="23" t="e">
        <f ca="1">_xludf.BETA.INV(W897,'04_PSA_INPUTS'!H10,'04_PSA_INPUTS'!I10)</f>
        <v>#NAME?</v>
      </c>
      <c r="H897" s="23" t="e">
        <f ca="1">_xludf.BETA.INV(X897,'04_PSA_INPUTS'!H11,'04_PSA_INPUTS'!I11)</f>
        <v>#NAME?</v>
      </c>
      <c r="I897" s="27" t="e">
        <f ca="1">D897+B897*F897+'01_INPUTS'!B20</f>
        <v>#NAME?</v>
      </c>
      <c r="J897" s="27" t="e">
        <f ca="1">E897+C897*F897+'01_INPUTS'!B21</f>
        <v>#NAME?</v>
      </c>
      <c r="K897" s="27" t="e">
        <f t="shared" ca="1" si="78"/>
        <v>#NAME?</v>
      </c>
      <c r="L897" s="23" t="e">
        <f t="shared" ca="1" si="79"/>
        <v>#NAME?</v>
      </c>
      <c r="M897" s="23" t="e">
        <f t="shared" ca="1" si="80"/>
        <v>#NAME?</v>
      </c>
      <c r="N897" s="23" t="e">
        <f t="shared" ca="1" si="81"/>
        <v>#NAME?</v>
      </c>
      <c r="O897" s="27" t="e">
        <f t="shared" ca="1" si="82"/>
        <v>#NAME?</v>
      </c>
      <c r="P897" s="27" t="e">
        <f ca="1">'01_INPUTS'!B9*N897-K897</f>
        <v>#NAME?</v>
      </c>
      <c r="Q897" s="1" t="e">
        <f t="shared" ca="1" si="83"/>
        <v>#NAME?</v>
      </c>
      <c r="R897" s="28">
        <v>0.76433342136442661</v>
      </c>
      <c r="S897" s="28">
        <v>0.63904278469271958</v>
      </c>
      <c r="T897" s="28">
        <v>0.69373841630294919</v>
      </c>
      <c r="U897" s="28">
        <v>0.49823026685044169</v>
      </c>
      <c r="V897" s="28">
        <v>0.36889998079277575</v>
      </c>
      <c r="W897" s="28">
        <v>4.6447606524452567E-2</v>
      </c>
      <c r="X897" s="28">
        <v>0.1197856639046222</v>
      </c>
    </row>
    <row r="898" spans="1:24" ht="13.9">
      <c r="A898" s="1">
        <v>897</v>
      </c>
      <c r="B898" s="23" t="e">
        <f ca="1">_xludf.BETA.INV(R898,'04_PSA_INPUTS'!H5,'04_PSA_INPUTS'!I5)</f>
        <v>#NAME?</v>
      </c>
      <c r="C898" s="23" t="e">
        <f ca="1">_xludf.BETA.INV(S898,'04_PSA_INPUTS'!H6,'04_PSA_INPUTS'!I6)</f>
        <v>#NAME?</v>
      </c>
      <c r="D898" s="27" t="e">
        <f ca="1">_xludf.GAMMA.INV(T898,'04_PSA_INPUTS'!H7,'04_PSA_INPUTS'!I7)</f>
        <v>#NAME?</v>
      </c>
      <c r="E898" s="27" t="e">
        <f ca="1">_xludf.GAMMA.INV(U898,'04_PSA_INPUTS'!H8,'04_PSA_INPUTS'!I8)</f>
        <v>#NAME?</v>
      </c>
      <c r="F898" s="27" t="e">
        <f ca="1">_xludf.GAMMA.INV(V898,'04_PSA_INPUTS'!H9,'04_PSA_INPUTS'!I9)</f>
        <v>#NAME?</v>
      </c>
      <c r="G898" s="23" t="e">
        <f ca="1">_xludf.BETA.INV(W898,'04_PSA_INPUTS'!H10,'04_PSA_INPUTS'!I10)</f>
        <v>#NAME?</v>
      </c>
      <c r="H898" s="23" t="e">
        <f ca="1">_xludf.BETA.INV(X898,'04_PSA_INPUTS'!H11,'04_PSA_INPUTS'!I11)</f>
        <v>#NAME?</v>
      </c>
      <c r="I898" s="27" t="e">
        <f ca="1">D898+B898*F898+'01_INPUTS'!B20</f>
        <v>#NAME?</v>
      </c>
      <c r="J898" s="27" t="e">
        <f ca="1">E898+C898*F898+'01_INPUTS'!B21</f>
        <v>#NAME?</v>
      </c>
      <c r="K898" s="27" t="e">
        <f t="shared" ref="K898:K961" ca="1" si="84">I898-J898</f>
        <v>#NAME?</v>
      </c>
      <c r="L898" s="23" t="e">
        <f t="shared" ref="L898:L961" ca="1" si="85">G898-B898*H898</f>
        <v>#NAME?</v>
      </c>
      <c r="M898" s="23" t="e">
        <f t="shared" ref="M898:M961" ca="1" si="86">G898-C898*H898</f>
        <v>#NAME?</v>
      </c>
      <c r="N898" s="23" t="e">
        <f t="shared" ref="N898:N961" ca="1" si="87">L898-M898</f>
        <v>#NAME?</v>
      </c>
      <c r="O898" s="27" t="e">
        <f t="shared" ref="O898:O961" ca="1" si="88">IF(N898=0,"",K898/N898)</f>
        <v>#NAME?</v>
      </c>
      <c r="P898" s="27" t="e">
        <f ca="1">'01_INPUTS'!B9*N898-K898</f>
        <v>#NAME?</v>
      </c>
      <c r="Q898" s="1" t="e">
        <f t="shared" ref="Q898:Q961" ca="1" si="89">IF(P898&gt;0,1,0)</f>
        <v>#NAME?</v>
      </c>
      <c r="R898" s="28">
        <v>0.56957836309447885</v>
      </c>
      <c r="S898" s="28">
        <v>0.37398019107058644</v>
      </c>
      <c r="T898" s="28">
        <v>0.69839670672081411</v>
      </c>
      <c r="U898" s="28">
        <v>0.70261635934002697</v>
      </c>
      <c r="V898" s="28">
        <v>0.93535257782787085</v>
      </c>
      <c r="W898" s="28">
        <v>0.34750466118566692</v>
      </c>
      <c r="X898" s="28">
        <v>0.56124826404266059</v>
      </c>
    </row>
    <row r="899" spans="1:24" ht="13.9">
      <c r="A899" s="1">
        <v>898</v>
      </c>
      <c r="B899" s="23" t="e">
        <f ca="1">_xludf.BETA.INV(R899,'04_PSA_INPUTS'!H5,'04_PSA_INPUTS'!I5)</f>
        <v>#NAME?</v>
      </c>
      <c r="C899" s="23" t="e">
        <f ca="1">_xludf.BETA.INV(S899,'04_PSA_INPUTS'!H6,'04_PSA_INPUTS'!I6)</f>
        <v>#NAME?</v>
      </c>
      <c r="D899" s="27" t="e">
        <f ca="1">_xludf.GAMMA.INV(T899,'04_PSA_INPUTS'!H7,'04_PSA_INPUTS'!I7)</f>
        <v>#NAME?</v>
      </c>
      <c r="E899" s="27" t="e">
        <f ca="1">_xludf.GAMMA.INV(U899,'04_PSA_INPUTS'!H8,'04_PSA_INPUTS'!I8)</f>
        <v>#NAME?</v>
      </c>
      <c r="F899" s="27" t="e">
        <f ca="1">_xludf.GAMMA.INV(V899,'04_PSA_INPUTS'!H9,'04_PSA_INPUTS'!I9)</f>
        <v>#NAME?</v>
      </c>
      <c r="G899" s="23" t="e">
        <f ca="1">_xludf.BETA.INV(W899,'04_PSA_INPUTS'!H10,'04_PSA_INPUTS'!I10)</f>
        <v>#NAME?</v>
      </c>
      <c r="H899" s="23" t="e">
        <f ca="1">_xludf.BETA.INV(X899,'04_PSA_INPUTS'!H11,'04_PSA_INPUTS'!I11)</f>
        <v>#NAME?</v>
      </c>
      <c r="I899" s="27" t="e">
        <f ca="1">D899+B899*F899+'01_INPUTS'!B20</f>
        <v>#NAME?</v>
      </c>
      <c r="J899" s="27" t="e">
        <f ca="1">E899+C899*F899+'01_INPUTS'!B21</f>
        <v>#NAME?</v>
      </c>
      <c r="K899" s="27" t="e">
        <f t="shared" ca="1" si="84"/>
        <v>#NAME?</v>
      </c>
      <c r="L899" s="23" t="e">
        <f t="shared" ca="1" si="85"/>
        <v>#NAME?</v>
      </c>
      <c r="M899" s="23" t="e">
        <f t="shared" ca="1" si="86"/>
        <v>#NAME?</v>
      </c>
      <c r="N899" s="23" t="e">
        <f t="shared" ca="1" si="87"/>
        <v>#NAME?</v>
      </c>
      <c r="O899" s="27" t="e">
        <f t="shared" ca="1" si="88"/>
        <v>#NAME?</v>
      </c>
      <c r="P899" s="27" t="e">
        <f ca="1">'01_INPUTS'!B9*N899-K899</f>
        <v>#NAME?</v>
      </c>
      <c r="Q899" s="1" t="e">
        <f t="shared" ca="1" si="89"/>
        <v>#NAME?</v>
      </c>
      <c r="R899" s="28">
        <v>0.74372868472710252</v>
      </c>
      <c r="S899" s="28">
        <v>8.8283105986192822E-2</v>
      </c>
      <c r="T899" s="28">
        <v>0.91905441228300333</v>
      </c>
      <c r="U899" s="28">
        <v>0.92364761815406382</v>
      </c>
      <c r="V899" s="28">
        <v>0.78980399062857032</v>
      </c>
      <c r="W899" s="28">
        <v>0.22124473471194506</v>
      </c>
      <c r="X899" s="28">
        <v>8.6938800290226936E-2</v>
      </c>
    </row>
    <row r="900" spans="1:24" ht="13.9">
      <c r="A900" s="1">
        <v>899</v>
      </c>
      <c r="B900" s="23" t="e">
        <f ca="1">_xludf.BETA.INV(R900,'04_PSA_INPUTS'!H5,'04_PSA_INPUTS'!I5)</f>
        <v>#NAME?</v>
      </c>
      <c r="C900" s="23" t="e">
        <f ca="1">_xludf.BETA.INV(S900,'04_PSA_INPUTS'!H6,'04_PSA_INPUTS'!I6)</f>
        <v>#NAME?</v>
      </c>
      <c r="D900" s="27" t="e">
        <f ca="1">_xludf.GAMMA.INV(T900,'04_PSA_INPUTS'!H7,'04_PSA_INPUTS'!I7)</f>
        <v>#NAME?</v>
      </c>
      <c r="E900" s="27" t="e">
        <f ca="1">_xludf.GAMMA.INV(U900,'04_PSA_INPUTS'!H8,'04_PSA_INPUTS'!I8)</f>
        <v>#NAME?</v>
      </c>
      <c r="F900" s="27" t="e">
        <f ca="1">_xludf.GAMMA.INV(V900,'04_PSA_INPUTS'!H9,'04_PSA_INPUTS'!I9)</f>
        <v>#NAME?</v>
      </c>
      <c r="G900" s="23" t="e">
        <f ca="1">_xludf.BETA.INV(W900,'04_PSA_INPUTS'!H10,'04_PSA_INPUTS'!I10)</f>
        <v>#NAME?</v>
      </c>
      <c r="H900" s="23" t="e">
        <f ca="1">_xludf.BETA.INV(X900,'04_PSA_INPUTS'!H11,'04_PSA_INPUTS'!I11)</f>
        <v>#NAME?</v>
      </c>
      <c r="I900" s="27" t="e">
        <f ca="1">D900+B900*F900+'01_INPUTS'!B20</f>
        <v>#NAME?</v>
      </c>
      <c r="J900" s="27" t="e">
        <f ca="1">E900+C900*F900+'01_INPUTS'!B21</f>
        <v>#NAME?</v>
      </c>
      <c r="K900" s="27" t="e">
        <f t="shared" ca="1" si="84"/>
        <v>#NAME?</v>
      </c>
      <c r="L900" s="23" t="e">
        <f t="shared" ca="1" si="85"/>
        <v>#NAME?</v>
      </c>
      <c r="M900" s="23" t="e">
        <f t="shared" ca="1" si="86"/>
        <v>#NAME?</v>
      </c>
      <c r="N900" s="23" t="e">
        <f t="shared" ca="1" si="87"/>
        <v>#NAME?</v>
      </c>
      <c r="O900" s="27" t="e">
        <f t="shared" ca="1" si="88"/>
        <v>#NAME?</v>
      </c>
      <c r="P900" s="27" t="e">
        <f ca="1">'01_INPUTS'!B9*N900-K900</f>
        <v>#NAME?</v>
      </c>
      <c r="Q900" s="1" t="e">
        <f t="shared" ca="1" si="89"/>
        <v>#NAME?</v>
      </c>
      <c r="R900" s="28">
        <v>0.40276061766780913</v>
      </c>
      <c r="S900" s="28">
        <v>8.0348059767857194E-2</v>
      </c>
      <c r="T900" s="28">
        <v>0.6866207798011601</v>
      </c>
      <c r="U900" s="28">
        <v>0.850235550198704</v>
      </c>
      <c r="V900" s="28">
        <v>0.43177069816738367</v>
      </c>
      <c r="W900" s="28">
        <v>0.52107937890104949</v>
      </c>
      <c r="X900" s="28">
        <v>0.21346135111525655</v>
      </c>
    </row>
    <row r="901" spans="1:24" ht="13.9">
      <c r="A901" s="1">
        <v>900</v>
      </c>
      <c r="B901" s="23" t="e">
        <f ca="1">_xludf.BETA.INV(R901,'04_PSA_INPUTS'!H5,'04_PSA_INPUTS'!I5)</f>
        <v>#NAME?</v>
      </c>
      <c r="C901" s="23" t="e">
        <f ca="1">_xludf.BETA.INV(S901,'04_PSA_INPUTS'!H6,'04_PSA_INPUTS'!I6)</f>
        <v>#NAME?</v>
      </c>
      <c r="D901" s="27" t="e">
        <f ca="1">_xludf.GAMMA.INV(T901,'04_PSA_INPUTS'!H7,'04_PSA_INPUTS'!I7)</f>
        <v>#NAME?</v>
      </c>
      <c r="E901" s="27" t="e">
        <f ca="1">_xludf.GAMMA.INV(U901,'04_PSA_INPUTS'!H8,'04_PSA_INPUTS'!I8)</f>
        <v>#NAME?</v>
      </c>
      <c r="F901" s="27" t="e">
        <f ca="1">_xludf.GAMMA.INV(V901,'04_PSA_INPUTS'!H9,'04_PSA_INPUTS'!I9)</f>
        <v>#NAME?</v>
      </c>
      <c r="G901" s="23" t="e">
        <f ca="1">_xludf.BETA.INV(W901,'04_PSA_INPUTS'!H10,'04_PSA_INPUTS'!I10)</f>
        <v>#NAME?</v>
      </c>
      <c r="H901" s="23" t="e">
        <f ca="1">_xludf.BETA.INV(X901,'04_PSA_INPUTS'!H11,'04_PSA_INPUTS'!I11)</f>
        <v>#NAME?</v>
      </c>
      <c r="I901" s="27" t="e">
        <f ca="1">D901+B901*F901+'01_INPUTS'!B20</f>
        <v>#NAME?</v>
      </c>
      <c r="J901" s="27" t="e">
        <f ca="1">E901+C901*F901+'01_INPUTS'!B21</f>
        <v>#NAME?</v>
      </c>
      <c r="K901" s="27" t="e">
        <f t="shared" ca="1" si="84"/>
        <v>#NAME?</v>
      </c>
      <c r="L901" s="23" t="e">
        <f t="shared" ca="1" si="85"/>
        <v>#NAME?</v>
      </c>
      <c r="M901" s="23" t="e">
        <f t="shared" ca="1" si="86"/>
        <v>#NAME?</v>
      </c>
      <c r="N901" s="23" t="e">
        <f t="shared" ca="1" si="87"/>
        <v>#NAME?</v>
      </c>
      <c r="O901" s="27" t="e">
        <f t="shared" ca="1" si="88"/>
        <v>#NAME?</v>
      </c>
      <c r="P901" s="27" t="e">
        <f ca="1">'01_INPUTS'!B9*N901-K901</f>
        <v>#NAME?</v>
      </c>
      <c r="Q901" s="1" t="e">
        <f t="shared" ca="1" si="89"/>
        <v>#NAME?</v>
      </c>
      <c r="R901" s="28">
        <v>0.25291857006959617</v>
      </c>
      <c r="S901" s="28">
        <v>0.9718901973683387</v>
      </c>
      <c r="T901" s="28">
        <v>0.48041274165734649</v>
      </c>
      <c r="U901" s="28">
        <v>0.29045050754211843</v>
      </c>
      <c r="V901" s="28">
        <v>0.10397841897793114</v>
      </c>
      <c r="W901" s="28">
        <v>0.57210578746162355</v>
      </c>
      <c r="X901" s="28">
        <v>0.72174835996702313</v>
      </c>
    </row>
    <row r="902" spans="1:24" ht="13.9">
      <c r="A902" s="1">
        <v>901</v>
      </c>
      <c r="B902" s="23" t="e">
        <f ca="1">_xludf.BETA.INV(R902,'04_PSA_INPUTS'!H5,'04_PSA_INPUTS'!I5)</f>
        <v>#NAME?</v>
      </c>
      <c r="C902" s="23" t="e">
        <f ca="1">_xludf.BETA.INV(S902,'04_PSA_INPUTS'!H6,'04_PSA_INPUTS'!I6)</f>
        <v>#NAME?</v>
      </c>
      <c r="D902" s="27" t="e">
        <f ca="1">_xludf.GAMMA.INV(T902,'04_PSA_INPUTS'!H7,'04_PSA_INPUTS'!I7)</f>
        <v>#NAME?</v>
      </c>
      <c r="E902" s="27" t="e">
        <f ca="1">_xludf.GAMMA.INV(U902,'04_PSA_INPUTS'!H8,'04_PSA_INPUTS'!I8)</f>
        <v>#NAME?</v>
      </c>
      <c r="F902" s="27" t="e">
        <f ca="1">_xludf.GAMMA.INV(V902,'04_PSA_INPUTS'!H9,'04_PSA_INPUTS'!I9)</f>
        <v>#NAME?</v>
      </c>
      <c r="G902" s="23" t="e">
        <f ca="1">_xludf.BETA.INV(W902,'04_PSA_INPUTS'!H10,'04_PSA_INPUTS'!I10)</f>
        <v>#NAME?</v>
      </c>
      <c r="H902" s="23" t="e">
        <f ca="1">_xludf.BETA.INV(X902,'04_PSA_INPUTS'!H11,'04_PSA_INPUTS'!I11)</f>
        <v>#NAME?</v>
      </c>
      <c r="I902" s="27" t="e">
        <f ca="1">D902+B902*F902+'01_INPUTS'!B20</f>
        <v>#NAME?</v>
      </c>
      <c r="J902" s="27" t="e">
        <f ca="1">E902+C902*F902+'01_INPUTS'!B21</f>
        <v>#NAME?</v>
      </c>
      <c r="K902" s="27" t="e">
        <f t="shared" ca="1" si="84"/>
        <v>#NAME?</v>
      </c>
      <c r="L902" s="23" t="e">
        <f t="shared" ca="1" si="85"/>
        <v>#NAME?</v>
      </c>
      <c r="M902" s="23" t="e">
        <f t="shared" ca="1" si="86"/>
        <v>#NAME?</v>
      </c>
      <c r="N902" s="23" t="e">
        <f t="shared" ca="1" si="87"/>
        <v>#NAME?</v>
      </c>
      <c r="O902" s="27" t="e">
        <f t="shared" ca="1" si="88"/>
        <v>#NAME?</v>
      </c>
      <c r="P902" s="27" t="e">
        <f ca="1">'01_INPUTS'!B9*N902-K902</f>
        <v>#NAME?</v>
      </c>
      <c r="Q902" s="1" t="e">
        <f t="shared" ca="1" si="89"/>
        <v>#NAME?</v>
      </c>
      <c r="R902" s="28">
        <v>0.13015059591270983</v>
      </c>
      <c r="S902" s="28">
        <v>0.358860898995772</v>
      </c>
      <c r="T902" s="28">
        <v>0.10655936202965677</v>
      </c>
      <c r="U902" s="28">
        <v>0.79057224490679801</v>
      </c>
      <c r="V902" s="28">
        <v>0.83696414018049836</v>
      </c>
      <c r="W902" s="28">
        <v>0.41332305478863418</v>
      </c>
      <c r="X902" s="28">
        <v>0.55538774025626481</v>
      </c>
    </row>
    <row r="903" spans="1:24" ht="13.9">
      <c r="A903" s="1">
        <v>902</v>
      </c>
      <c r="B903" s="23" t="e">
        <f ca="1">_xludf.BETA.INV(R903,'04_PSA_INPUTS'!H5,'04_PSA_INPUTS'!I5)</f>
        <v>#NAME?</v>
      </c>
      <c r="C903" s="23" t="e">
        <f ca="1">_xludf.BETA.INV(S903,'04_PSA_INPUTS'!H6,'04_PSA_INPUTS'!I6)</f>
        <v>#NAME?</v>
      </c>
      <c r="D903" s="27" t="e">
        <f ca="1">_xludf.GAMMA.INV(T903,'04_PSA_INPUTS'!H7,'04_PSA_INPUTS'!I7)</f>
        <v>#NAME?</v>
      </c>
      <c r="E903" s="27" t="e">
        <f ca="1">_xludf.GAMMA.INV(U903,'04_PSA_INPUTS'!H8,'04_PSA_INPUTS'!I8)</f>
        <v>#NAME?</v>
      </c>
      <c r="F903" s="27" t="e">
        <f ca="1">_xludf.GAMMA.INV(V903,'04_PSA_INPUTS'!H9,'04_PSA_INPUTS'!I9)</f>
        <v>#NAME?</v>
      </c>
      <c r="G903" s="23" t="e">
        <f ca="1">_xludf.BETA.INV(W903,'04_PSA_INPUTS'!H10,'04_PSA_INPUTS'!I10)</f>
        <v>#NAME?</v>
      </c>
      <c r="H903" s="23" t="e">
        <f ca="1">_xludf.BETA.INV(X903,'04_PSA_INPUTS'!H11,'04_PSA_INPUTS'!I11)</f>
        <v>#NAME?</v>
      </c>
      <c r="I903" s="27" t="e">
        <f ca="1">D903+B903*F903+'01_INPUTS'!B20</f>
        <v>#NAME?</v>
      </c>
      <c r="J903" s="27" t="e">
        <f ca="1">E903+C903*F903+'01_INPUTS'!B21</f>
        <v>#NAME?</v>
      </c>
      <c r="K903" s="27" t="e">
        <f t="shared" ca="1" si="84"/>
        <v>#NAME?</v>
      </c>
      <c r="L903" s="23" t="e">
        <f t="shared" ca="1" si="85"/>
        <v>#NAME?</v>
      </c>
      <c r="M903" s="23" t="e">
        <f t="shared" ca="1" si="86"/>
        <v>#NAME?</v>
      </c>
      <c r="N903" s="23" t="e">
        <f t="shared" ca="1" si="87"/>
        <v>#NAME?</v>
      </c>
      <c r="O903" s="27" t="e">
        <f t="shared" ca="1" si="88"/>
        <v>#NAME?</v>
      </c>
      <c r="P903" s="27" t="e">
        <f ca="1">'01_INPUTS'!B9*N903-K903</f>
        <v>#NAME?</v>
      </c>
      <c r="Q903" s="1" t="e">
        <f t="shared" ca="1" si="89"/>
        <v>#NAME?</v>
      </c>
      <c r="R903" s="28">
        <v>0.28080353303812444</v>
      </c>
      <c r="S903" s="28">
        <v>0.13102717767469585</v>
      </c>
      <c r="T903" s="28">
        <v>0.21786786545999348</v>
      </c>
      <c r="U903" s="28">
        <v>0.89745610021054745</v>
      </c>
      <c r="V903" s="28">
        <v>4.3671269668266177E-2</v>
      </c>
      <c r="W903" s="28">
        <v>8.6128137540072203E-2</v>
      </c>
      <c r="X903" s="28">
        <v>0.93910893728025258</v>
      </c>
    </row>
    <row r="904" spans="1:24" ht="13.9">
      <c r="A904" s="1">
        <v>903</v>
      </c>
      <c r="B904" s="23" t="e">
        <f ca="1">_xludf.BETA.INV(R904,'04_PSA_INPUTS'!H5,'04_PSA_INPUTS'!I5)</f>
        <v>#NAME?</v>
      </c>
      <c r="C904" s="23" t="e">
        <f ca="1">_xludf.BETA.INV(S904,'04_PSA_INPUTS'!H6,'04_PSA_INPUTS'!I6)</f>
        <v>#NAME?</v>
      </c>
      <c r="D904" s="27" t="e">
        <f ca="1">_xludf.GAMMA.INV(T904,'04_PSA_INPUTS'!H7,'04_PSA_INPUTS'!I7)</f>
        <v>#NAME?</v>
      </c>
      <c r="E904" s="27" t="e">
        <f ca="1">_xludf.GAMMA.INV(U904,'04_PSA_INPUTS'!H8,'04_PSA_INPUTS'!I8)</f>
        <v>#NAME?</v>
      </c>
      <c r="F904" s="27" t="e">
        <f ca="1">_xludf.GAMMA.INV(V904,'04_PSA_INPUTS'!H9,'04_PSA_INPUTS'!I9)</f>
        <v>#NAME?</v>
      </c>
      <c r="G904" s="23" t="e">
        <f ca="1">_xludf.BETA.INV(W904,'04_PSA_INPUTS'!H10,'04_PSA_INPUTS'!I10)</f>
        <v>#NAME?</v>
      </c>
      <c r="H904" s="23" t="e">
        <f ca="1">_xludf.BETA.INV(X904,'04_PSA_INPUTS'!H11,'04_PSA_INPUTS'!I11)</f>
        <v>#NAME?</v>
      </c>
      <c r="I904" s="27" t="e">
        <f ca="1">D904+B904*F904+'01_INPUTS'!B20</f>
        <v>#NAME?</v>
      </c>
      <c r="J904" s="27" t="e">
        <f ca="1">E904+C904*F904+'01_INPUTS'!B21</f>
        <v>#NAME?</v>
      </c>
      <c r="K904" s="27" t="e">
        <f t="shared" ca="1" si="84"/>
        <v>#NAME?</v>
      </c>
      <c r="L904" s="23" t="e">
        <f t="shared" ca="1" si="85"/>
        <v>#NAME?</v>
      </c>
      <c r="M904" s="23" t="e">
        <f t="shared" ca="1" si="86"/>
        <v>#NAME?</v>
      </c>
      <c r="N904" s="23" t="e">
        <f t="shared" ca="1" si="87"/>
        <v>#NAME?</v>
      </c>
      <c r="O904" s="27" t="e">
        <f t="shared" ca="1" si="88"/>
        <v>#NAME?</v>
      </c>
      <c r="P904" s="27" t="e">
        <f ca="1">'01_INPUTS'!B9*N904-K904</f>
        <v>#NAME?</v>
      </c>
      <c r="Q904" s="1" t="e">
        <f t="shared" ca="1" si="89"/>
        <v>#NAME?</v>
      </c>
      <c r="R904" s="28">
        <v>0.3413211228325963</v>
      </c>
      <c r="S904" s="28">
        <v>0.67650114116258919</v>
      </c>
      <c r="T904" s="28">
        <v>0.78594652307219803</v>
      </c>
      <c r="U904" s="28">
        <v>0.34097725339233875</v>
      </c>
      <c r="V904" s="28">
        <v>0.31202229089103639</v>
      </c>
      <c r="W904" s="28">
        <v>0.75123016047291458</v>
      </c>
      <c r="X904" s="28">
        <v>0.51208154042251408</v>
      </c>
    </row>
    <row r="905" spans="1:24" ht="13.9">
      <c r="A905" s="1">
        <v>904</v>
      </c>
      <c r="B905" s="23" t="e">
        <f ca="1">_xludf.BETA.INV(R905,'04_PSA_INPUTS'!H5,'04_PSA_INPUTS'!I5)</f>
        <v>#NAME?</v>
      </c>
      <c r="C905" s="23" t="e">
        <f ca="1">_xludf.BETA.INV(S905,'04_PSA_INPUTS'!H6,'04_PSA_INPUTS'!I6)</f>
        <v>#NAME?</v>
      </c>
      <c r="D905" s="27" t="e">
        <f ca="1">_xludf.GAMMA.INV(T905,'04_PSA_INPUTS'!H7,'04_PSA_INPUTS'!I7)</f>
        <v>#NAME?</v>
      </c>
      <c r="E905" s="27" t="e">
        <f ca="1">_xludf.GAMMA.INV(U905,'04_PSA_INPUTS'!H8,'04_PSA_INPUTS'!I8)</f>
        <v>#NAME?</v>
      </c>
      <c r="F905" s="27" t="e">
        <f ca="1">_xludf.GAMMA.INV(V905,'04_PSA_INPUTS'!H9,'04_PSA_INPUTS'!I9)</f>
        <v>#NAME?</v>
      </c>
      <c r="G905" s="23" t="e">
        <f ca="1">_xludf.BETA.INV(W905,'04_PSA_INPUTS'!H10,'04_PSA_INPUTS'!I10)</f>
        <v>#NAME?</v>
      </c>
      <c r="H905" s="23" t="e">
        <f ca="1">_xludf.BETA.INV(X905,'04_PSA_INPUTS'!H11,'04_PSA_INPUTS'!I11)</f>
        <v>#NAME?</v>
      </c>
      <c r="I905" s="27" t="e">
        <f ca="1">D905+B905*F905+'01_INPUTS'!B20</f>
        <v>#NAME?</v>
      </c>
      <c r="J905" s="27" t="e">
        <f ca="1">E905+C905*F905+'01_INPUTS'!B21</f>
        <v>#NAME?</v>
      </c>
      <c r="K905" s="27" t="e">
        <f t="shared" ca="1" si="84"/>
        <v>#NAME?</v>
      </c>
      <c r="L905" s="23" t="e">
        <f t="shared" ca="1" si="85"/>
        <v>#NAME?</v>
      </c>
      <c r="M905" s="23" t="e">
        <f t="shared" ca="1" si="86"/>
        <v>#NAME?</v>
      </c>
      <c r="N905" s="23" t="e">
        <f t="shared" ca="1" si="87"/>
        <v>#NAME?</v>
      </c>
      <c r="O905" s="27" t="e">
        <f t="shared" ca="1" si="88"/>
        <v>#NAME?</v>
      </c>
      <c r="P905" s="27" t="e">
        <f ca="1">'01_INPUTS'!B9*N905-K905</f>
        <v>#NAME?</v>
      </c>
      <c r="Q905" s="1" t="e">
        <f t="shared" ca="1" si="89"/>
        <v>#NAME?</v>
      </c>
      <c r="R905" s="28">
        <v>0.31036942987702787</v>
      </c>
      <c r="S905" s="28">
        <v>0.85948956501670182</v>
      </c>
      <c r="T905" s="28">
        <v>0.36706662410870194</v>
      </c>
      <c r="U905" s="28">
        <v>0.52596864709630609</v>
      </c>
      <c r="V905" s="28">
        <v>0.55282452702522278</v>
      </c>
      <c r="W905" s="28">
        <v>0.93088221410289407</v>
      </c>
      <c r="X905" s="28">
        <v>0.96658087032847106</v>
      </c>
    </row>
    <row r="906" spans="1:24" ht="13.9">
      <c r="A906" s="1">
        <v>905</v>
      </c>
      <c r="B906" s="23" t="e">
        <f ca="1">_xludf.BETA.INV(R906,'04_PSA_INPUTS'!H5,'04_PSA_INPUTS'!I5)</f>
        <v>#NAME?</v>
      </c>
      <c r="C906" s="23" t="e">
        <f ca="1">_xludf.BETA.INV(S906,'04_PSA_INPUTS'!H6,'04_PSA_INPUTS'!I6)</f>
        <v>#NAME?</v>
      </c>
      <c r="D906" s="27" t="e">
        <f ca="1">_xludf.GAMMA.INV(T906,'04_PSA_INPUTS'!H7,'04_PSA_INPUTS'!I7)</f>
        <v>#NAME?</v>
      </c>
      <c r="E906" s="27" t="e">
        <f ca="1">_xludf.GAMMA.INV(U906,'04_PSA_INPUTS'!H8,'04_PSA_INPUTS'!I8)</f>
        <v>#NAME?</v>
      </c>
      <c r="F906" s="27" t="e">
        <f ca="1">_xludf.GAMMA.INV(V906,'04_PSA_INPUTS'!H9,'04_PSA_INPUTS'!I9)</f>
        <v>#NAME?</v>
      </c>
      <c r="G906" s="23" t="e">
        <f ca="1">_xludf.BETA.INV(W906,'04_PSA_INPUTS'!H10,'04_PSA_INPUTS'!I10)</f>
        <v>#NAME?</v>
      </c>
      <c r="H906" s="23" t="e">
        <f ca="1">_xludf.BETA.INV(X906,'04_PSA_INPUTS'!H11,'04_PSA_INPUTS'!I11)</f>
        <v>#NAME?</v>
      </c>
      <c r="I906" s="27" t="e">
        <f ca="1">D906+B906*F906+'01_INPUTS'!B20</f>
        <v>#NAME?</v>
      </c>
      <c r="J906" s="27" t="e">
        <f ca="1">E906+C906*F906+'01_INPUTS'!B21</f>
        <v>#NAME?</v>
      </c>
      <c r="K906" s="27" t="e">
        <f t="shared" ca="1" si="84"/>
        <v>#NAME?</v>
      </c>
      <c r="L906" s="23" t="e">
        <f t="shared" ca="1" si="85"/>
        <v>#NAME?</v>
      </c>
      <c r="M906" s="23" t="e">
        <f t="shared" ca="1" si="86"/>
        <v>#NAME?</v>
      </c>
      <c r="N906" s="23" t="e">
        <f t="shared" ca="1" si="87"/>
        <v>#NAME?</v>
      </c>
      <c r="O906" s="27" t="e">
        <f t="shared" ca="1" si="88"/>
        <v>#NAME?</v>
      </c>
      <c r="P906" s="27" t="e">
        <f ca="1">'01_INPUTS'!B9*N906-K906</f>
        <v>#NAME?</v>
      </c>
      <c r="Q906" s="1" t="e">
        <f t="shared" ca="1" si="89"/>
        <v>#NAME?</v>
      </c>
      <c r="R906" s="28">
        <v>0.80620149406604469</v>
      </c>
      <c r="S906" s="28">
        <v>0.93142891651950777</v>
      </c>
      <c r="T906" s="28">
        <v>0.6124553270637989</v>
      </c>
      <c r="U906" s="28">
        <v>0.98964631953276694</v>
      </c>
      <c r="V906" s="28">
        <v>0.3277054235804826</v>
      </c>
      <c r="W906" s="28">
        <v>0.535606122110039</v>
      </c>
      <c r="X906" s="28">
        <v>0.36717389128170907</v>
      </c>
    </row>
    <row r="907" spans="1:24" ht="13.9">
      <c r="A907" s="1">
        <v>906</v>
      </c>
      <c r="B907" s="23" t="e">
        <f ca="1">_xludf.BETA.INV(R907,'04_PSA_INPUTS'!H5,'04_PSA_INPUTS'!I5)</f>
        <v>#NAME?</v>
      </c>
      <c r="C907" s="23" t="e">
        <f ca="1">_xludf.BETA.INV(S907,'04_PSA_INPUTS'!H6,'04_PSA_INPUTS'!I6)</f>
        <v>#NAME?</v>
      </c>
      <c r="D907" s="27" t="e">
        <f ca="1">_xludf.GAMMA.INV(T907,'04_PSA_INPUTS'!H7,'04_PSA_INPUTS'!I7)</f>
        <v>#NAME?</v>
      </c>
      <c r="E907" s="27" t="e">
        <f ca="1">_xludf.GAMMA.INV(U907,'04_PSA_INPUTS'!H8,'04_PSA_INPUTS'!I8)</f>
        <v>#NAME?</v>
      </c>
      <c r="F907" s="27" t="e">
        <f ca="1">_xludf.GAMMA.INV(V907,'04_PSA_INPUTS'!H9,'04_PSA_INPUTS'!I9)</f>
        <v>#NAME?</v>
      </c>
      <c r="G907" s="23" t="e">
        <f ca="1">_xludf.BETA.INV(W907,'04_PSA_INPUTS'!H10,'04_PSA_INPUTS'!I10)</f>
        <v>#NAME?</v>
      </c>
      <c r="H907" s="23" t="e">
        <f ca="1">_xludf.BETA.INV(X907,'04_PSA_INPUTS'!H11,'04_PSA_INPUTS'!I11)</f>
        <v>#NAME?</v>
      </c>
      <c r="I907" s="27" t="e">
        <f ca="1">D907+B907*F907+'01_INPUTS'!B20</f>
        <v>#NAME?</v>
      </c>
      <c r="J907" s="27" t="e">
        <f ca="1">E907+C907*F907+'01_INPUTS'!B21</f>
        <v>#NAME?</v>
      </c>
      <c r="K907" s="27" t="e">
        <f t="shared" ca="1" si="84"/>
        <v>#NAME?</v>
      </c>
      <c r="L907" s="23" t="e">
        <f t="shared" ca="1" si="85"/>
        <v>#NAME?</v>
      </c>
      <c r="M907" s="23" t="e">
        <f t="shared" ca="1" si="86"/>
        <v>#NAME?</v>
      </c>
      <c r="N907" s="23" t="e">
        <f t="shared" ca="1" si="87"/>
        <v>#NAME?</v>
      </c>
      <c r="O907" s="27" t="e">
        <f t="shared" ca="1" si="88"/>
        <v>#NAME?</v>
      </c>
      <c r="P907" s="27" t="e">
        <f ca="1">'01_INPUTS'!B9*N907-K907</f>
        <v>#NAME?</v>
      </c>
      <c r="Q907" s="1" t="e">
        <f t="shared" ca="1" si="89"/>
        <v>#NAME?</v>
      </c>
      <c r="R907" s="28">
        <v>0.27988789649680257</v>
      </c>
      <c r="S907" s="28">
        <v>0.63381646643392742</v>
      </c>
      <c r="T907" s="28">
        <v>0.27917267987504601</v>
      </c>
      <c r="U907" s="28">
        <v>6.9075408624485135E-2</v>
      </c>
      <c r="V907" s="28">
        <v>0.56812180019915104</v>
      </c>
      <c r="W907" s="28">
        <v>0.63688220805488527</v>
      </c>
      <c r="X907" s="28">
        <v>0.24519408866763115</v>
      </c>
    </row>
    <row r="908" spans="1:24" ht="13.9">
      <c r="A908" s="1">
        <v>907</v>
      </c>
      <c r="B908" s="23" t="e">
        <f ca="1">_xludf.BETA.INV(R908,'04_PSA_INPUTS'!H5,'04_PSA_INPUTS'!I5)</f>
        <v>#NAME?</v>
      </c>
      <c r="C908" s="23" t="e">
        <f ca="1">_xludf.BETA.INV(S908,'04_PSA_INPUTS'!H6,'04_PSA_INPUTS'!I6)</f>
        <v>#NAME?</v>
      </c>
      <c r="D908" s="27" t="e">
        <f ca="1">_xludf.GAMMA.INV(T908,'04_PSA_INPUTS'!H7,'04_PSA_INPUTS'!I7)</f>
        <v>#NAME?</v>
      </c>
      <c r="E908" s="27" t="e">
        <f ca="1">_xludf.GAMMA.INV(U908,'04_PSA_INPUTS'!H8,'04_PSA_INPUTS'!I8)</f>
        <v>#NAME?</v>
      </c>
      <c r="F908" s="27" t="e">
        <f ca="1">_xludf.GAMMA.INV(V908,'04_PSA_INPUTS'!H9,'04_PSA_INPUTS'!I9)</f>
        <v>#NAME?</v>
      </c>
      <c r="G908" s="23" t="e">
        <f ca="1">_xludf.BETA.INV(W908,'04_PSA_INPUTS'!H10,'04_PSA_INPUTS'!I10)</f>
        <v>#NAME?</v>
      </c>
      <c r="H908" s="23" t="e">
        <f ca="1">_xludf.BETA.INV(X908,'04_PSA_INPUTS'!H11,'04_PSA_INPUTS'!I11)</f>
        <v>#NAME?</v>
      </c>
      <c r="I908" s="27" t="e">
        <f ca="1">D908+B908*F908+'01_INPUTS'!B20</f>
        <v>#NAME?</v>
      </c>
      <c r="J908" s="27" t="e">
        <f ca="1">E908+C908*F908+'01_INPUTS'!B21</f>
        <v>#NAME?</v>
      </c>
      <c r="K908" s="27" t="e">
        <f t="shared" ca="1" si="84"/>
        <v>#NAME?</v>
      </c>
      <c r="L908" s="23" t="e">
        <f t="shared" ca="1" si="85"/>
        <v>#NAME?</v>
      </c>
      <c r="M908" s="23" t="e">
        <f t="shared" ca="1" si="86"/>
        <v>#NAME?</v>
      </c>
      <c r="N908" s="23" t="e">
        <f t="shared" ca="1" si="87"/>
        <v>#NAME?</v>
      </c>
      <c r="O908" s="27" t="e">
        <f t="shared" ca="1" si="88"/>
        <v>#NAME?</v>
      </c>
      <c r="P908" s="27" t="e">
        <f ca="1">'01_INPUTS'!B9*N908-K908</f>
        <v>#NAME?</v>
      </c>
      <c r="Q908" s="1" t="e">
        <f t="shared" ca="1" si="89"/>
        <v>#NAME?</v>
      </c>
      <c r="R908" s="28">
        <v>0.5990229700691998</v>
      </c>
      <c r="S908" s="28">
        <v>0.94639359693974257</v>
      </c>
      <c r="T908" s="28">
        <v>0.99058726313523948</v>
      </c>
      <c r="U908" s="28">
        <v>0.40697038220241666</v>
      </c>
      <c r="V908" s="28">
        <v>0.76946644391864538</v>
      </c>
      <c r="W908" s="28">
        <v>0.71920221718028188</v>
      </c>
      <c r="X908" s="28">
        <v>0.29602718632668257</v>
      </c>
    </row>
    <row r="909" spans="1:24" ht="13.9">
      <c r="A909" s="1">
        <v>908</v>
      </c>
      <c r="B909" s="23" t="e">
        <f ca="1">_xludf.BETA.INV(R909,'04_PSA_INPUTS'!H5,'04_PSA_INPUTS'!I5)</f>
        <v>#NAME?</v>
      </c>
      <c r="C909" s="23" t="e">
        <f ca="1">_xludf.BETA.INV(S909,'04_PSA_INPUTS'!H6,'04_PSA_INPUTS'!I6)</f>
        <v>#NAME?</v>
      </c>
      <c r="D909" s="27" t="e">
        <f ca="1">_xludf.GAMMA.INV(T909,'04_PSA_INPUTS'!H7,'04_PSA_INPUTS'!I7)</f>
        <v>#NAME?</v>
      </c>
      <c r="E909" s="27" t="e">
        <f ca="1">_xludf.GAMMA.INV(U909,'04_PSA_INPUTS'!H8,'04_PSA_INPUTS'!I8)</f>
        <v>#NAME?</v>
      </c>
      <c r="F909" s="27" t="e">
        <f ca="1">_xludf.GAMMA.INV(V909,'04_PSA_INPUTS'!H9,'04_PSA_INPUTS'!I9)</f>
        <v>#NAME?</v>
      </c>
      <c r="G909" s="23" t="e">
        <f ca="1">_xludf.BETA.INV(W909,'04_PSA_INPUTS'!H10,'04_PSA_INPUTS'!I10)</f>
        <v>#NAME?</v>
      </c>
      <c r="H909" s="23" t="e">
        <f ca="1">_xludf.BETA.INV(X909,'04_PSA_INPUTS'!H11,'04_PSA_INPUTS'!I11)</f>
        <v>#NAME?</v>
      </c>
      <c r="I909" s="27" t="e">
        <f ca="1">D909+B909*F909+'01_INPUTS'!B20</f>
        <v>#NAME?</v>
      </c>
      <c r="J909" s="27" t="e">
        <f ca="1">E909+C909*F909+'01_INPUTS'!B21</f>
        <v>#NAME?</v>
      </c>
      <c r="K909" s="27" t="e">
        <f t="shared" ca="1" si="84"/>
        <v>#NAME?</v>
      </c>
      <c r="L909" s="23" t="e">
        <f t="shared" ca="1" si="85"/>
        <v>#NAME?</v>
      </c>
      <c r="M909" s="23" t="e">
        <f t="shared" ca="1" si="86"/>
        <v>#NAME?</v>
      </c>
      <c r="N909" s="23" t="e">
        <f t="shared" ca="1" si="87"/>
        <v>#NAME?</v>
      </c>
      <c r="O909" s="27" t="e">
        <f t="shared" ca="1" si="88"/>
        <v>#NAME?</v>
      </c>
      <c r="P909" s="27" t="e">
        <f ca="1">'01_INPUTS'!B9*N909-K909</f>
        <v>#NAME?</v>
      </c>
      <c r="Q909" s="1" t="e">
        <f t="shared" ca="1" si="89"/>
        <v>#NAME?</v>
      </c>
      <c r="R909" s="28">
        <v>7.4511706829071045E-2</v>
      </c>
      <c r="S909" s="28">
        <v>0.74926520604640245</v>
      </c>
      <c r="T909" s="28">
        <v>0.15331982425414026</v>
      </c>
      <c r="U909" s="28">
        <v>0.63030562270432711</v>
      </c>
      <c r="V909" s="28">
        <v>0.91909597720950842</v>
      </c>
      <c r="W909" s="28">
        <v>9.0564694721251726E-2</v>
      </c>
      <c r="X909" s="28">
        <v>0.44875546568073332</v>
      </c>
    </row>
    <row r="910" spans="1:24" ht="13.9">
      <c r="A910" s="1">
        <v>909</v>
      </c>
      <c r="B910" s="23" t="e">
        <f ca="1">_xludf.BETA.INV(R910,'04_PSA_INPUTS'!H5,'04_PSA_INPUTS'!I5)</f>
        <v>#NAME?</v>
      </c>
      <c r="C910" s="23" t="e">
        <f ca="1">_xludf.BETA.INV(S910,'04_PSA_INPUTS'!H6,'04_PSA_INPUTS'!I6)</f>
        <v>#NAME?</v>
      </c>
      <c r="D910" s="27" t="e">
        <f ca="1">_xludf.GAMMA.INV(T910,'04_PSA_INPUTS'!H7,'04_PSA_INPUTS'!I7)</f>
        <v>#NAME?</v>
      </c>
      <c r="E910" s="27" t="e">
        <f ca="1">_xludf.GAMMA.INV(U910,'04_PSA_INPUTS'!H8,'04_PSA_INPUTS'!I8)</f>
        <v>#NAME?</v>
      </c>
      <c r="F910" s="27" t="e">
        <f ca="1">_xludf.GAMMA.INV(V910,'04_PSA_INPUTS'!H9,'04_PSA_INPUTS'!I9)</f>
        <v>#NAME?</v>
      </c>
      <c r="G910" s="23" t="e">
        <f ca="1">_xludf.BETA.INV(W910,'04_PSA_INPUTS'!H10,'04_PSA_INPUTS'!I10)</f>
        <v>#NAME?</v>
      </c>
      <c r="H910" s="23" t="e">
        <f ca="1">_xludf.BETA.INV(X910,'04_PSA_INPUTS'!H11,'04_PSA_INPUTS'!I11)</f>
        <v>#NAME?</v>
      </c>
      <c r="I910" s="27" t="e">
        <f ca="1">D910+B910*F910+'01_INPUTS'!B20</f>
        <v>#NAME?</v>
      </c>
      <c r="J910" s="27" t="e">
        <f ca="1">E910+C910*F910+'01_INPUTS'!B21</f>
        <v>#NAME?</v>
      </c>
      <c r="K910" s="27" t="e">
        <f t="shared" ca="1" si="84"/>
        <v>#NAME?</v>
      </c>
      <c r="L910" s="23" t="e">
        <f t="shared" ca="1" si="85"/>
        <v>#NAME?</v>
      </c>
      <c r="M910" s="23" t="e">
        <f t="shared" ca="1" si="86"/>
        <v>#NAME?</v>
      </c>
      <c r="N910" s="23" t="e">
        <f t="shared" ca="1" si="87"/>
        <v>#NAME?</v>
      </c>
      <c r="O910" s="27" t="e">
        <f t="shared" ca="1" si="88"/>
        <v>#NAME?</v>
      </c>
      <c r="P910" s="27" t="e">
        <f ca="1">'01_INPUTS'!B9*N910-K910</f>
        <v>#NAME?</v>
      </c>
      <c r="Q910" s="1" t="e">
        <f t="shared" ca="1" si="89"/>
        <v>#NAME?</v>
      </c>
      <c r="R910" s="28">
        <v>0.65592646086588502</v>
      </c>
      <c r="S910" s="28">
        <v>0.166308798128739</v>
      </c>
      <c r="T910" s="28">
        <v>0.59282373334281147</v>
      </c>
      <c r="U910" s="28">
        <v>0.88580268318764865</v>
      </c>
      <c r="V910" s="28">
        <v>4.7905730549246073E-2</v>
      </c>
      <c r="W910" s="28">
        <v>0.53655143268406391</v>
      </c>
      <c r="X910" s="28">
        <v>0.17717468156479299</v>
      </c>
    </row>
    <row r="911" spans="1:24" ht="13.9">
      <c r="A911" s="1">
        <v>910</v>
      </c>
      <c r="B911" s="23" t="e">
        <f ca="1">_xludf.BETA.INV(R911,'04_PSA_INPUTS'!H5,'04_PSA_INPUTS'!I5)</f>
        <v>#NAME?</v>
      </c>
      <c r="C911" s="23" t="e">
        <f ca="1">_xludf.BETA.INV(S911,'04_PSA_INPUTS'!H6,'04_PSA_INPUTS'!I6)</f>
        <v>#NAME?</v>
      </c>
      <c r="D911" s="27" t="e">
        <f ca="1">_xludf.GAMMA.INV(T911,'04_PSA_INPUTS'!H7,'04_PSA_INPUTS'!I7)</f>
        <v>#NAME?</v>
      </c>
      <c r="E911" s="27" t="e">
        <f ca="1">_xludf.GAMMA.INV(U911,'04_PSA_INPUTS'!H8,'04_PSA_INPUTS'!I8)</f>
        <v>#NAME?</v>
      </c>
      <c r="F911" s="27" t="e">
        <f ca="1">_xludf.GAMMA.INV(V911,'04_PSA_INPUTS'!H9,'04_PSA_INPUTS'!I9)</f>
        <v>#NAME?</v>
      </c>
      <c r="G911" s="23" t="e">
        <f ca="1">_xludf.BETA.INV(W911,'04_PSA_INPUTS'!H10,'04_PSA_INPUTS'!I10)</f>
        <v>#NAME?</v>
      </c>
      <c r="H911" s="23" t="e">
        <f ca="1">_xludf.BETA.INV(X911,'04_PSA_INPUTS'!H11,'04_PSA_INPUTS'!I11)</f>
        <v>#NAME?</v>
      </c>
      <c r="I911" s="27" t="e">
        <f ca="1">D911+B911*F911+'01_INPUTS'!B20</f>
        <v>#NAME?</v>
      </c>
      <c r="J911" s="27" t="e">
        <f ca="1">E911+C911*F911+'01_INPUTS'!B21</f>
        <v>#NAME?</v>
      </c>
      <c r="K911" s="27" t="e">
        <f t="shared" ca="1" si="84"/>
        <v>#NAME?</v>
      </c>
      <c r="L911" s="23" t="e">
        <f t="shared" ca="1" si="85"/>
        <v>#NAME?</v>
      </c>
      <c r="M911" s="23" t="e">
        <f t="shared" ca="1" si="86"/>
        <v>#NAME?</v>
      </c>
      <c r="N911" s="23" t="e">
        <f t="shared" ca="1" si="87"/>
        <v>#NAME?</v>
      </c>
      <c r="O911" s="27" t="e">
        <f t="shared" ca="1" si="88"/>
        <v>#NAME?</v>
      </c>
      <c r="P911" s="27" t="e">
        <f ca="1">'01_INPUTS'!B9*N911-K911</f>
        <v>#NAME?</v>
      </c>
      <c r="Q911" s="1" t="e">
        <f t="shared" ca="1" si="89"/>
        <v>#NAME?</v>
      </c>
      <c r="R911" s="28">
        <v>0.73872802429832518</v>
      </c>
      <c r="S911" s="28">
        <v>0.32950993534177542</v>
      </c>
      <c r="T911" s="28">
        <v>0.16947558894753456</v>
      </c>
      <c r="U911" s="28">
        <v>0.51341317291371524</v>
      </c>
      <c r="V911" s="28">
        <v>0.37617213022895157</v>
      </c>
      <c r="W911" s="28">
        <v>0.15389903075993061</v>
      </c>
      <c r="X911" s="28">
        <v>0.35827935766428709</v>
      </c>
    </row>
    <row r="912" spans="1:24" ht="13.9">
      <c r="A912" s="1">
        <v>911</v>
      </c>
      <c r="B912" s="23" t="e">
        <f ca="1">_xludf.BETA.INV(R912,'04_PSA_INPUTS'!H5,'04_PSA_INPUTS'!I5)</f>
        <v>#NAME?</v>
      </c>
      <c r="C912" s="23" t="e">
        <f ca="1">_xludf.BETA.INV(S912,'04_PSA_INPUTS'!H6,'04_PSA_INPUTS'!I6)</f>
        <v>#NAME?</v>
      </c>
      <c r="D912" s="27" t="e">
        <f ca="1">_xludf.GAMMA.INV(T912,'04_PSA_INPUTS'!H7,'04_PSA_INPUTS'!I7)</f>
        <v>#NAME?</v>
      </c>
      <c r="E912" s="27" t="e">
        <f ca="1">_xludf.GAMMA.INV(U912,'04_PSA_INPUTS'!H8,'04_PSA_INPUTS'!I8)</f>
        <v>#NAME?</v>
      </c>
      <c r="F912" s="27" t="e">
        <f ca="1">_xludf.GAMMA.INV(V912,'04_PSA_INPUTS'!H9,'04_PSA_INPUTS'!I9)</f>
        <v>#NAME?</v>
      </c>
      <c r="G912" s="23" t="e">
        <f ca="1">_xludf.BETA.INV(W912,'04_PSA_INPUTS'!H10,'04_PSA_INPUTS'!I10)</f>
        <v>#NAME?</v>
      </c>
      <c r="H912" s="23" t="e">
        <f ca="1">_xludf.BETA.INV(X912,'04_PSA_INPUTS'!H11,'04_PSA_INPUTS'!I11)</f>
        <v>#NAME?</v>
      </c>
      <c r="I912" s="27" t="e">
        <f ca="1">D912+B912*F912+'01_INPUTS'!B20</f>
        <v>#NAME?</v>
      </c>
      <c r="J912" s="27" t="e">
        <f ca="1">E912+C912*F912+'01_INPUTS'!B21</f>
        <v>#NAME?</v>
      </c>
      <c r="K912" s="27" t="e">
        <f t="shared" ca="1" si="84"/>
        <v>#NAME?</v>
      </c>
      <c r="L912" s="23" t="e">
        <f t="shared" ca="1" si="85"/>
        <v>#NAME?</v>
      </c>
      <c r="M912" s="23" t="e">
        <f t="shared" ca="1" si="86"/>
        <v>#NAME?</v>
      </c>
      <c r="N912" s="23" t="e">
        <f t="shared" ca="1" si="87"/>
        <v>#NAME?</v>
      </c>
      <c r="O912" s="27" t="e">
        <f t="shared" ca="1" si="88"/>
        <v>#NAME?</v>
      </c>
      <c r="P912" s="27" t="e">
        <f ca="1">'01_INPUTS'!B9*N912-K912</f>
        <v>#NAME?</v>
      </c>
      <c r="Q912" s="1" t="e">
        <f t="shared" ca="1" si="89"/>
        <v>#NAME?</v>
      </c>
      <c r="R912" s="28">
        <v>0.76838735281489789</v>
      </c>
      <c r="S912" s="28">
        <v>0.55062796035781503</v>
      </c>
      <c r="T912" s="28">
        <v>0.5635069168638438</v>
      </c>
      <c r="U912" s="28">
        <v>0.21189342276193202</v>
      </c>
      <c r="V912" s="28">
        <v>0.15360556938685477</v>
      </c>
      <c r="W912" s="28">
        <v>0.54912930051796138</v>
      </c>
      <c r="X912" s="28">
        <v>0.50306089734658599</v>
      </c>
    </row>
    <row r="913" spans="1:24" ht="13.9">
      <c r="A913" s="1">
        <v>912</v>
      </c>
      <c r="B913" s="23" t="e">
        <f ca="1">_xludf.BETA.INV(R913,'04_PSA_INPUTS'!H5,'04_PSA_INPUTS'!I5)</f>
        <v>#NAME?</v>
      </c>
      <c r="C913" s="23" t="e">
        <f ca="1">_xludf.BETA.INV(S913,'04_PSA_INPUTS'!H6,'04_PSA_INPUTS'!I6)</f>
        <v>#NAME?</v>
      </c>
      <c r="D913" s="27" t="e">
        <f ca="1">_xludf.GAMMA.INV(T913,'04_PSA_INPUTS'!H7,'04_PSA_INPUTS'!I7)</f>
        <v>#NAME?</v>
      </c>
      <c r="E913" s="27" t="e">
        <f ca="1">_xludf.GAMMA.INV(U913,'04_PSA_INPUTS'!H8,'04_PSA_INPUTS'!I8)</f>
        <v>#NAME?</v>
      </c>
      <c r="F913" s="27" t="e">
        <f ca="1">_xludf.GAMMA.INV(V913,'04_PSA_INPUTS'!H9,'04_PSA_INPUTS'!I9)</f>
        <v>#NAME?</v>
      </c>
      <c r="G913" s="23" t="e">
        <f ca="1">_xludf.BETA.INV(W913,'04_PSA_INPUTS'!H10,'04_PSA_INPUTS'!I10)</f>
        <v>#NAME?</v>
      </c>
      <c r="H913" s="23" t="e">
        <f ca="1">_xludf.BETA.INV(X913,'04_PSA_INPUTS'!H11,'04_PSA_INPUTS'!I11)</f>
        <v>#NAME?</v>
      </c>
      <c r="I913" s="27" t="e">
        <f ca="1">D913+B913*F913+'01_INPUTS'!B20</f>
        <v>#NAME?</v>
      </c>
      <c r="J913" s="27" t="e">
        <f ca="1">E913+C913*F913+'01_INPUTS'!B21</f>
        <v>#NAME?</v>
      </c>
      <c r="K913" s="27" t="e">
        <f t="shared" ca="1" si="84"/>
        <v>#NAME?</v>
      </c>
      <c r="L913" s="23" t="e">
        <f t="shared" ca="1" si="85"/>
        <v>#NAME?</v>
      </c>
      <c r="M913" s="23" t="e">
        <f t="shared" ca="1" si="86"/>
        <v>#NAME?</v>
      </c>
      <c r="N913" s="23" t="e">
        <f t="shared" ca="1" si="87"/>
        <v>#NAME?</v>
      </c>
      <c r="O913" s="27" t="e">
        <f t="shared" ca="1" si="88"/>
        <v>#NAME?</v>
      </c>
      <c r="P913" s="27" t="e">
        <f ca="1">'01_INPUTS'!B9*N913-K913</f>
        <v>#NAME?</v>
      </c>
      <c r="Q913" s="1" t="e">
        <f t="shared" ca="1" si="89"/>
        <v>#NAME?</v>
      </c>
      <c r="R913" s="28">
        <v>1.7849793657660484E-2</v>
      </c>
      <c r="S913" s="28">
        <v>0.80729392729699612</v>
      </c>
      <c r="T913" s="28">
        <v>0.8561797090806067</v>
      </c>
      <c r="U913" s="28">
        <v>0.63253321801312268</v>
      </c>
      <c r="V913" s="28">
        <v>0.49635779485106468</v>
      </c>
      <c r="W913" s="28">
        <v>0.36940573225729167</v>
      </c>
      <c r="X913" s="28">
        <v>0.89736642036587</v>
      </c>
    </row>
    <row r="914" spans="1:24" ht="13.9">
      <c r="A914" s="1">
        <v>913</v>
      </c>
      <c r="B914" s="23" t="e">
        <f ca="1">_xludf.BETA.INV(R914,'04_PSA_INPUTS'!H5,'04_PSA_INPUTS'!I5)</f>
        <v>#NAME?</v>
      </c>
      <c r="C914" s="23" t="e">
        <f ca="1">_xludf.BETA.INV(S914,'04_PSA_INPUTS'!H6,'04_PSA_INPUTS'!I6)</f>
        <v>#NAME?</v>
      </c>
      <c r="D914" s="27" t="e">
        <f ca="1">_xludf.GAMMA.INV(T914,'04_PSA_INPUTS'!H7,'04_PSA_INPUTS'!I7)</f>
        <v>#NAME?</v>
      </c>
      <c r="E914" s="27" t="e">
        <f ca="1">_xludf.GAMMA.INV(U914,'04_PSA_INPUTS'!H8,'04_PSA_INPUTS'!I8)</f>
        <v>#NAME?</v>
      </c>
      <c r="F914" s="27" t="e">
        <f ca="1">_xludf.GAMMA.INV(V914,'04_PSA_INPUTS'!H9,'04_PSA_INPUTS'!I9)</f>
        <v>#NAME?</v>
      </c>
      <c r="G914" s="23" t="e">
        <f ca="1">_xludf.BETA.INV(W914,'04_PSA_INPUTS'!H10,'04_PSA_INPUTS'!I10)</f>
        <v>#NAME?</v>
      </c>
      <c r="H914" s="23" t="e">
        <f ca="1">_xludf.BETA.INV(X914,'04_PSA_INPUTS'!H11,'04_PSA_INPUTS'!I11)</f>
        <v>#NAME?</v>
      </c>
      <c r="I914" s="27" t="e">
        <f ca="1">D914+B914*F914+'01_INPUTS'!B20</f>
        <v>#NAME?</v>
      </c>
      <c r="J914" s="27" t="e">
        <f ca="1">E914+C914*F914+'01_INPUTS'!B21</f>
        <v>#NAME?</v>
      </c>
      <c r="K914" s="27" t="e">
        <f t="shared" ca="1" si="84"/>
        <v>#NAME?</v>
      </c>
      <c r="L914" s="23" t="e">
        <f t="shared" ca="1" si="85"/>
        <v>#NAME?</v>
      </c>
      <c r="M914" s="23" t="e">
        <f t="shared" ca="1" si="86"/>
        <v>#NAME?</v>
      </c>
      <c r="N914" s="23" t="e">
        <f t="shared" ca="1" si="87"/>
        <v>#NAME?</v>
      </c>
      <c r="O914" s="27" t="e">
        <f t="shared" ca="1" si="88"/>
        <v>#NAME?</v>
      </c>
      <c r="P914" s="27" t="e">
        <f ca="1">'01_INPUTS'!B9*N914-K914</f>
        <v>#NAME?</v>
      </c>
      <c r="Q914" s="1" t="e">
        <f t="shared" ca="1" si="89"/>
        <v>#NAME?</v>
      </c>
      <c r="R914" s="28">
        <v>0.34532398590818048</v>
      </c>
      <c r="S914" s="28">
        <v>7.7316342853009701E-2</v>
      </c>
      <c r="T914" s="28">
        <v>0.56025244668126106</v>
      </c>
      <c r="U914" s="28">
        <v>0.59570537810213864</v>
      </c>
      <c r="V914" s="28">
        <v>0.81704415706917644</v>
      </c>
      <c r="W914" s="28">
        <v>0.95995135651901364</v>
      </c>
      <c r="X914" s="28">
        <v>1.9933553412556648E-2</v>
      </c>
    </row>
    <row r="915" spans="1:24" ht="13.9">
      <c r="A915" s="1">
        <v>914</v>
      </c>
      <c r="B915" s="23" t="e">
        <f ca="1">_xludf.BETA.INV(R915,'04_PSA_INPUTS'!H5,'04_PSA_INPUTS'!I5)</f>
        <v>#NAME?</v>
      </c>
      <c r="C915" s="23" t="e">
        <f ca="1">_xludf.BETA.INV(S915,'04_PSA_INPUTS'!H6,'04_PSA_INPUTS'!I6)</f>
        <v>#NAME?</v>
      </c>
      <c r="D915" s="27" t="e">
        <f ca="1">_xludf.GAMMA.INV(T915,'04_PSA_INPUTS'!H7,'04_PSA_INPUTS'!I7)</f>
        <v>#NAME?</v>
      </c>
      <c r="E915" s="27" t="e">
        <f ca="1">_xludf.GAMMA.INV(U915,'04_PSA_INPUTS'!H8,'04_PSA_INPUTS'!I8)</f>
        <v>#NAME?</v>
      </c>
      <c r="F915" s="27" t="e">
        <f ca="1">_xludf.GAMMA.INV(V915,'04_PSA_INPUTS'!H9,'04_PSA_INPUTS'!I9)</f>
        <v>#NAME?</v>
      </c>
      <c r="G915" s="23" t="e">
        <f ca="1">_xludf.BETA.INV(W915,'04_PSA_INPUTS'!H10,'04_PSA_INPUTS'!I10)</f>
        <v>#NAME?</v>
      </c>
      <c r="H915" s="23" t="e">
        <f ca="1">_xludf.BETA.INV(X915,'04_PSA_INPUTS'!H11,'04_PSA_INPUTS'!I11)</f>
        <v>#NAME?</v>
      </c>
      <c r="I915" s="27" t="e">
        <f ca="1">D915+B915*F915+'01_INPUTS'!B20</f>
        <v>#NAME?</v>
      </c>
      <c r="J915" s="27" t="e">
        <f ca="1">E915+C915*F915+'01_INPUTS'!B21</f>
        <v>#NAME?</v>
      </c>
      <c r="K915" s="27" t="e">
        <f t="shared" ca="1" si="84"/>
        <v>#NAME?</v>
      </c>
      <c r="L915" s="23" t="e">
        <f t="shared" ca="1" si="85"/>
        <v>#NAME?</v>
      </c>
      <c r="M915" s="23" t="e">
        <f t="shared" ca="1" si="86"/>
        <v>#NAME?</v>
      </c>
      <c r="N915" s="23" t="e">
        <f t="shared" ca="1" si="87"/>
        <v>#NAME?</v>
      </c>
      <c r="O915" s="27" t="e">
        <f t="shared" ca="1" si="88"/>
        <v>#NAME?</v>
      </c>
      <c r="P915" s="27" t="e">
        <f ca="1">'01_INPUTS'!B9*N915-K915</f>
        <v>#NAME?</v>
      </c>
      <c r="Q915" s="1" t="e">
        <f t="shared" ca="1" si="89"/>
        <v>#NAME?</v>
      </c>
      <c r="R915" s="28">
        <v>0.16212121397256851</v>
      </c>
      <c r="S915" s="28">
        <v>0.19226734875701368</v>
      </c>
      <c r="T915" s="28">
        <v>0.71805018908344209</v>
      </c>
      <c r="U915" s="28">
        <v>0.35934669431298971</v>
      </c>
      <c r="V915" s="28">
        <v>0.65628346567973495</v>
      </c>
      <c r="W915" s="28">
        <v>0.72605477296747267</v>
      </c>
      <c r="X915" s="28">
        <v>0.60414826078340411</v>
      </c>
    </row>
    <row r="916" spans="1:24" ht="13.9">
      <c r="A916" s="1">
        <v>915</v>
      </c>
      <c r="B916" s="23" t="e">
        <f ca="1">_xludf.BETA.INV(R916,'04_PSA_INPUTS'!H5,'04_PSA_INPUTS'!I5)</f>
        <v>#NAME?</v>
      </c>
      <c r="C916" s="23" t="e">
        <f ca="1">_xludf.BETA.INV(S916,'04_PSA_INPUTS'!H6,'04_PSA_INPUTS'!I6)</f>
        <v>#NAME?</v>
      </c>
      <c r="D916" s="27" t="e">
        <f ca="1">_xludf.GAMMA.INV(T916,'04_PSA_INPUTS'!H7,'04_PSA_INPUTS'!I7)</f>
        <v>#NAME?</v>
      </c>
      <c r="E916" s="27" t="e">
        <f ca="1">_xludf.GAMMA.INV(U916,'04_PSA_INPUTS'!H8,'04_PSA_INPUTS'!I8)</f>
        <v>#NAME?</v>
      </c>
      <c r="F916" s="27" t="e">
        <f ca="1">_xludf.GAMMA.INV(V916,'04_PSA_INPUTS'!H9,'04_PSA_INPUTS'!I9)</f>
        <v>#NAME?</v>
      </c>
      <c r="G916" s="23" t="e">
        <f ca="1">_xludf.BETA.INV(W916,'04_PSA_INPUTS'!H10,'04_PSA_INPUTS'!I10)</f>
        <v>#NAME?</v>
      </c>
      <c r="H916" s="23" t="e">
        <f ca="1">_xludf.BETA.INV(X916,'04_PSA_INPUTS'!H11,'04_PSA_INPUTS'!I11)</f>
        <v>#NAME?</v>
      </c>
      <c r="I916" s="27" t="e">
        <f ca="1">D916+B916*F916+'01_INPUTS'!B20</f>
        <v>#NAME?</v>
      </c>
      <c r="J916" s="27" t="e">
        <f ca="1">E916+C916*F916+'01_INPUTS'!B21</f>
        <v>#NAME?</v>
      </c>
      <c r="K916" s="27" t="e">
        <f t="shared" ca="1" si="84"/>
        <v>#NAME?</v>
      </c>
      <c r="L916" s="23" t="e">
        <f t="shared" ca="1" si="85"/>
        <v>#NAME?</v>
      </c>
      <c r="M916" s="23" t="e">
        <f t="shared" ca="1" si="86"/>
        <v>#NAME?</v>
      </c>
      <c r="N916" s="23" t="e">
        <f t="shared" ca="1" si="87"/>
        <v>#NAME?</v>
      </c>
      <c r="O916" s="27" t="e">
        <f t="shared" ca="1" si="88"/>
        <v>#NAME?</v>
      </c>
      <c r="P916" s="27" t="e">
        <f ca="1">'01_INPUTS'!B9*N916-K916</f>
        <v>#NAME?</v>
      </c>
      <c r="Q916" s="1" t="e">
        <f t="shared" ca="1" si="89"/>
        <v>#NAME?</v>
      </c>
      <c r="R916" s="28">
        <v>0.47007085965014994</v>
      </c>
      <c r="S916" s="28">
        <v>0.55045776395127177</v>
      </c>
      <c r="T916" s="28">
        <v>0.72173421364277601</v>
      </c>
      <c r="U916" s="28">
        <v>0.31900192238390446</v>
      </c>
      <c r="V916" s="28">
        <v>0.18572892341762781</v>
      </c>
      <c r="W916" s="28">
        <v>0.11868864996358752</v>
      </c>
      <c r="X916" s="28">
        <v>7.7837387099862099E-2</v>
      </c>
    </row>
    <row r="917" spans="1:24" ht="13.9">
      <c r="A917" s="1">
        <v>916</v>
      </c>
      <c r="B917" s="23" t="e">
        <f ca="1">_xludf.BETA.INV(R917,'04_PSA_INPUTS'!H5,'04_PSA_INPUTS'!I5)</f>
        <v>#NAME?</v>
      </c>
      <c r="C917" s="23" t="e">
        <f ca="1">_xludf.BETA.INV(S917,'04_PSA_INPUTS'!H6,'04_PSA_INPUTS'!I6)</f>
        <v>#NAME?</v>
      </c>
      <c r="D917" s="27" t="e">
        <f ca="1">_xludf.GAMMA.INV(T917,'04_PSA_INPUTS'!H7,'04_PSA_INPUTS'!I7)</f>
        <v>#NAME?</v>
      </c>
      <c r="E917" s="27" t="e">
        <f ca="1">_xludf.GAMMA.INV(U917,'04_PSA_INPUTS'!H8,'04_PSA_INPUTS'!I8)</f>
        <v>#NAME?</v>
      </c>
      <c r="F917" s="27" t="e">
        <f ca="1">_xludf.GAMMA.INV(V917,'04_PSA_INPUTS'!H9,'04_PSA_INPUTS'!I9)</f>
        <v>#NAME?</v>
      </c>
      <c r="G917" s="23" t="e">
        <f ca="1">_xludf.BETA.INV(W917,'04_PSA_INPUTS'!H10,'04_PSA_INPUTS'!I10)</f>
        <v>#NAME?</v>
      </c>
      <c r="H917" s="23" t="e">
        <f ca="1">_xludf.BETA.INV(X917,'04_PSA_INPUTS'!H11,'04_PSA_INPUTS'!I11)</f>
        <v>#NAME?</v>
      </c>
      <c r="I917" s="27" t="e">
        <f ca="1">D917+B917*F917+'01_INPUTS'!B20</f>
        <v>#NAME?</v>
      </c>
      <c r="J917" s="27" t="e">
        <f ca="1">E917+C917*F917+'01_INPUTS'!B21</f>
        <v>#NAME?</v>
      </c>
      <c r="K917" s="27" t="e">
        <f t="shared" ca="1" si="84"/>
        <v>#NAME?</v>
      </c>
      <c r="L917" s="23" t="e">
        <f t="shared" ca="1" si="85"/>
        <v>#NAME?</v>
      </c>
      <c r="M917" s="23" t="e">
        <f t="shared" ca="1" si="86"/>
        <v>#NAME?</v>
      </c>
      <c r="N917" s="23" t="e">
        <f t="shared" ca="1" si="87"/>
        <v>#NAME?</v>
      </c>
      <c r="O917" s="27" t="e">
        <f t="shared" ca="1" si="88"/>
        <v>#NAME?</v>
      </c>
      <c r="P917" s="27" t="e">
        <f ca="1">'01_INPUTS'!B9*N917-K917</f>
        <v>#NAME?</v>
      </c>
      <c r="Q917" s="1" t="e">
        <f t="shared" ca="1" si="89"/>
        <v>#NAME?</v>
      </c>
      <c r="R917" s="28">
        <v>0.32981672696769238</v>
      </c>
      <c r="S917" s="28">
        <v>0.94237904134206474</v>
      </c>
      <c r="T917" s="28">
        <v>0.21257499768398702</v>
      </c>
      <c r="U917" s="28">
        <v>0.27732473099604249</v>
      </c>
      <c r="V917" s="28">
        <v>0.33159067365340889</v>
      </c>
      <c r="W917" s="28">
        <v>0.12003207812085748</v>
      </c>
      <c r="X917" s="28">
        <v>0.73564462154172361</v>
      </c>
    </row>
    <row r="918" spans="1:24" ht="13.9">
      <c r="A918" s="1">
        <v>917</v>
      </c>
      <c r="B918" s="23" t="e">
        <f ca="1">_xludf.BETA.INV(R918,'04_PSA_INPUTS'!H5,'04_PSA_INPUTS'!I5)</f>
        <v>#NAME?</v>
      </c>
      <c r="C918" s="23" t="e">
        <f ca="1">_xludf.BETA.INV(S918,'04_PSA_INPUTS'!H6,'04_PSA_INPUTS'!I6)</f>
        <v>#NAME?</v>
      </c>
      <c r="D918" s="27" t="e">
        <f ca="1">_xludf.GAMMA.INV(T918,'04_PSA_INPUTS'!H7,'04_PSA_INPUTS'!I7)</f>
        <v>#NAME?</v>
      </c>
      <c r="E918" s="27" t="e">
        <f ca="1">_xludf.GAMMA.INV(U918,'04_PSA_INPUTS'!H8,'04_PSA_INPUTS'!I8)</f>
        <v>#NAME?</v>
      </c>
      <c r="F918" s="27" t="e">
        <f ca="1">_xludf.GAMMA.INV(V918,'04_PSA_INPUTS'!H9,'04_PSA_INPUTS'!I9)</f>
        <v>#NAME?</v>
      </c>
      <c r="G918" s="23" t="e">
        <f ca="1">_xludf.BETA.INV(W918,'04_PSA_INPUTS'!H10,'04_PSA_INPUTS'!I10)</f>
        <v>#NAME?</v>
      </c>
      <c r="H918" s="23" t="e">
        <f ca="1">_xludf.BETA.INV(X918,'04_PSA_INPUTS'!H11,'04_PSA_INPUTS'!I11)</f>
        <v>#NAME?</v>
      </c>
      <c r="I918" s="27" t="e">
        <f ca="1">D918+B918*F918+'01_INPUTS'!B20</f>
        <v>#NAME?</v>
      </c>
      <c r="J918" s="27" t="e">
        <f ca="1">E918+C918*F918+'01_INPUTS'!B21</f>
        <v>#NAME?</v>
      </c>
      <c r="K918" s="27" t="e">
        <f t="shared" ca="1" si="84"/>
        <v>#NAME?</v>
      </c>
      <c r="L918" s="23" t="e">
        <f t="shared" ca="1" si="85"/>
        <v>#NAME?</v>
      </c>
      <c r="M918" s="23" t="e">
        <f t="shared" ca="1" si="86"/>
        <v>#NAME?</v>
      </c>
      <c r="N918" s="23" t="e">
        <f t="shared" ca="1" si="87"/>
        <v>#NAME?</v>
      </c>
      <c r="O918" s="27" t="e">
        <f t="shared" ca="1" si="88"/>
        <v>#NAME?</v>
      </c>
      <c r="P918" s="27" t="e">
        <f ca="1">'01_INPUTS'!B9*N918-K918</f>
        <v>#NAME?</v>
      </c>
      <c r="Q918" s="1" t="e">
        <f t="shared" ca="1" si="89"/>
        <v>#NAME?</v>
      </c>
      <c r="R918" s="28">
        <v>0.92207217984832823</v>
      </c>
      <c r="S918" s="28">
        <v>0.40570644987747073</v>
      </c>
      <c r="T918" s="28">
        <v>5.7993623660877347E-2</v>
      </c>
      <c r="U918" s="28">
        <v>0.22837346466258168</v>
      </c>
      <c r="V918" s="28">
        <v>0.14716458250768483</v>
      </c>
      <c r="W918" s="28">
        <v>0.60386886936612427</v>
      </c>
      <c r="X918" s="28">
        <v>0.30108732893131673</v>
      </c>
    </row>
    <row r="919" spans="1:24" ht="13.9">
      <c r="A919" s="1">
        <v>918</v>
      </c>
      <c r="B919" s="23" t="e">
        <f ca="1">_xludf.BETA.INV(R919,'04_PSA_INPUTS'!H5,'04_PSA_INPUTS'!I5)</f>
        <v>#NAME?</v>
      </c>
      <c r="C919" s="23" t="e">
        <f ca="1">_xludf.BETA.INV(S919,'04_PSA_INPUTS'!H6,'04_PSA_INPUTS'!I6)</f>
        <v>#NAME?</v>
      </c>
      <c r="D919" s="27" t="e">
        <f ca="1">_xludf.GAMMA.INV(T919,'04_PSA_INPUTS'!H7,'04_PSA_INPUTS'!I7)</f>
        <v>#NAME?</v>
      </c>
      <c r="E919" s="27" t="e">
        <f ca="1">_xludf.GAMMA.INV(U919,'04_PSA_INPUTS'!H8,'04_PSA_INPUTS'!I8)</f>
        <v>#NAME?</v>
      </c>
      <c r="F919" s="27" t="e">
        <f ca="1">_xludf.GAMMA.INV(V919,'04_PSA_INPUTS'!H9,'04_PSA_INPUTS'!I9)</f>
        <v>#NAME?</v>
      </c>
      <c r="G919" s="23" t="e">
        <f ca="1">_xludf.BETA.INV(W919,'04_PSA_INPUTS'!H10,'04_PSA_INPUTS'!I10)</f>
        <v>#NAME?</v>
      </c>
      <c r="H919" s="23" t="e">
        <f ca="1">_xludf.BETA.INV(X919,'04_PSA_INPUTS'!H11,'04_PSA_INPUTS'!I11)</f>
        <v>#NAME?</v>
      </c>
      <c r="I919" s="27" t="e">
        <f ca="1">D919+B919*F919+'01_INPUTS'!B20</f>
        <v>#NAME?</v>
      </c>
      <c r="J919" s="27" t="e">
        <f ca="1">E919+C919*F919+'01_INPUTS'!B21</f>
        <v>#NAME?</v>
      </c>
      <c r="K919" s="27" t="e">
        <f t="shared" ca="1" si="84"/>
        <v>#NAME?</v>
      </c>
      <c r="L919" s="23" t="e">
        <f t="shared" ca="1" si="85"/>
        <v>#NAME?</v>
      </c>
      <c r="M919" s="23" t="e">
        <f t="shared" ca="1" si="86"/>
        <v>#NAME?</v>
      </c>
      <c r="N919" s="23" t="e">
        <f t="shared" ca="1" si="87"/>
        <v>#NAME?</v>
      </c>
      <c r="O919" s="27" t="e">
        <f t="shared" ca="1" si="88"/>
        <v>#NAME?</v>
      </c>
      <c r="P919" s="27" t="e">
        <f ca="1">'01_INPUTS'!B9*N919-K919</f>
        <v>#NAME?</v>
      </c>
      <c r="Q919" s="1" t="e">
        <f t="shared" ca="1" si="89"/>
        <v>#NAME?</v>
      </c>
      <c r="R919" s="28">
        <v>0.67858077585697174</v>
      </c>
      <c r="S919" s="28">
        <v>0.13411636231467128</v>
      </c>
      <c r="T919" s="28">
        <v>0.60056556528434157</v>
      </c>
      <c r="U919" s="28">
        <v>0.71243603667244315</v>
      </c>
      <c r="V919" s="28">
        <v>0.36871483409777284</v>
      </c>
      <c r="W919" s="28">
        <v>0.14202854968607426</v>
      </c>
      <c r="X919" s="28">
        <v>0.15149341803044081</v>
      </c>
    </row>
    <row r="920" spans="1:24" ht="13.9">
      <c r="A920" s="1">
        <v>919</v>
      </c>
      <c r="B920" s="23" t="e">
        <f ca="1">_xludf.BETA.INV(R920,'04_PSA_INPUTS'!H5,'04_PSA_INPUTS'!I5)</f>
        <v>#NAME?</v>
      </c>
      <c r="C920" s="23" t="e">
        <f ca="1">_xludf.BETA.INV(S920,'04_PSA_INPUTS'!H6,'04_PSA_INPUTS'!I6)</f>
        <v>#NAME?</v>
      </c>
      <c r="D920" s="27" t="e">
        <f ca="1">_xludf.GAMMA.INV(T920,'04_PSA_INPUTS'!H7,'04_PSA_INPUTS'!I7)</f>
        <v>#NAME?</v>
      </c>
      <c r="E920" s="27" t="e">
        <f ca="1">_xludf.GAMMA.INV(U920,'04_PSA_INPUTS'!H8,'04_PSA_INPUTS'!I8)</f>
        <v>#NAME?</v>
      </c>
      <c r="F920" s="27" t="e">
        <f ca="1">_xludf.GAMMA.INV(V920,'04_PSA_INPUTS'!H9,'04_PSA_INPUTS'!I9)</f>
        <v>#NAME?</v>
      </c>
      <c r="G920" s="23" t="e">
        <f ca="1">_xludf.BETA.INV(W920,'04_PSA_INPUTS'!H10,'04_PSA_INPUTS'!I10)</f>
        <v>#NAME?</v>
      </c>
      <c r="H920" s="23" t="e">
        <f ca="1">_xludf.BETA.INV(X920,'04_PSA_INPUTS'!H11,'04_PSA_INPUTS'!I11)</f>
        <v>#NAME?</v>
      </c>
      <c r="I920" s="27" t="e">
        <f ca="1">D920+B920*F920+'01_INPUTS'!B20</f>
        <v>#NAME?</v>
      </c>
      <c r="J920" s="27" t="e">
        <f ca="1">E920+C920*F920+'01_INPUTS'!B21</f>
        <v>#NAME?</v>
      </c>
      <c r="K920" s="27" t="e">
        <f t="shared" ca="1" si="84"/>
        <v>#NAME?</v>
      </c>
      <c r="L920" s="23" t="e">
        <f t="shared" ca="1" si="85"/>
        <v>#NAME?</v>
      </c>
      <c r="M920" s="23" t="e">
        <f t="shared" ca="1" si="86"/>
        <v>#NAME?</v>
      </c>
      <c r="N920" s="23" t="e">
        <f t="shared" ca="1" si="87"/>
        <v>#NAME?</v>
      </c>
      <c r="O920" s="27" t="e">
        <f t="shared" ca="1" si="88"/>
        <v>#NAME?</v>
      </c>
      <c r="P920" s="27" t="e">
        <f ca="1">'01_INPUTS'!B9*N920-K920</f>
        <v>#NAME?</v>
      </c>
      <c r="Q920" s="1" t="e">
        <f t="shared" ca="1" si="89"/>
        <v>#NAME?</v>
      </c>
      <c r="R920" s="28">
        <v>5.3536483785137534E-2</v>
      </c>
      <c r="S920" s="28">
        <v>0.94850998348556459</v>
      </c>
      <c r="T920" s="28">
        <v>7.8283772571012378E-2</v>
      </c>
      <c r="U920" s="28">
        <v>0.19459598744288087</v>
      </c>
      <c r="V920" s="28">
        <v>6.9402043474838138E-2</v>
      </c>
      <c r="W920" s="28">
        <v>0.14770522015169263</v>
      </c>
      <c r="X920" s="28">
        <v>0.34132364904507995</v>
      </c>
    </row>
    <row r="921" spans="1:24" ht="13.9">
      <c r="A921" s="1">
        <v>920</v>
      </c>
      <c r="B921" s="23" t="e">
        <f ca="1">_xludf.BETA.INV(R921,'04_PSA_INPUTS'!H5,'04_PSA_INPUTS'!I5)</f>
        <v>#NAME?</v>
      </c>
      <c r="C921" s="23" t="e">
        <f ca="1">_xludf.BETA.INV(S921,'04_PSA_INPUTS'!H6,'04_PSA_INPUTS'!I6)</f>
        <v>#NAME?</v>
      </c>
      <c r="D921" s="27" t="e">
        <f ca="1">_xludf.GAMMA.INV(T921,'04_PSA_INPUTS'!H7,'04_PSA_INPUTS'!I7)</f>
        <v>#NAME?</v>
      </c>
      <c r="E921" s="27" t="e">
        <f ca="1">_xludf.GAMMA.INV(U921,'04_PSA_INPUTS'!H8,'04_PSA_INPUTS'!I8)</f>
        <v>#NAME?</v>
      </c>
      <c r="F921" s="27" t="e">
        <f ca="1">_xludf.GAMMA.INV(V921,'04_PSA_INPUTS'!H9,'04_PSA_INPUTS'!I9)</f>
        <v>#NAME?</v>
      </c>
      <c r="G921" s="23" t="e">
        <f ca="1">_xludf.BETA.INV(W921,'04_PSA_INPUTS'!H10,'04_PSA_INPUTS'!I10)</f>
        <v>#NAME?</v>
      </c>
      <c r="H921" s="23" t="e">
        <f ca="1">_xludf.BETA.INV(X921,'04_PSA_INPUTS'!H11,'04_PSA_INPUTS'!I11)</f>
        <v>#NAME?</v>
      </c>
      <c r="I921" s="27" t="e">
        <f ca="1">D921+B921*F921+'01_INPUTS'!B20</f>
        <v>#NAME?</v>
      </c>
      <c r="J921" s="27" t="e">
        <f ca="1">E921+C921*F921+'01_INPUTS'!B21</f>
        <v>#NAME?</v>
      </c>
      <c r="K921" s="27" t="e">
        <f t="shared" ca="1" si="84"/>
        <v>#NAME?</v>
      </c>
      <c r="L921" s="23" t="e">
        <f t="shared" ca="1" si="85"/>
        <v>#NAME?</v>
      </c>
      <c r="M921" s="23" t="e">
        <f t="shared" ca="1" si="86"/>
        <v>#NAME?</v>
      </c>
      <c r="N921" s="23" t="e">
        <f t="shared" ca="1" si="87"/>
        <v>#NAME?</v>
      </c>
      <c r="O921" s="27" t="e">
        <f t="shared" ca="1" si="88"/>
        <v>#NAME?</v>
      </c>
      <c r="P921" s="27" t="e">
        <f ca="1">'01_INPUTS'!B9*N921-K921</f>
        <v>#NAME?</v>
      </c>
      <c r="Q921" s="1" t="e">
        <f t="shared" ca="1" si="89"/>
        <v>#NAME?</v>
      </c>
      <c r="R921" s="28">
        <v>0.47836705553345382</v>
      </c>
      <c r="S921" s="28">
        <v>0.5734283032361418</v>
      </c>
      <c r="T921" s="28">
        <v>0.49642052059061825</v>
      </c>
      <c r="U921" s="28">
        <v>0.70780381979420781</v>
      </c>
      <c r="V921" s="28">
        <v>0.57029591803438962</v>
      </c>
      <c r="W921" s="28">
        <v>0.43045233096927404</v>
      </c>
      <c r="X921" s="28">
        <v>0.61510837101377547</v>
      </c>
    </row>
    <row r="922" spans="1:24" ht="13.9">
      <c r="A922" s="1">
        <v>921</v>
      </c>
      <c r="B922" s="23" t="e">
        <f ca="1">_xludf.BETA.INV(R922,'04_PSA_INPUTS'!H5,'04_PSA_INPUTS'!I5)</f>
        <v>#NAME?</v>
      </c>
      <c r="C922" s="23" t="e">
        <f ca="1">_xludf.BETA.INV(S922,'04_PSA_INPUTS'!H6,'04_PSA_INPUTS'!I6)</f>
        <v>#NAME?</v>
      </c>
      <c r="D922" s="27" t="e">
        <f ca="1">_xludf.GAMMA.INV(T922,'04_PSA_INPUTS'!H7,'04_PSA_INPUTS'!I7)</f>
        <v>#NAME?</v>
      </c>
      <c r="E922" s="27" t="e">
        <f ca="1">_xludf.GAMMA.INV(U922,'04_PSA_INPUTS'!H8,'04_PSA_INPUTS'!I8)</f>
        <v>#NAME?</v>
      </c>
      <c r="F922" s="27" t="e">
        <f ca="1">_xludf.GAMMA.INV(V922,'04_PSA_INPUTS'!H9,'04_PSA_INPUTS'!I9)</f>
        <v>#NAME?</v>
      </c>
      <c r="G922" s="23" t="e">
        <f ca="1">_xludf.BETA.INV(W922,'04_PSA_INPUTS'!H10,'04_PSA_INPUTS'!I10)</f>
        <v>#NAME?</v>
      </c>
      <c r="H922" s="23" t="e">
        <f ca="1">_xludf.BETA.INV(X922,'04_PSA_INPUTS'!H11,'04_PSA_INPUTS'!I11)</f>
        <v>#NAME?</v>
      </c>
      <c r="I922" s="27" t="e">
        <f ca="1">D922+B922*F922+'01_INPUTS'!B20</f>
        <v>#NAME?</v>
      </c>
      <c r="J922" s="27" t="e">
        <f ca="1">E922+C922*F922+'01_INPUTS'!B21</f>
        <v>#NAME?</v>
      </c>
      <c r="K922" s="27" t="e">
        <f t="shared" ca="1" si="84"/>
        <v>#NAME?</v>
      </c>
      <c r="L922" s="23" t="e">
        <f t="shared" ca="1" si="85"/>
        <v>#NAME?</v>
      </c>
      <c r="M922" s="23" t="e">
        <f t="shared" ca="1" si="86"/>
        <v>#NAME?</v>
      </c>
      <c r="N922" s="23" t="e">
        <f t="shared" ca="1" si="87"/>
        <v>#NAME?</v>
      </c>
      <c r="O922" s="27" t="e">
        <f t="shared" ca="1" si="88"/>
        <v>#NAME?</v>
      </c>
      <c r="P922" s="27" t="e">
        <f ca="1">'01_INPUTS'!B9*N922-K922</f>
        <v>#NAME?</v>
      </c>
      <c r="Q922" s="1" t="e">
        <f t="shared" ca="1" si="89"/>
        <v>#NAME?</v>
      </c>
      <c r="R922" s="28">
        <v>0.55021468759514391</v>
      </c>
      <c r="S922" s="28">
        <v>0.5909768280107528</v>
      </c>
      <c r="T922" s="28">
        <v>0.19538173475302756</v>
      </c>
      <c r="U922" s="28">
        <v>0.74072998459450901</v>
      </c>
      <c r="V922" s="28">
        <v>0.85048116813413799</v>
      </c>
      <c r="W922" s="28">
        <v>0.38503298326395452</v>
      </c>
      <c r="X922" s="28">
        <v>0.45214657275937498</v>
      </c>
    </row>
    <row r="923" spans="1:24" ht="13.9">
      <c r="A923" s="1">
        <v>922</v>
      </c>
      <c r="B923" s="23" t="e">
        <f ca="1">_xludf.BETA.INV(R923,'04_PSA_INPUTS'!H5,'04_PSA_INPUTS'!I5)</f>
        <v>#NAME?</v>
      </c>
      <c r="C923" s="23" t="e">
        <f ca="1">_xludf.BETA.INV(S923,'04_PSA_INPUTS'!H6,'04_PSA_INPUTS'!I6)</f>
        <v>#NAME?</v>
      </c>
      <c r="D923" s="27" t="e">
        <f ca="1">_xludf.GAMMA.INV(T923,'04_PSA_INPUTS'!H7,'04_PSA_INPUTS'!I7)</f>
        <v>#NAME?</v>
      </c>
      <c r="E923" s="27" t="e">
        <f ca="1">_xludf.GAMMA.INV(U923,'04_PSA_INPUTS'!H8,'04_PSA_INPUTS'!I8)</f>
        <v>#NAME?</v>
      </c>
      <c r="F923" s="27" t="e">
        <f ca="1">_xludf.GAMMA.INV(V923,'04_PSA_INPUTS'!H9,'04_PSA_INPUTS'!I9)</f>
        <v>#NAME?</v>
      </c>
      <c r="G923" s="23" t="e">
        <f ca="1">_xludf.BETA.INV(W923,'04_PSA_INPUTS'!H10,'04_PSA_INPUTS'!I10)</f>
        <v>#NAME?</v>
      </c>
      <c r="H923" s="23" t="e">
        <f ca="1">_xludf.BETA.INV(X923,'04_PSA_INPUTS'!H11,'04_PSA_INPUTS'!I11)</f>
        <v>#NAME?</v>
      </c>
      <c r="I923" s="27" t="e">
        <f ca="1">D923+B923*F923+'01_INPUTS'!B20</f>
        <v>#NAME?</v>
      </c>
      <c r="J923" s="27" t="e">
        <f ca="1">E923+C923*F923+'01_INPUTS'!B21</f>
        <v>#NAME?</v>
      </c>
      <c r="K923" s="27" t="e">
        <f t="shared" ca="1" si="84"/>
        <v>#NAME?</v>
      </c>
      <c r="L923" s="23" t="e">
        <f t="shared" ca="1" si="85"/>
        <v>#NAME?</v>
      </c>
      <c r="M923" s="23" t="e">
        <f t="shared" ca="1" si="86"/>
        <v>#NAME?</v>
      </c>
      <c r="N923" s="23" t="e">
        <f t="shared" ca="1" si="87"/>
        <v>#NAME?</v>
      </c>
      <c r="O923" s="27" t="e">
        <f t="shared" ca="1" si="88"/>
        <v>#NAME?</v>
      </c>
      <c r="P923" s="27" t="e">
        <f ca="1">'01_INPUTS'!B9*N923-K923</f>
        <v>#NAME?</v>
      </c>
      <c r="Q923" s="1" t="e">
        <f t="shared" ca="1" si="89"/>
        <v>#NAME?</v>
      </c>
      <c r="R923" s="28">
        <v>4.7732545528560877E-2</v>
      </c>
      <c r="S923" s="28">
        <v>0.23691118322312832</v>
      </c>
      <c r="T923" s="28">
        <v>0.27914751204662025</v>
      </c>
      <c r="U923" s="28">
        <v>0.53756944509223104</v>
      </c>
      <c r="V923" s="28">
        <v>3.9395546540617943E-2</v>
      </c>
      <c r="W923" s="28">
        <v>0.45124477986246347</v>
      </c>
      <c r="X923" s="28">
        <v>0.36084607313387096</v>
      </c>
    </row>
    <row r="924" spans="1:24" ht="13.9">
      <c r="A924" s="1">
        <v>923</v>
      </c>
      <c r="B924" s="23" t="e">
        <f ca="1">_xludf.BETA.INV(R924,'04_PSA_INPUTS'!H5,'04_PSA_INPUTS'!I5)</f>
        <v>#NAME?</v>
      </c>
      <c r="C924" s="23" t="e">
        <f ca="1">_xludf.BETA.INV(S924,'04_PSA_INPUTS'!H6,'04_PSA_INPUTS'!I6)</f>
        <v>#NAME?</v>
      </c>
      <c r="D924" s="27" t="e">
        <f ca="1">_xludf.GAMMA.INV(T924,'04_PSA_INPUTS'!H7,'04_PSA_INPUTS'!I7)</f>
        <v>#NAME?</v>
      </c>
      <c r="E924" s="27" t="e">
        <f ca="1">_xludf.GAMMA.INV(U924,'04_PSA_INPUTS'!H8,'04_PSA_INPUTS'!I8)</f>
        <v>#NAME?</v>
      </c>
      <c r="F924" s="27" t="e">
        <f ca="1">_xludf.GAMMA.INV(V924,'04_PSA_INPUTS'!H9,'04_PSA_INPUTS'!I9)</f>
        <v>#NAME?</v>
      </c>
      <c r="G924" s="23" t="e">
        <f ca="1">_xludf.BETA.INV(W924,'04_PSA_INPUTS'!H10,'04_PSA_INPUTS'!I10)</f>
        <v>#NAME?</v>
      </c>
      <c r="H924" s="23" t="e">
        <f ca="1">_xludf.BETA.INV(X924,'04_PSA_INPUTS'!H11,'04_PSA_INPUTS'!I11)</f>
        <v>#NAME?</v>
      </c>
      <c r="I924" s="27" t="e">
        <f ca="1">D924+B924*F924+'01_INPUTS'!B20</f>
        <v>#NAME?</v>
      </c>
      <c r="J924" s="27" t="e">
        <f ca="1">E924+C924*F924+'01_INPUTS'!B21</f>
        <v>#NAME?</v>
      </c>
      <c r="K924" s="27" t="e">
        <f t="shared" ca="1" si="84"/>
        <v>#NAME?</v>
      </c>
      <c r="L924" s="23" t="e">
        <f t="shared" ca="1" si="85"/>
        <v>#NAME?</v>
      </c>
      <c r="M924" s="23" t="e">
        <f t="shared" ca="1" si="86"/>
        <v>#NAME?</v>
      </c>
      <c r="N924" s="23" t="e">
        <f t="shared" ca="1" si="87"/>
        <v>#NAME?</v>
      </c>
      <c r="O924" s="27" t="e">
        <f t="shared" ca="1" si="88"/>
        <v>#NAME?</v>
      </c>
      <c r="P924" s="27" t="e">
        <f ca="1">'01_INPUTS'!B9*N924-K924</f>
        <v>#NAME?</v>
      </c>
      <c r="Q924" s="1" t="e">
        <f t="shared" ca="1" si="89"/>
        <v>#NAME?</v>
      </c>
      <c r="R924" s="28">
        <v>0.82250703778117895</v>
      </c>
      <c r="S924" s="28">
        <v>0.98765042633749545</v>
      </c>
      <c r="T924" s="28">
        <v>0.95029517984949052</v>
      </c>
      <c r="U924" s="28">
        <v>0.41989794513210654</v>
      </c>
      <c r="V924" s="28">
        <v>0.25699428538791835</v>
      </c>
      <c r="W924" s="28">
        <v>0.27061779843643308</v>
      </c>
      <c r="X924" s="28">
        <v>0.26940973591990769</v>
      </c>
    </row>
    <row r="925" spans="1:24" ht="13.9">
      <c r="A925" s="1">
        <v>924</v>
      </c>
      <c r="B925" s="23" t="e">
        <f ca="1">_xludf.BETA.INV(R925,'04_PSA_INPUTS'!H5,'04_PSA_INPUTS'!I5)</f>
        <v>#NAME?</v>
      </c>
      <c r="C925" s="23" t="e">
        <f ca="1">_xludf.BETA.INV(S925,'04_PSA_INPUTS'!H6,'04_PSA_INPUTS'!I6)</f>
        <v>#NAME?</v>
      </c>
      <c r="D925" s="27" t="e">
        <f ca="1">_xludf.GAMMA.INV(T925,'04_PSA_INPUTS'!H7,'04_PSA_INPUTS'!I7)</f>
        <v>#NAME?</v>
      </c>
      <c r="E925" s="27" t="e">
        <f ca="1">_xludf.GAMMA.INV(U925,'04_PSA_INPUTS'!H8,'04_PSA_INPUTS'!I8)</f>
        <v>#NAME?</v>
      </c>
      <c r="F925" s="27" t="e">
        <f ca="1">_xludf.GAMMA.INV(V925,'04_PSA_INPUTS'!H9,'04_PSA_INPUTS'!I9)</f>
        <v>#NAME?</v>
      </c>
      <c r="G925" s="23" t="e">
        <f ca="1">_xludf.BETA.INV(W925,'04_PSA_INPUTS'!H10,'04_PSA_INPUTS'!I10)</f>
        <v>#NAME?</v>
      </c>
      <c r="H925" s="23" t="e">
        <f ca="1">_xludf.BETA.INV(X925,'04_PSA_INPUTS'!H11,'04_PSA_INPUTS'!I11)</f>
        <v>#NAME?</v>
      </c>
      <c r="I925" s="27" t="e">
        <f ca="1">D925+B925*F925+'01_INPUTS'!B20</f>
        <v>#NAME?</v>
      </c>
      <c r="J925" s="27" t="e">
        <f ca="1">E925+C925*F925+'01_INPUTS'!B21</f>
        <v>#NAME?</v>
      </c>
      <c r="K925" s="27" t="e">
        <f t="shared" ca="1" si="84"/>
        <v>#NAME?</v>
      </c>
      <c r="L925" s="23" t="e">
        <f t="shared" ca="1" si="85"/>
        <v>#NAME?</v>
      </c>
      <c r="M925" s="23" t="e">
        <f t="shared" ca="1" si="86"/>
        <v>#NAME?</v>
      </c>
      <c r="N925" s="23" t="e">
        <f t="shared" ca="1" si="87"/>
        <v>#NAME?</v>
      </c>
      <c r="O925" s="27" t="e">
        <f t="shared" ca="1" si="88"/>
        <v>#NAME?</v>
      </c>
      <c r="P925" s="27" t="e">
        <f ca="1">'01_INPUTS'!B9*N925-K925</f>
        <v>#NAME?</v>
      </c>
      <c r="Q925" s="1" t="e">
        <f t="shared" ca="1" si="89"/>
        <v>#NAME?</v>
      </c>
      <c r="R925" s="28">
        <v>0.73998630605638027</v>
      </c>
      <c r="S925" s="28">
        <v>0.53003800287842751</v>
      </c>
      <c r="T925" s="28">
        <v>6.5712097566574812E-2</v>
      </c>
      <c r="U925" s="28">
        <v>0.6966678227763623</v>
      </c>
      <c r="V925" s="28">
        <v>0.89980686758644879</v>
      </c>
      <c r="W925" s="28">
        <v>0.29357631062157452</v>
      </c>
      <c r="X925" s="28">
        <v>0.39494061144068837</v>
      </c>
    </row>
    <row r="926" spans="1:24" ht="13.9">
      <c r="A926" s="1">
        <v>925</v>
      </c>
      <c r="B926" s="23" t="e">
        <f ca="1">_xludf.BETA.INV(R926,'04_PSA_INPUTS'!H5,'04_PSA_INPUTS'!I5)</f>
        <v>#NAME?</v>
      </c>
      <c r="C926" s="23" t="e">
        <f ca="1">_xludf.BETA.INV(S926,'04_PSA_INPUTS'!H6,'04_PSA_INPUTS'!I6)</f>
        <v>#NAME?</v>
      </c>
      <c r="D926" s="27" t="e">
        <f ca="1">_xludf.GAMMA.INV(T926,'04_PSA_INPUTS'!H7,'04_PSA_INPUTS'!I7)</f>
        <v>#NAME?</v>
      </c>
      <c r="E926" s="27" t="e">
        <f ca="1">_xludf.GAMMA.INV(U926,'04_PSA_INPUTS'!H8,'04_PSA_INPUTS'!I8)</f>
        <v>#NAME?</v>
      </c>
      <c r="F926" s="27" t="e">
        <f ca="1">_xludf.GAMMA.INV(V926,'04_PSA_INPUTS'!H9,'04_PSA_INPUTS'!I9)</f>
        <v>#NAME?</v>
      </c>
      <c r="G926" s="23" t="e">
        <f ca="1">_xludf.BETA.INV(W926,'04_PSA_INPUTS'!H10,'04_PSA_INPUTS'!I10)</f>
        <v>#NAME?</v>
      </c>
      <c r="H926" s="23" t="e">
        <f ca="1">_xludf.BETA.INV(X926,'04_PSA_INPUTS'!H11,'04_PSA_INPUTS'!I11)</f>
        <v>#NAME?</v>
      </c>
      <c r="I926" s="27" t="e">
        <f ca="1">D926+B926*F926+'01_INPUTS'!B20</f>
        <v>#NAME?</v>
      </c>
      <c r="J926" s="27" t="e">
        <f ca="1">E926+C926*F926+'01_INPUTS'!B21</f>
        <v>#NAME?</v>
      </c>
      <c r="K926" s="27" t="e">
        <f t="shared" ca="1" si="84"/>
        <v>#NAME?</v>
      </c>
      <c r="L926" s="23" t="e">
        <f t="shared" ca="1" si="85"/>
        <v>#NAME?</v>
      </c>
      <c r="M926" s="23" t="e">
        <f t="shared" ca="1" si="86"/>
        <v>#NAME?</v>
      </c>
      <c r="N926" s="23" t="e">
        <f t="shared" ca="1" si="87"/>
        <v>#NAME?</v>
      </c>
      <c r="O926" s="27" t="e">
        <f t="shared" ca="1" si="88"/>
        <v>#NAME?</v>
      </c>
      <c r="P926" s="27" t="e">
        <f ca="1">'01_INPUTS'!B9*N926-K926</f>
        <v>#NAME?</v>
      </c>
      <c r="Q926" s="1" t="e">
        <f t="shared" ca="1" si="89"/>
        <v>#NAME?</v>
      </c>
      <c r="R926" s="28">
        <v>0.71118367766030133</v>
      </c>
      <c r="S926" s="28">
        <v>0.67017892259173095</v>
      </c>
      <c r="T926" s="28">
        <v>0.38824712974019349</v>
      </c>
      <c r="U926" s="28">
        <v>0.18263708474114537</v>
      </c>
      <c r="V926" s="28">
        <v>0.7848644822370261</v>
      </c>
      <c r="W926" s="28">
        <v>0.7105461738537997</v>
      </c>
      <c r="X926" s="28">
        <v>0.97254745592363179</v>
      </c>
    </row>
    <row r="927" spans="1:24" ht="13.9">
      <c r="A927" s="1">
        <v>926</v>
      </c>
      <c r="B927" s="23" t="e">
        <f ca="1">_xludf.BETA.INV(R927,'04_PSA_INPUTS'!H5,'04_PSA_INPUTS'!I5)</f>
        <v>#NAME?</v>
      </c>
      <c r="C927" s="23" t="e">
        <f ca="1">_xludf.BETA.INV(S927,'04_PSA_INPUTS'!H6,'04_PSA_INPUTS'!I6)</f>
        <v>#NAME?</v>
      </c>
      <c r="D927" s="27" t="e">
        <f ca="1">_xludf.GAMMA.INV(T927,'04_PSA_INPUTS'!H7,'04_PSA_INPUTS'!I7)</f>
        <v>#NAME?</v>
      </c>
      <c r="E927" s="27" t="e">
        <f ca="1">_xludf.GAMMA.INV(U927,'04_PSA_INPUTS'!H8,'04_PSA_INPUTS'!I8)</f>
        <v>#NAME?</v>
      </c>
      <c r="F927" s="27" t="e">
        <f ca="1">_xludf.GAMMA.INV(V927,'04_PSA_INPUTS'!H9,'04_PSA_INPUTS'!I9)</f>
        <v>#NAME?</v>
      </c>
      <c r="G927" s="23" t="e">
        <f ca="1">_xludf.BETA.INV(W927,'04_PSA_INPUTS'!H10,'04_PSA_INPUTS'!I10)</f>
        <v>#NAME?</v>
      </c>
      <c r="H927" s="23" t="e">
        <f ca="1">_xludf.BETA.INV(X927,'04_PSA_INPUTS'!H11,'04_PSA_INPUTS'!I11)</f>
        <v>#NAME?</v>
      </c>
      <c r="I927" s="27" t="e">
        <f ca="1">D927+B927*F927+'01_INPUTS'!B20</f>
        <v>#NAME?</v>
      </c>
      <c r="J927" s="27" t="e">
        <f ca="1">E927+C927*F927+'01_INPUTS'!B21</f>
        <v>#NAME?</v>
      </c>
      <c r="K927" s="27" t="e">
        <f t="shared" ca="1" si="84"/>
        <v>#NAME?</v>
      </c>
      <c r="L927" s="23" t="e">
        <f t="shared" ca="1" si="85"/>
        <v>#NAME?</v>
      </c>
      <c r="M927" s="23" t="e">
        <f t="shared" ca="1" si="86"/>
        <v>#NAME?</v>
      </c>
      <c r="N927" s="23" t="e">
        <f t="shared" ca="1" si="87"/>
        <v>#NAME?</v>
      </c>
      <c r="O927" s="27" t="e">
        <f t="shared" ca="1" si="88"/>
        <v>#NAME?</v>
      </c>
      <c r="P927" s="27" t="e">
        <f ca="1">'01_INPUTS'!B9*N927-K927</f>
        <v>#NAME?</v>
      </c>
      <c r="Q927" s="1" t="e">
        <f t="shared" ca="1" si="89"/>
        <v>#NAME?</v>
      </c>
      <c r="R927" s="28">
        <v>0.22460284573026001</v>
      </c>
      <c r="S927" s="28">
        <v>0.76116360398009419</v>
      </c>
      <c r="T927" s="28">
        <v>9.8666112404316664E-2</v>
      </c>
      <c r="U927" s="28">
        <v>0.78141006408259273</v>
      </c>
      <c r="V927" s="28">
        <v>0.11111303092911839</v>
      </c>
      <c r="W927" s="28">
        <v>1.3369282707571983E-2</v>
      </c>
      <c r="X927" s="28">
        <v>0.5832156715914607</v>
      </c>
    </row>
    <row r="928" spans="1:24" ht="13.9">
      <c r="A928" s="1">
        <v>927</v>
      </c>
      <c r="B928" s="23" t="e">
        <f ca="1">_xludf.BETA.INV(R928,'04_PSA_INPUTS'!H5,'04_PSA_INPUTS'!I5)</f>
        <v>#NAME?</v>
      </c>
      <c r="C928" s="23" t="e">
        <f ca="1">_xludf.BETA.INV(S928,'04_PSA_INPUTS'!H6,'04_PSA_INPUTS'!I6)</f>
        <v>#NAME?</v>
      </c>
      <c r="D928" s="27" t="e">
        <f ca="1">_xludf.GAMMA.INV(T928,'04_PSA_INPUTS'!H7,'04_PSA_INPUTS'!I7)</f>
        <v>#NAME?</v>
      </c>
      <c r="E928" s="27" t="e">
        <f ca="1">_xludf.GAMMA.INV(U928,'04_PSA_INPUTS'!H8,'04_PSA_INPUTS'!I8)</f>
        <v>#NAME?</v>
      </c>
      <c r="F928" s="27" t="e">
        <f ca="1">_xludf.GAMMA.INV(V928,'04_PSA_INPUTS'!H9,'04_PSA_INPUTS'!I9)</f>
        <v>#NAME?</v>
      </c>
      <c r="G928" s="23" t="e">
        <f ca="1">_xludf.BETA.INV(W928,'04_PSA_INPUTS'!H10,'04_PSA_INPUTS'!I10)</f>
        <v>#NAME?</v>
      </c>
      <c r="H928" s="23" t="e">
        <f ca="1">_xludf.BETA.INV(X928,'04_PSA_INPUTS'!H11,'04_PSA_INPUTS'!I11)</f>
        <v>#NAME?</v>
      </c>
      <c r="I928" s="27" t="e">
        <f ca="1">D928+B928*F928+'01_INPUTS'!B20</f>
        <v>#NAME?</v>
      </c>
      <c r="J928" s="27" t="e">
        <f ca="1">E928+C928*F928+'01_INPUTS'!B21</f>
        <v>#NAME?</v>
      </c>
      <c r="K928" s="27" t="e">
        <f t="shared" ca="1" si="84"/>
        <v>#NAME?</v>
      </c>
      <c r="L928" s="23" t="e">
        <f t="shared" ca="1" si="85"/>
        <v>#NAME?</v>
      </c>
      <c r="M928" s="23" t="e">
        <f t="shared" ca="1" si="86"/>
        <v>#NAME?</v>
      </c>
      <c r="N928" s="23" t="e">
        <f t="shared" ca="1" si="87"/>
        <v>#NAME?</v>
      </c>
      <c r="O928" s="27" t="e">
        <f t="shared" ca="1" si="88"/>
        <v>#NAME?</v>
      </c>
      <c r="P928" s="27" t="e">
        <f ca="1">'01_INPUTS'!B9*N928-K928</f>
        <v>#NAME?</v>
      </c>
      <c r="Q928" s="1" t="e">
        <f t="shared" ca="1" si="89"/>
        <v>#NAME?</v>
      </c>
      <c r="R928" s="28">
        <v>0.15716511709615588</v>
      </c>
      <c r="S928" s="28">
        <v>0.15176463057287037</v>
      </c>
      <c r="T928" s="28">
        <v>0.56919762771576643</v>
      </c>
      <c r="U928" s="28">
        <v>0.68969126953743398</v>
      </c>
      <c r="V928" s="28">
        <v>0.27930216235108674</v>
      </c>
      <c r="W928" s="28">
        <v>0.67317107133567333</v>
      </c>
      <c r="X928" s="28">
        <v>0.42417440679855645</v>
      </c>
    </row>
    <row r="929" spans="1:24" ht="13.9">
      <c r="A929" s="1">
        <v>928</v>
      </c>
      <c r="B929" s="23" t="e">
        <f ca="1">_xludf.BETA.INV(R929,'04_PSA_INPUTS'!H5,'04_PSA_INPUTS'!I5)</f>
        <v>#NAME?</v>
      </c>
      <c r="C929" s="23" t="e">
        <f ca="1">_xludf.BETA.INV(S929,'04_PSA_INPUTS'!H6,'04_PSA_INPUTS'!I6)</f>
        <v>#NAME?</v>
      </c>
      <c r="D929" s="27" t="e">
        <f ca="1">_xludf.GAMMA.INV(T929,'04_PSA_INPUTS'!H7,'04_PSA_INPUTS'!I7)</f>
        <v>#NAME?</v>
      </c>
      <c r="E929" s="27" t="e">
        <f ca="1">_xludf.GAMMA.INV(U929,'04_PSA_INPUTS'!H8,'04_PSA_INPUTS'!I8)</f>
        <v>#NAME?</v>
      </c>
      <c r="F929" s="27" t="e">
        <f ca="1">_xludf.GAMMA.INV(V929,'04_PSA_INPUTS'!H9,'04_PSA_INPUTS'!I9)</f>
        <v>#NAME?</v>
      </c>
      <c r="G929" s="23" t="e">
        <f ca="1">_xludf.BETA.INV(W929,'04_PSA_INPUTS'!H10,'04_PSA_INPUTS'!I10)</f>
        <v>#NAME?</v>
      </c>
      <c r="H929" s="23" t="e">
        <f ca="1">_xludf.BETA.INV(X929,'04_PSA_INPUTS'!H11,'04_PSA_INPUTS'!I11)</f>
        <v>#NAME?</v>
      </c>
      <c r="I929" s="27" t="e">
        <f ca="1">D929+B929*F929+'01_INPUTS'!B20</f>
        <v>#NAME?</v>
      </c>
      <c r="J929" s="27" t="e">
        <f ca="1">E929+C929*F929+'01_INPUTS'!B21</f>
        <v>#NAME?</v>
      </c>
      <c r="K929" s="27" t="e">
        <f t="shared" ca="1" si="84"/>
        <v>#NAME?</v>
      </c>
      <c r="L929" s="23" t="e">
        <f t="shared" ca="1" si="85"/>
        <v>#NAME?</v>
      </c>
      <c r="M929" s="23" t="e">
        <f t="shared" ca="1" si="86"/>
        <v>#NAME?</v>
      </c>
      <c r="N929" s="23" t="e">
        <f t="shared" ca="1" si="87"/>
        <v>#NAME?</v>
      </c>
      <c r="O929" s="27" t="e">
        <f t="shared" ca="1" si="88"/>
        <v>#NAME?</v>
      </c>
      <c r="P929" s="27" t="e">
        <f ca="1">'01_INPUTS'!B9*N929-K929</f>
        <v>#NAME?</v>
      </c>
      <c r="Q929" s="1" t="e">
        <f t="shared" ca="1" si="89"/>
        <v>#NAME?</v>
      </c>
      <c r="R929" s="28">
        <v>0.56051392410881817</v>
      </c>
      <c r="S929" s="28">
        <v>0.84871157212182879</v>
      </c>
      <c r="T929" s="28">
        <v>0.43054230301640928</v>
      </c>
      <c r="U929" s="28">
        <v>0.83868265221826732</v>
      </c>
      <c r="V929" s="28">
        <v>0.68785842717625201</v>
      </c>
      <c r="W929" s="28">
        <v>0.68172506336122751</v>
      </c>
      <c r="X929" s="28">
        <v>0.66657736524939537</v>
      </c>
    </row>
    <row r="930" spans="1:24" ht="13.9">
      <c r="A930" s="1">
        <v>929</v>
      </c>
      <c r="B930" s="23" t="e">
        <f ca="1">_xludf.BETA.INV(R930,'04_PSA_INPUTS'!H5,'04_PSA_INPUTS'!I5)</f>
        <v>#NAME?</v>
      </c>
      <c r="C930" s="23" t="e">
        <f ca="1">_xludf.BETA.INV(S930,'04_PSA_INPUTS'!H6,'04_PSA_INPUTS'!I6)</f>
        <v>#NAME?</v>
      </c>
      <c r="D930" s="27" t="e">
        <f ca="1">_xludf.GAMMA.INV(T930,'04_PSA_INPUTS'!H7,'04_PSA_INPUTS'!I7)</f>
        <v>#NAME?</v>
      </c>
      <c r="E930" s="27" t="e">
        <f ca="1">_xludf.GAMMA.INV(U930,'04_PSA_INPUTS'!H8,'04_PSA_INPUTS'!I8)</f>
        <v>#NAME?</v>
      </c>
      <c r="F930" s="27" t="e">
        <f ca="1">_xludf.GAMMA.INV(V930,'04_PSA_INPUTS'!H9,'04_PSA_INPUTS'!I9)</f>
        <v>#NAME?</v>
      </c>
      <c r="G930" s="23" t="e">
        <f ca="1">_xludf.BETA.INV(W930,'04_PSA_INPUTS'!H10,'04_PSA_INPUTS'!I10)</f>
        <v>#NAME?</v>
      </c>
      <c r="H930" s="23" t="e">
        <f ca="1">_xludf.BETA.INV(X930,'04_PSA_INPUTS'!H11,'04_PSA_INPUTS'!I11)</f>
        <v>#NAME?</v>
      </c>
      <c r="I930" s="27" t="e">
        <f ca="1">D930+B930*F930+'01_INPUTS'!B20</f>
        <v>#NAME?</v>
      </c>
      <c r="J930" s="27" t="e">
        <f ca="1">E930+C930*F930+'01_INPUTS'!B21</f>
        <v>#NAME?</v>
      </c>
      <c r="K930" s="27" t="e">
        <f t="shared" ca="1" si="84"/>
        <v>#NAME?</v>
      </c>
      <c r="L930" s="23" t="e">
        <f t="shared" ca="1" si="85"/>
        <v>#NAME?</v>
      </c>
      <c r="M930" s="23" t="e">
        <f t="shared" ca="1" si="86"/>
        <v>#NAME?</v>
      </c>
      <c r="N930" s="23" t="e">
        <f t="shared" ca="1" si="87"/>
        <v>#NAME?</v>
      </c>
      <c r="O930" s="27" t="e">
        <f t="shared" ca="1" si="88"/>
        <v>#NAME?</v>
      </c>
      <c r="P930" s="27" t="e">
        <f ca="1">'01_INPUTS'!B9*N930-K930</f>
        <v>#NAME?</v>
      </c>
      <c r="Q930" s="1" t="e">
        <f t="shared" ca="1" si="89"/>
        <v>#NAME?</v>
      </c>
      <c r="R930" s="28">
        <v>0.12032640352845192</v>
      </c>
      <c r="S930" s="28">
        <v>3.49218116607517E-2</v>
      </c>
      <c r="T930" s="28">
        <v>0.82253200281411409</v>
      </c>
      <c r="U930" s="28">
        <v>0.28868586150929332</v>
      </c>
      <c r="V930" s="28">
        <v>0.57128046196885407</v>
      </c>
      <c r="W930" s="28">
        <v>0.43967311852611601</v>
      </c>
      <c r="X930" s="28">
        <v>0.83276402880437672</v>
      </c>
    </row>
    <row r="931" spans="1:24" ht="13.9">
      <c r="A931" s="1">
        <v>930</v>
      </c>
      <c r="B931" s="23" t="e">
        <f ca="1">_xludf.BETA.INV(R931,'04_PSA_INPUTS'!H5,'04_PSA_INPUTS'!I5)</f>
        <v>#NAME?</v>
      </c>
      <c r="C931" s="23" t="e">
        <f ca="1">_xludf.BETA.INV(S931,'04_PSA_INPUTS'!H6,'04_PSA_INPUTS'!I6)</f>
        <v>#NAME?</v>
      </c>
      <c r="D931" s="27" t="e">
        <f ca="1">_xludf.GAMMA.INV(T931,'04_PSA_INPUTS'!H7,'04_PSA_INPUTS'!I7)</f>
        <v>#NAME?</v>
      </c>
      <c r="E931" s="27" t="e">
        <f ca="1">_xludf.GAMMA.INV(U931,'04_PSA_INPUTS'!H8,'04_PSA_INPUTS'!I8)</f>
        <v>#NAME?</v>
      </c>
      <c r="F931" s="27" t="e">
        <f ca="1">_xludf.GAMMA.INV(V931,'04_PSA_INPUTS'!H9,'04_PSA_INPUTS'!I9)</f>
        <v>#NAME?</v>
      </c>
      <c r="G931" s="23" t="e">
        <f ca="1">_xludf.BETA.INV(W931,'04_PSA_INPUTS'!H10,'04_PSA_INPUTS'!I10)</f>
        <v>#NAME?</v>
      </c>
      <c r="H931" s="23" t="e">
        <f ca="1">_xludf.BETA.INV(X931,'04_PSA_INPUTS'!H11,'04_PSA_INPUTS'!I11)</f>
        <v>#NAME?</v>
      </c>
      <c r="I931" s="27" t="e">
        <f ca="1">D931+B931*F931+'01_INPUTS'!B20</f>
        <v>#NAME?</v>
      </c>
      <c r="J931" s="27" t="e">
        <f ca="1">E931+C931*F931+'01_INPUTS'!B21</f>
        <v>#NAME?</v>
      </c>
      <c r="K931" s="27" t="e">
        <f t="shared" ca="1" si="84"/>
        <v>#NAME?</v>
      </c>
      <c r="L931" s="23" t="e">
        <f t="shared" ca="1" si="85"/>
        <v>#NAME?</v>
      </c>
      <c r="M931" s="23" t="e">
        <f t="shared" ca="1" si="86"/>
        <v>#NAME?</v>
      </c>
      <c r="N931" s="23" t="e">
        <f t="shared" ca="1" si="87"/>
        <v>#NAME?</v>
      </c>
      <c r="O931" s="27" t="e">
        <f t="shared" ca="1" si="88"/>
        <v>#NAME?</v>
      </c>
      <c r="P931" s="27" t="e">
        <f ca="1">'01_INPUTS'!B9*N931-K931</f>
        <v>#NAME?</v>
      </c>
      <c r="Q931" s="1" t="e">
        <f t="shared" ca="1" si="89"/>
        <v>#NAME?</v>
      </c>
      <c r="R931" s="28">
        <v>8.7548380019143224E-2</v>
      </c>
      <c r="S931" s="28">
        <v>0.83918892196379602</v>
      </c>
      <c r="T931" s="28">
        <v>0.67447188124060631</v>
      </c>
      <c r="U931" s="28">
        <v>2.3069837363436818E-2</v>
      </c>
      <c r="V931" s="28">
        <v>0.7189938013907522</v>
      </c>
      <c r="W931" s="28">
        <v>0.79537891247309744</v>
      </c>
      <c r="X931" s="28">
        <v>0.92941162176430225</v>
      </c>
    </row>
    <row r="932" spans="1:24" ht="13.9">
      <c r="A932" s="1">
        <v>931</v>
      </c>
      <c r="B932" s="23" t="e">
        <f ca="1">_xludf.BETA.INV(R932,'04_PSA_INPUTS'!H5,'04_PSA_INPUTS'!I5)</f>
        <v>#NAME?</v>
      </c>
      <c r="C932" s="23" t="e">
        <f ca="1">_xludf.BETA.INV(S932,'04_PSA_INPUTS'!H6,'04_PSA_INPUTS'!I6)</f>
        <v>#NAME?</v>
      </c>
      <c r="D932" s="27" t="e">
        <f ca="1">_xludf.GAMMA.INV(T932,'04_PSA_INPUTS'!H7,'04_PSA_INPUTS'!I7)</f>
        <v>#NAME?</v>
      </c>
      <c r="E932" s="27" t="e">
        <f ca="1">_xludf.GAMMA.INV(U932,'04_PSA_INPUTS'!H8,'04_PSA_INPUTS'!I8)</f>
        <v>#NAME?</v>
      </c>
      <c r="F932" s="27" t="e">
        <f ca="1">_xludf.GAMMA.INV(V932,'04_PSA_INPUTS'!H9,'04_PSA_INPUTS'!I9)</f>
        <v>#NAME?</v>
      </c>
      <c r="G932" s="23" t="e">
        <f ca="1">_xludf.BETA.INV(W932,'04_PSA_INPUTS'!H10,'04_PSA_INPUTS'!I10)</f>
        <v>#NAME?</v>
      </c>
      <c r="H932" s="23" t="e">
        <f ca="1">_xludf.BETA.INV(X932,'04_PSA_INPUTS'!H11,'04_PSA_INPUTS'!I11)</f>
        <v>#NAME?</v>
      </c>
      <c r="I932" s="27" t="e">
        <f ca="1">D932+B932*F932+'01_INPUTS'!B20</f>
        <v>#NAME?</v>
      </c>
      <c r="J932" s="27" t="e">
        <f ca="1">E932+C932*F932+'01_INPUTS'!B21</f>
        <v>#NAME?</v>
      </c>
      <c r="K932" s="27" t="e">
        <f t="shared" ca="1" si="84"/>
        <v>#NAME?</v>
      </c>
      <c r="L932" s="23" t="e">
        <f t="shared" ca="1" si="85"/>
        <v>#NAME?</v>
      </c>
      <c r="M932" s="23" t="e">
        <f t="shared" ca="1" si="86"/>
        <v>#NAME?</v>
      </c>
      <c r="N932" s="23" t="e">
        <f t="shared" ca="1" si="87"/>
        <v>#NAME?</v>
      </c>
      <c r="O932" s="27" t="e">
        <f t="shared" ca="1" si="88"/>
        <v>#NAME?</v>
      </c>
      <c r="P932" s="27" t="e">
        <f ca="1">'01_INPUTS'!B9*N932-K932</f>
        <v>#NAME?</v>
      </c>
      <c r="Q932" s="1" t="e">
        <f t="shared" ca="1" si="89"/>
        <v>#NAME?</v>
      </c>
      <c r="R932" s="28">
        <v>9.245702694170177E-2</v>
      </c>
      <c r="S932" s="28">
        <v>0.99928414588794112</v>
      </c>
      <c r="T932" s="28">
        <v>0.51509310258552432</v>
      </c>
      <c r="U932" s="28">
        <v>0.34190550749190152</v>
      </c>
      <c r="V932" s="28">
        <v>0.27540861163288355</v>
      </c>
      <c r="W932" s="28">
        <v>0.30902465153485537</v>
      </c>
      <c r="X932" s="28">
        <v>0.90909827826544642</v>
      </c>
    </row>
    <row r="933" spans="1:24" ht="13.9">
      <c r="A933" s="1">
        <v>932</v>
      </c>
      <c r="B933" s="23" t="e">
        <f ca="1">_xludf.BETA.INV(R933,'04_PSA_INPUTS'!H5,'04_PSA_INPUTS'!I5)</f>
        <v>#NAME?</v>
      </c>
      <c r="C933" s="23" t="e">
        <f ca="1">_xludf.BETA.INV(S933,'04_PSA_INPUTS'!H6,'04_PSA_INPUTS'!I6)</f>
        <v>#NAME?</v>
      </c>
      <c r="D933" s="27" t="e">
        <f ca="1">_xludf.GAMMA.INV(T933,'04_PSA_INPUTS'!H7,'04_PSA_INPUTS'!I7)</f>
        <v>#NAME?</v>
      </c>
      <c r="E933" s="27" t="e">
        <f ca="1">_xludf.GAMMA.INV(U933,'04_PSA_INPUTS'!H8,'04_PSA_INPUTS'!I8)</f>
        <v>#NAME?</v>
      </c>
      <c r="F933" s="27" t="e">
        <f ca="1">_xludf.GAMMA.INV(V933,'04_PSA_INPUTS'!H9,'04_PSA_INPUTS'!I9)</f>
        <v>#NAME?</v>
      </c>
      <c r="G933" s="23" t="e">
        <f ca="1">_xludf.BETA.INV(W933,'04_PSA_INPUTS'!H10,'04_PSA_INPUTS'!I10)</f>
        <v>#NAME?</v>
      </c>
      <c r="H933" s="23" t="e">
        <f ca="1">_xludf.BETA.INV(X933,'04_PSA_INPUTS'!H11,'04_PSA_INPUTS'!I11)</f>
        <v>#NAME?</v>
      </c>
      <c r="I933" s="27" t="e">
        <f ca="1">D933+B933*F933+'01_INPUTS'!B20</f>
        <v>#NAME?</v>
      </c>
      <c r="J933" s="27" t="e">
        <f ca="1">E933+C933*F933+'01_INPUTS'!B21</f>
        <v>#NAME?</v>
      </c>
      <c r="K933" s="27" t="e">
        <f t="shared" ca="1" si="84"/>
        <v>#NAME?</v>
      </c>
      <c r="L933" s="23" t="e">
        <f t="shared" ca="1" si="85"/>
        <v>#NAME?</v>
      </c>
      <c r="M933" s="23" t="e">
        <f t="shared" ca="1" si="86"/>
        <v>#NAME?</v>
      </c>
      <c r="N933" s="23" t="e">
        <f t="shared" ca="1" si="87"/>
        <v>#NAME?</v>
      </c>
      <c r="O933" s="27" t="e">
        <f t="shared" ca="1" si="88"/>
        <v>#NAME?</v>
      </c>
      <c r="P933" s="27" t="e">
        <f ca="1">'01_INPUTS'!B9*N933-K933</f>
        <v>#NAME?</v>
      </c>
      <c r="Q933" s="1" t="e">
        <f t="shared" ca="1" si="89"/>
        <v>#NAME?</v>
      </c>
      <c r="R933" s="28">
        <v>0.99663930619135499</v>
      </c>
      <c r="S933" s="28">
        <v>0.46883584000170231</v>
      </c>
      <c r="T933" s="28">
        <v>0.22282576328143477</v>
      </c>
      <c r="U933" s="28">
        <v>0.44761330401524901</v>
      </c>
      <c r="V933" s="28">
        <v>0.64610000071115792</v>
      </c>
      <c r="W933" s="28">
        <v>0.28896577772684395</v>
      </c>
      <c r="X933" s="28">
        <v>0.18322343681938946</v>
      </c>
    </row>
    <row r="934" spans="1:24" ht="13.9">
      <c r="A934" s="1">
        <v>933</v>
      </c>
      <c r="B934" s="23" t="e">
        <f ca="1">_xludf.BETA.INV(R934,'04_PSA_INPUTS'!H5,'04_PSA_INPUTS'!I5)</f>
        <v>#NAME?</v>
      </c>
      <c r="C934" s="23" t="e">
        <f ca="1">_xludf.BETA.INV(S934,'04_PSA_INPUTS'!H6,'04_PSA_INPUTS'!I6)</f>
        <v>#NAME?</v>
      </c>
      <c r="D934" s="27" t="e">
        <f ca="1">_xludf.GAMMA.INV(T934,'04_PSA_INPUTS'!H7,'04_PSA_INPUTS'!I7)</f>
        <v>#NAME?</v>
      </c>
      <c r="E934" s="27" t="e">
        <f ca="1">_xludf.GAMMA.INV(U934,'04_PSA_INPUTS'!H8,'04_PSA_INPUTS'!I8)</f>
        <v>#NAME?</v>
      </c>
      <c r="F934" s="27" t="e">
        <f ca="1">_xludf.GAMMA.INV(V934,'04_PSA_INPUTS'!H9,'04_PSA_INPUTS'!I9)</f>
        <v>#NAME?</v>
      </c>
      <c r="G934" s="23" t="e">
        <f ca="1">_xludf.BETA.INV(W934,'04_PSA_INPUTS'!H10,'04_PSA_INPUTS'!I10)</f>
        <v>#NAME?</v>
      </c>
      <c r="H934" s="23" t="e">
        <f ca="1">_xludf.BETA.INV(X934,'04_PSA_INPUTS'!H11,'04_PSA_INPUTS'!I11)</f>
        <v>#NAME?</v>
      </c>
      <c r="I934" s="27" t="e">
        <f ca="1">D934+B934*F934+'01_INPUTS'!B20</f>
        <v>#NAME?</v>
      </c>
      <c r="J934" s="27" t="e">
        <f ca="1">E934+C934*F934+'01_INPUTS'!B21</f>
        <v>#NAME?</v>
      </c>
      <c r="K934" s="27" t="e">
        <f t="shared" ca="1" si="84"/>
        <v>#NAME?</v>
      </c>
      <c r="L934" s="23" t="e">
        <f t="shared" ca="1" si="85"/>
        <v>#NAME?</v>
      </c>
      <c r="M934" s="23" t="e">
        <f t="shared" ca="1" si="86"/>
        <v>#NAME?</v>
      </c>
      <c r="N934" s="23" t="e">
        <f t="shared" ca="1" si="87"/>
        <v>#NAME?</v>
      </c>
      <c r="O934" s="27" t="e">
        <f t="shared" ca="1" si="88"/>
        <v>#NAME?</v>
      </c>
      <c r="P934" s="27" t="e">
        <f ca="1">'01_INPUTS'!B9*N934-K934</f>
        <v>#NAME?</v>
      </c>
      <c r="Q934" s="1" t="e">
        <f t="shared" ca="1" si="89"/>
        <v>#NAME?</v>
      </c>
      <c r="R934" s="28">
        <v>0.66881369962356985</v>
      </c>
      <c r="S934" s="28">
        <v>0.39048196328803897</v>
      </c>
      <c r="T934" s="28">
        <v>0.20247184182517231</v>
      </c>
      <c r="U934" s="28">
        <v>9.4640600029379129E-2</v>
      </c>
      <c r="V934" s="28">
        <v>0.37617049156688154</v>
      </c>
      <c r="W934" s="28">
        <v>0.66298535116948187</v>
      </c>
      <c r="X934" s="28">
        <v>0.88219613255932927</v>
      </c>
    </row>
    <row r="935" spans="1:24" ht="13.9">
      <c r="A935" s="1">
        <v>934</v>
      </c>
      <c r="B935" s="23" t="e">
        <f ca="1">_xludf.BETA.INV(R935,'04_PSA_INPUTS'!H5,'04_PSA_INPUTS'!I5)</f>
        <v>#NAME?</v>
      </c>
      <c r="C935" s="23" t="e">
        <f ca="1">_xludf.BETA.INV(S935,'04_PSA_INPUTS'!H6,'04_PSA_INPUTS'!I6)</f>
        <v>#NAME?</v>
      </c>
      <c r="D935" s="27" t="e">
        <f ca="1">_xludf.GAMMA.INV(T935,'04_PSA_INPUTS'!H7,'04_PSA_INPUTS'!I7)</f>
        <v>#NAME?</v>
      </c>
      <c r="E935" s="27" t="e">
        <f ca="1">_xludf.GAMMA.INV(U935,'04_PSA_INPUTS'!H8,'04_PSA_INPUTS'!I8)</f>
        <v>#NAME?</v>
      </c>
      <c r="F935" s="27" t="e">
        <f ca="1">_xludf.GAMMA.INV(V935,'04_PSA_INPUTS'!H9,'04_PSA_INPUTS'!I9)</f>
        <v>#NAME?</v>
      </c>
      <c r="G935" s="23" t="e">
        <f ca="1">_xludf.BETA.INV(W935,'04_PSA_INPUTS'!H10,'04_PSA_INPUTS'!I10)</f>
        <v>#NAME?</v>
      </c>
      <c r="H935" s="23" t="e">
        <f ca="1">_xludf.BETA.INV(X935,'04_PSA_INPUTS'!H11,'04_PSA_INPUTS'!I11)</f>
        <v>#NAME?</v>
      </c>
      <c r="I935" s="27" t="e">
        <f ca="1">D935+B935*F935+'01_INPUTS'!B20</f>
        <v>#NAME?</v>
      </c>
      <c r="J935" s="27" t="e">
        <f ca="1">E935+C935*F935+'01_INPUTS'!B21</f>
        <v>#NAME?</v>
      </c>
      <c r="K935" s="27" t="e">
        <f t="shared" ca="1" si="84"/>
        <v>#NAME?</v>
      </c>
      <c r="L935" s="23" t="e">
        <f t="shared" ca="1" si="85"/>
        <v>#NAME?</v>
      </c>
      <c r="M935" s="23" t="e">
        <f t="shared" ca="1" si="86"/>
        <v>#NAME?</v>
      </c>
      <c r="N935" s="23" t="e">
        <f t="shared" ca="1" si="87"/>
        <v>#NAME?</v>
      </c>
      <c r="O935" s="27" t="e">
        <f t="shared" ca="1" si="88"/>
        <v>#NAME?</v>
      </c>
      <c r="P935" s="27" t="e">
        <f ca="1">'01_INPUTS'!B9*N935-K935</f>
        <v>#NAME?</v>
      </c>
      <c r="Q935" s="1" t="e">
        <f t="shared" ca="1" si="89"/>
        <v>#NAME?</v>
      </c>
      <c r="R935" s="28">
        <v>0.46457364480011165</v>
      </c>
      <c r="S935" s="28">
        <v>0.19115278893150389</v>
      </c>
      <c r="T935" s="28">
        <v>0.74037961708381772</v>
      </c>
      <c r="U935" s="28">
        <v>0.47313315118663013</v>
      </c>
      <c r="V935" s="28">
        <v>0.49462094623595476</v>
      </c>
      <c r="W935" s="28">
        <v>0.9599061228800565</v>
      </c>
      <c r="X935" s="28">
        <v>0.57037262292578816</v>
      </c>
    </row>
    <row r="936" spans="1:24" ht="13.9">
      <c r="A936" s="1">
        <v>935</v>
      </c>
      <c r="B936" s="23" t="e">
        <f ca="1">_xludf.BETA.INV(R936,'04_PSA_INPUTS'!H5,'04_PSA_INPUTS'!I5)</f>
        <v>#NAME?</v>
      </c>
      <c r="C936" s="23" t="e">
        <f ca="1">_xludf.BETA.INV(S936,'04_PSA_INPUTS'!H6,'04_PSA_INPUTS'!I6)</f>
        <v>#NAME?</v>
      </c>
      <c r="D936" s="27" t="e">
        <f ca="1">_xludf.GAMMA.INV(T936,'04_PSA_INPUTS'!H7,'04_PSA_INPUTS'!I7)</f>
        <v>#NAME?</v>
      </c>
      <c r="E936" s="27" t="e">
        <f ca="1">_xludf.GAMMA.INV(U936,'04_PSA_INPUTS'!H8,'04_PSA_INPUTS'!I8)</f>
        <v>#NAME?</v>
      </c>
      <c r="F936" s="27" t="e">
        <f ca="1">_xludf.GAMMA.INV(V936,'04_PSA_INPUTS'!H9,'04_PSA_INPUTS'!I9)</f>
        <v>#NAME?</v>
      </c>
      <c r="G936" s="23" t="e">
        <f ca="1">_xludf.BETA.INV(W936,'04_PSA_INPUTS'!H10,'04_PSA_INPUTS'!I10)</f>
        <v>#NAME?</v>
      </c>
      <c r="H936" s="23" t="e">
        <f ca="1">_xludf.BETA.INV(X936,'04_PSA_INPUTS'!H11,'04_PSA_INPUTS'!I11)</f>
        <v>#NAME?</v>
      </c>
      <c r="I936" s="27" t="e">
        <f ca="1">D936+B936*F936+'01_INPUTS'!B20</f>
        <v>#NAME?</v>
      </c>
      <c r="J936" s="27" t="e">
        <f ca="1">E936+C936*F936+'01_INPUTS'!B21</f>
        <v>#NAME?</v>
      </c>
      <c r="K936" s="27" t="e">
        <f t="shared" ca="1" si="84"/>
        <v>#NAME?</v>
      </c>
      <c r="L936" s="23" t="e">
        <f t="shared" ca="1" si="85"/>
        <v>#NAME?</v>
      </c>
      <c r="M936" s="23" t="e">
        <f t="shared" ca="1" si="86"/>
        <v>#NAME?</v>
      </c>
      <c r="N936" s="23" t="e">
        <f t="shared" ca="1" si="87"/>
        <v>#NAME?</v>
      </c>
      <c r="O936" s="27" t="e">
        <f t="shared" ca="1" si="88"/>
        <v>#NAME?</v>
      </c>
      <c r="P936" s="27" t="e">
        <f ca="1">'01_INPUTS'!B9*N936-K936</f>
        <v>#NAME?</v>
      </c>
      <c r="Q936" s="1" t="e">
        <f t="shared" ca="1" si="89"/>
        <v>#NAME?</v>
      </c>
      <c r="R936" s="28">
        <v>0.48249787301756442</v>
      </c>
      <c r="S936" s="28">
        <v>0.22177392686717212</v>
      </c>
      <c r="T936" s="28">
        <v>0.13187751569785178</v>
      </c>
      <c r="U936" s="28">
        <v>8.3911930210888386E-2</v>
      </c>
      <c r="V936" s="28">
        <v>5.2392093930393457E-2</v>
      </c>
      <c r="W936" s="28">
        <v>0.80442562280222774</v>
      </c>
      <c r="X936" s="28">
        <v>0.9739665889646858</v>
      </c>
    </row>
    <row r="937" spans="1:24" ht="13.9">
      <c r="A937" s="1">
        <v>936</v>
      </c>
      <c r="B937" s="23" t="e">
        <f ca="1">_xludf.BETA.INV(R937,'04_PSA_INPUTS'!H5,'04_PSA_INPUTS'!I5)</f>
        <v>#NAME?</v>
      </c>
      <c r="C937" s="23" t="e">
        <f ca="1">_xludf.BETA.INV(S937,'04_PSA_INPUTS'!H6,'04_PSA_INPUTS'!I6)</f>
        <v>#NAME?</v>
      </c>
      <c r="D937" s="27" t="e">
        <f ca="1">_xludf.GAMMA.INV(T937,'04_PSA_INPUTS'!H7,'04_PSA_INPUTS'!I7)</f>
        <v>#NAME?</v>
      </c>
      <c r="E937" s="27" t="e">
        <f ca="1">_xludf.GAMMA.INV(U937,'04_PSA_INPUTS'!H8,'04_PSA_INPUTS'!I8)</f>
        <v>#NAME?</v>
      </c>
      <c r="F937" s="27" t="e">
        <f ca="1">_xludf.GAMMA.INV(V937,'04_PSA_INPUTS'!H9,'04_PSA_INPUTS'!I9)</f>
        <v>#NAME?</v>
      </c>
      <c r="G937" s="23" t="e">
        <f ca="1">_xludf.BETA.INV(W937,'04_PSA_INPUTS'!H10,'04_PSA_INPUTS'!I10)</f>
        <v>#NAME?</v>
      </c>
      <c r="H937" s="23" t="e">
        <f ca="1">_xludf.BETA.INV(X937,'04_PSA_INPUTS'!H11,'04_PSA_INPUTS'!I11)</f>
        <v>#NAME?</v>
      </c>
      <c r="I937" s="27" t="e">
        <f ca="1">D937+B937*F937+'01_INPUTS'!B20</f>
        <v>#NAME?</v>
      </c>
      <c r="J937" s="27" t="e">
        <f ca="1">E937+C937*F937+'01_INPUTS'!B21</f>
        <v>#NAME?</v>
      </c>
      <c r="K937" s="27" t="e">
        <f t="shared" ca="1" si="84"/>
        <v>#NAME?</v>
      </c>
      <c r="L937" s="23" t="e">
        <f t="shared" ca="1" si="85"/>
        <v>#NAME?</v>
      </c>
      <c r="M937" s="23" t="e">
        <f t="shared" ca="1" si="86"/>
        <v>#NAME?</v>
      </c>
      <c r="N937" s="23" t="e">
        <f t="shared" ca="1" si="87"/>
        <v>#NAME?</v>
      </c>
      <c r="O937" s="27" t="e">
        <f t="shared" ca="1" si="88"/>
        <v>#NAME?</v>
      </c>
      <c r="P937" s="27" t="e">
        <f ca="1">'01_INPUTS'!B9*N937-K937</f>
        <v>#NAME?</v>
      </c>
      <c r="Q937" s="1" t="e">
        <f t="shared" ca="1" si="89"/>
        <v>#NAME?</v>
      </c>
      <c r="R937" s="28">
        <v>0.3724644451867789</v>
      </c>
      <c r="S937" s="28">
        <v>0.92209289548918605</v>
      </c>
      <c r="T937" s="28">
        <v>0.22698800172656775</v>
      </c>
      <c r="U937" s="28">
        <v>0.93242219043895602</v>
      </c>
      <c r="V937" s="28">
        <v>0.23852717294357717</v>
      </c>
      <c r="W937" s="28">
        <v>0.48263813648372889</v>
      </c>
      <c r="X937" s="28">
        <v>0.28884860291145742</v>
      </c>
    </row>
    <row r="938" spans="1:24" ht="13.9">
      <c r="A938" s="1">
        <v>937</v>
      </c>
      <c r="B938" s="23" t="e">
        <f ca="1">_xludf.BETA.INV(R938,'04_PSA_INPUTS'!H5,'04_PSA_INPUTS'!I5)</f>
        <v>#NAME?</v>
      </c>
      <c r="C938" s="23" t="e">
        <f ca="1">_xludf.BETA.INV(S938,'04_PSA_INPUTS'!H6,'04_PSA_INPUTS'!I6)</f>
        <v>#NAME?</v>
      </c>
      <c r="D938" s="27" t="e">
        <f ca="1">_xludf.GAMMA.INV(T938,'04_PSA_INPUTS'!H7,'04_PSA_INPUTS'!I7)</f>
        <v>#NAME?</v>
      </c>
      <c r="E938" s="27" t="e">
        <f ca="1">_xludf.GAMMA.INV(U938,'04_PSA_INPUTS'!H8,'04_PSA_INPUTS'!I8)</f>
        <v>#NAME?</v>
      </c>
      <c r="F938" s="27" t="e">
        <f ca="1">_xludf.GAMMA.INV(V938,'04_PSA_INPUTS'!H9,'04_PSA_INPUTS'!I9)</f>
        <v>#NAME?</v>
      </c>
      <c r="G938" s="23" t="e">
        <f ca="1">_xludf.BETA.INV(W938,'04_PSA_INPUTS'!H10,'04_PSA_INPUTS'!I10)</f>
        <v>#NAME?</v>
      </c>
      <c r="H938" s="23" t="e">
        <f ca="1">_xludf.BETA.INV(X938,'04_PSA_INPUTS'!H11,'04_PSA_INPUTS'!I11)</f>
        <v>#NAME?</v>
      </c>
      <c r="I938" s="27" t="e">
        <f ca="1">D938+B938*F938+'01_INPUTS'!B20</f>
        <v>#NAME?</v>
      </c>
      <c r="J938" s="27" t="e">
        <f ca="1">E938+C938*F938+'01_INPUTS'!B21</f>
        <v>#NAME?</v>
      </c>
      <c r="K938" s="27" t="e">
        <f t="shared" ca="1" si="84"/>
        <v>#NAME?</v>
      </c>
      <c r="L938" s="23" t="e">
        <f t="shared" ca="1" si="85"/>
        <v>#NAME?</v>
      </c>
      <c r="M938" s="23" t="e">
        <f t="shared" ca="1" si="86"/>
        <v>#NAME?</v>
      </c>
      <c r="N938" s="23" t="e">
        <f t="shared" ca="1" si="87"/>
        <v>#NAME?</v>
      </c>
      <c r="O938" s="27" t="e">
        <f t="shared" ca="1" si="88"/>
        <v>#NAME?</v>
      </c>
      <c r="P938" s="27" t="e">
        <f ca="1">'01_INPUTS'!B9*N938-K938</f>
        <v>#NAME?</v>
      </c>
      <c r="Q938" s="1" t="e">
        <f t="shared" ca="1" si="89"/>
        <v>#NAME?</v>
      </c>
      <c r="R938" s="28">
        <v>0.55267644277773798</v>
      </c>
      <c r="S938" s="28">
        <v>0.65453792200423777</v>
      </c>
      <c r="T938" s="28">
        <v>0.4258603360503912</v>
      </c>
      <c r="U938" s="28">
        <v>0.84171395329758525</v>
      </c>
      <c r="V938" s="28">
        <v>0.82971047749742866</v>
      </c>
      <c r="W938" s="28">
        <v>0.66211366048082709</v>
      </c>
      <c r="X938" s="28">
        <v>0.62304725544527173</v>
      </c>
    </row>
    <row r="939" spans="1:24" ht="13.9">
      <c r="A939" s="1">
        <v>938</v>
      </c>
      <c r="B939" s="23" t="e">
        <f ca="1">_xludf.BETA.INV(R939,'04_PSA_INPUTS'!H5,'04_PSA_INPUTS'!I5)</f>
        <v>#NAME?</v>
      </c>
      <c r="C939" s="23" t="e">
        <f ca="1">_xludf.BETA.INV(S939,'04_PSA_INPUTS'!H6,'04_PSA_INPUTS'!I6)</f>
        <v>#NAME?</v>
      </c>
      <c r="D939" s="27" t="e">
        <f ca="1">_xludf.GAMMA.INV(T939,'04_PSA_INPUTS'!H7,'04_PSA_INPUTS'!I7)</f>
        <v>#NAME?</v>
      </c>
      <c r="E939" s="27" t="e">
        <f ca="1">_xludf.GAMMA.INV(U939,'04_PSA_INPUTS'!H8,'04_PSA_INPUTS'!I8)</f>
        <v>#NAME?</v>
      </c>
      <c r="F939" s="27" t="e">
        <f ca="1">_xludf.GAMMA.INV(V939,'04_PSA_INPUTS'!H9,'04_PSA_INPUTS'!I9)</f>
        <v>#NAME?</v>
      </c>
      <c r="G939" s="23" t="e">
        <f ca="1">_xludf.BETA.INV(W939,'04_PSA_INPUTS'!H10,'04_PSA_INPUTS'!I10)</f>
        <v>#NAME?</v>
      </c>
      <c r="H939" s="23" t="e">
        <f ca="1">_xludf.BETA.INV(X939,'04_PSA_INPUTS'!H11,'04_PSA_INPUTS'!I11)</f>
        <v>#NAME?</v>
      </c>
      <c r="I939" s="27" t="e">
        <f ca="1">D939+B939*F939+'01_INPUTS'!B20</f>
        <v>#NAME?</v>
      </c>
      <c r="J939" s="27" t="e">
        <f ca="1">E939+C939*F939+'01_INPUTS'!B21</f>
        <v>#NAME?</v>
      </c>
      <c r="K939" s="27" t="e">
        <f t="shared" ca="1" si="84"/>
        <v>#NAME?</v>
      </c>
      <c r="L939" s="23" t="e">
        <f t="shared" ca="1" si="85"/>
        <v>#NAME?</v>
      </c>
      <c r="M939" s="23" t="e">
        <f t="shared" ca="1" si="86"/>
        <v>#NAME?</v>
      </c>
      <c r="N939" s="23" t="e">
        <f t="shared" ca="1" si="87"/>
        <v>#NAME?</v>
      </c>
      <c r="O939" s="27" t="e">
        <f t="shared" ca="1" si="88"/>
        <v>#NAME?</v>
      </c>
      <c r="P939" s="27" t="e">
        <f ca="1">'01_INPUTS'!B9*N939-K939</f>
        <v>#NAME?</v>
      </c>
      <c r="Q939" s="1" t="e">
        <f t="shared" ca="1" si="89"/>
        <v>#NAME?</v>
      </c>
      <c r="R939" s="28">
        <v>0.67707038973458111</v>
      </c>
      <c r="S939" s="28">
        <v>0.60678048757836223</v>
      </c>
      <c r="T939" s="28">
        <v>0.22029567533172667</v>
      </c>
      <c r="U939" s="28">
        <v>0.39026475581340492</v>
      </c>
      <c r="V939" s="28">
        <v>0.79319202108308673</v>
      </c>
      <c r="W939" s="28">
        <v>0.4701024868991226</v>
      </c>
      <c r="X939" s="28">
        <v>0.54027662612497807</v>
      </c>
    </row>
    <row r="940" spans="1:24" ht="13.9">
      <c r="A940" s="1">
        <v>939</v>
      </c>
      <c r="B940" s="23" t="e">
        <f ca="1">_xludf.BETA.INV(R940,'04_PSA_INPUTS'!H5,'04_PSA_INPUTS'!I5)</f>
        <v>#NAME?</v>
      </c>
      <c r="C940" s="23" t="e">
        <f ca="1">_xludf.BETA.INV(S940,'04_PSA_INPUTS'!H6,'04_PSA_INPUTS'!I6)</f>
        <v>#NAME?</v>
      </c>
      <c r="D940" s="27" t="e">
        <f ca="1">_xludf.GAMMA.INV(T940,'04_PSA_INPUTS'!H7,'04_PSA_INPUTS'!I7)</f>
        <v>#NAME?</v>
      </c>
      <c r="E940" s="27" t="e">
        <f ca="1">_xludf.GAMMA.INV(U940,'04_PSA_INPUTS'!H8,'04_PSA_INPUTS'!I8)</f>
        <v>#NAME?</v>
      </c>
      <c r="F940" s="27" t="e">
        <f ca="1">_xludf.GAMMA.INV(V940,'04_PSA_INPUTS'!H9,'04_PSA_INPUTS'!I9)</f>
        <v>#NAME?</v>
      </c>
      <c r="G940" s="23" t="e">
        <f ca="1">_xludf.BETA.INV(W940,'04_PSA_INPUTS'!H10,'04_PSA_INPUTS'!I10)</f>
        <v>#NAME?</v>
      </c>
      <c r="H940" s="23" t="e">
        <f ca="1">_xludf.BETA.INV(X940,'04_PSA_INPUTS'!H11,'04_PSA_INPUTS'!I11)</f>
        <v>#NAME?</v>
      </c>
      <c r="I940" s="27" t="e">
        <f ca="1">D940+B940*F940+'01_INPUTS'!B20</f>
        <v>#NAME?</v>
      </c>
      <c r="J940" s="27" t="e">
        <f ca="1">E940+C940*F940+'01_INPUTS'!B21</f>
        <v>#NAME?</v>
      </c>
      <c r="K940" s="27" t="e">
        <f t="shared" ca="1" si="84"/>
        <v>#NAME?</v>
      </c>
      <c r="L940" s="23" t="e">
        <f t="shared" ca="1" si="85"/>
        <v>#NAME?</v>
      </c>
      <c r="M940" s="23" t="e">
        <f t="shared" ca="1" si="86"/>
        <v>#NAME?</v>
      </c>
      <c r="N940" s="23" t="e">
        <f t="shared" ca="1" si="87"/>
        <v>#NAME?</v>
      </c>
      <c r="O940" s="27" t="e">
        <f t="shared" ca="1" si="88"/>
        <v>#NAME?</v>
      </c>
      <c r="P940" s="27" t="e">
        <f ca="1">'01_INPUTS'!B9*N940-K940</f>
        <v>#NAME?</v>
      </c>
      <c r="Q940" s="1" t="e">
        <f t="shared" ca="1" si="89"/>
        <v>#NAME?</v>
      </c>
      <c r="R940" s="28">
        <v>0.53675569244660437</v>
      </c>
      <c r="S940" s="28">
        <v>0.36339314305223525</v>
      </c>
      <c r="T940" s="28">
        <v>0.12219861778430641</v>
      </c>
      <c r="U940" s="28">
        <v>1.8022417789325118E-2</v>
      </c>
      <c r="V940" s="28">
        <v>0.227508399868384</v>
      </c>
      <c r="W940" s="28">
        <v>0.69381349766626954</v>
      </c>
      <c r="X940" s="28">
        <v>0.22072825278155506</v>
      </c>
    </row>
    <row r="941" spans="1:24" ht="13.9">
      <c r="A941" s="1">
        <v>940</v>
      </c>
      <c r="B941" s="23" t="e">
        <f ca="1">_xludf.BETA.INV(R941,'04_PSA_INPUTS'!H5,'04_PSA_INPUTS'!I5)</f>
        <v>#NAME?</v>
      </c>
      <c r="C941" s="23" t="e">
        <f ca="1">_xludf.BETA.INV(S941,'04_PSA_INPUTS'!H6,'04_PSA_INPUTS'!I6)</f>
        <v>#NAME?</v>
      </c>
      <c r="D941" s="27" t="e">
        <f ca="1">_xludf.GAMMA.INV(T941,'04_PSA_INPUTS'!H7,'04_PSA_INPUTS'!I7)</f>
        <v>#NAME?</v>
      </c>
      <c r="E941" s="27" t="e">
        <f ca="1">_xludf.GAMMA.INV(U941,'04_PSA_INPUTS'!H8,'04_PSA_INPUTS'!I8)</f>
        <v>#NAME?</v>
      </c>
      <c r="F941" s="27" t="e">
        <f ca="1">_xludf.GAMMA.INV(V941,'04_PSA_INPUTS'!H9,'04_PSA_INPUTS'!I9)</f>
        <v>#NAME?</v>
      </c>
      <c r="G941" s="23" t="e">
        <f ca="1">_xludf.BETA.INV(W941,'04_PSA_INPUTS'!H10,'04_PSA_INPUTS'!I10)</f>
        <v>#NAME?</v>
      </c>
      <c r="H941" s="23" t="e">
        <f ca="1">_xludf.BETA.INV(X941,'04_PSA_INPUTS'!H11,'04_PSA_INPUTS'!I11)</f>
        <v>#NAME?</v>
      </c>
      <c r="I941" s="27" t="e">
        <f ca="1">D941+B941*F941+'01_INPUTS'!B20</f>
        <v>#NAME?</v>
      </c>
      <c r="J941" s="27" t="e">
        <f ca="1">E941+C941*F941+'01_INPUTS'!B21</f>
        <v>#NAME?</v>
      </c>
      <c r="K941" s="27" t="e">
        <f t="shared" ca="1" si="84"/>
        <v>#NAME?</v>
      </c>
      <c r="L941" s="23" t="e">
        <f t="shared" ca="1" si="85"/>
        <v>#NAME?</v>
      </c>
      <c r="M941" s="23" t="e">
        <f t="shared" ca="1" si="86"/>
        <v>#NAME?</v>
      </c>
      <c r="N941" s="23" t="e">
        <f t="shared" ca="1" si="87"/>
        <v>#NAME?</v>
      </c>
      <c r="O941" s="27" t="e">
        <f t="shared" ca="1" si="88"/>
        <v>#NAME?</v>
      </c>
      <c r="P941" s="27" t="e">
        <f ca="1">'01_INPUTS'!B9*N941-K941</f>
        <v>#NAME?</v>
      </c>
      <c r="Q941" s="1" t="e">
        <f t="shared" ca="1" si="89"/>
        <v>#NAME?</v>
      </c>
      <c r="R941" s="28">
        <v>0.58577834884636104</v>
      </c>
      <c r="S941" s="28">
        <v>0.55508528230711818</v>
      </c>
      <c r="T941" s="28">
        <v>0.39083834341727197</v>
      </c>
      <c r="U941" s="28">
        <v>0.67103330790996552</v>
      </c>
      <c r="V941" s="28">
        <v>0.36539535294286907</v>
      </c>
      <c r="W941" s="28">
        <v>0.1839091214351356</v>
      </c>
      <c r="X941" s="28">
        <v>8.3793876459822059E-2</v>
      </c>
    </row>
    <row r="942" spans="1:24" ht="13.9">
      <c r="A942" s="1">
        <v>941</v>
      </c>
      <c r="B942" s="23" t="e">
        <f ca="1">_xludf.BETA.INV(R942,'04_PSA_INPUTS'!H5,'04_PSA_INPUTS'!I5)</f>
        <v>#NAME?</v>
      </c>
      <c r="C942" s="23" t="e">
        <f ca="1">_xludf.BETA.INV(S942,'04_PSA_INPUTS'!H6,'04_PSA_INPUTS'!I6)</f>
        <v>#NAME?</v>
      </c>
      <c r="D942" s="27" t="e">
        <f ca="1">_xludf.GAMMA.INV(T942,'04_PSA_INPUTS'!H7,'04_PSA_INPUTS'!I7)</f>
        <v>#NAME?</v>
      </c>
      <c r="E942" s="27" t="e">
        <f ca="1">_xludf.GAMMA.INV(U942,'04_PSA_INPUTS'!H8,'04_PSA_INPUTS'!I8)</f>
        <v>#NAME?</v>
      </c>
      <c r="F942" s="27" t="e">
        <f ca="1">_xludf.GAMMA.INV(V942,'04_PSA_INPUTS'!H9,'04_PSA_INPUTS'!I9)</f>
        <v>#NAME?</v>
      </c>
      <c r="G942" s="23" t="e">
        <f ca="1">_xludf.BETA.INV(W942,'04_PSA_INPUTS'!H10,'04_PSA_INPUTS'!I10)</f>
        <v>#NAME?</v>
      </c>
      <c r="H942" s="23" t="e">
        <f ca="1">_xludf.BETA.INV(X942,'04_PSA_INPUTS'!H11,'04_PSA_INPUTS'!I11)</f>
        <v>#NAME?</v>
      </c>
      <c r="I942" s="27" t="e">
        <f ca="1">D942+B942*F942+'01_INPUTS'!B20</f>
        <v>#NAME?</v>
      </c>
      <c r="J942" s="27" t="e">
        <f ca="1">E942+C942*F942+'01_INPUTS'!B21</f>
        <v>#NAME?</v>
      </c>
      <c r="K942" s="27" t="e">
        <f t="shared" ca="1" si="84"/>
        <v>#NAME?</v>
      </c>
      <c r="L942" s="23" t="e">
        <f t="shared" ca="1" si="85"/>
        <v>#NAME?</v>
      </c>
      <c r="M942" s="23" t="e">
        <f t="shared" ca="1" si="86"/>
        <v>#NAME?</v>
      </c>
      <c r="N942" s="23" t="e">
        <f t="shared" ca="1" si="87"/>
        <v>#NAME?</v>
      </c>
      <c r="O942" s="27" t="e">
        <f t="shared" ca="1" si="88"/>
        <v>#NAME?</v>
      </c>
      <c r="P942" s="27" t="e">
        <f ca="1">'01_INPUTS'!B9*N942-K942</f>
        <v>#NAME?</v>
      </c>
      <c r="Q942" s="1" t="e">
        <f t="shared" ca="1" si="89"/>
        <v>#NAME?</v>
      </c>
      <c r="R942" s="28">
        <v>0.78907387773506343</v>
      </c>
      <c r="S942" s="28">
        <v>0.26676964317448437</v>
      </c>
      <c r="T942" s="28">
        <v>0.30779536324553192</v>
      </c>
      <c r="U942" s="28">
        <v>0.24348894623108208</v>
      </c>
      <c r="V942" s="28">
        <v>0.67624370334669948</v>
      </c>
      <c r="W942" s="28">
        <v>0.19476733519695699</v>
      </c>
      <c r="X942" s="28">
        <v>0.74911855347454548</v>
      </c>
    </row>
    <row r="943" spans="1:24" ht="13.9">
      <c r="A943" s="1">
        <v>942</v>
      </c>
      <c r="B943" s="23" t="e">
        <f ca="1">_xludf.BETA.INV(R943,'04_PSA_INPUTS'!H5,'04_PSA_INPUTS'!I5)</f>
        <v>#NAME?</v>
      </c>
      <c r="C943" s="23" t="e">
        <f ca="1">_xludf.BETA.INV(S943,'04_PSA_INPUTS'!H6,'04_PSA_INPUTS'!I6)</f>
        <v>#NAME?</v>
      </c>
      <c r="D943" s="27" t="e">
        <f ca="1">_xludf.GAMMA.INV(T943,'04_PSA_INPUTS'!H7,'04_PSA_INPUTS'!I7)</f>
        <v>#NAME?</v>
      </c>
      <c r="E943" s="27" t="e">
        <f ca="1">_xludf.GAMMA.INV(U943,'04_PSA_INPUTS'!H8,'04_PSA_INPUTS'!I8)</f>
        <v>#NAME?</v>
      </c>
      <c r="F943" s="27" t="e">
        <f ca="1">_xludf.GAMMA.INV(V943,'04_PSA_INPUTS'!H9,'04_PSA_INPUTS'!I9)</f>
        <v>#NAME?</v>
      </c>
      <c r="G943" s="23" t="e">
        <f ca="1">_xludf.BETA.INV(W943,'04_PSA_INPUTS'!H10,'04_PSA_INPUTS'!I10)</f>
        <v>#NAME?</v>
      </c>
      <c r="H943" s="23" t="e">
        <f ca="1">_xludf.BETA.INV(X943,'04_PSA_INPUTS'!H11,'04_PSA_INPUTS'!I11)</f>
        <v>#NAME?</v>
      </c>
      <c r="I943" s="27" t="e">
        <f ca="1">D943+B943*F943+'01_INPUTS'!B20</f>
        <v>#NAME?</v>
      </c>
      <c r="J943" s="27" t="e">
        <f ca="1">E943+C943*F943+'01_INPUTS'!B21</f>
        <v>#NAME?</v>
      </c>
      <c r="K943" s="27" t="e">
        <f t="shared" ca="1" si="84"/>
        <v>#NAME?</v>
      </c>
      <c r="L943" s="23" t="e">
        <f t="shared" ca="1" si="85"/>
        <v>#NAME?</v>
      </c>
      <c r="M943" s="23" t="e">
        <f t="shared" ca="1" si="86"/>
        <v>#NAME?</v>
      </c>
      <c r="N943" s="23" t="e">
        <f t="shared" ca="1" si="87"/>
        <v>#NAME?</v>
      </c>
      <c r="O943" s="27" t="e">
        <f t="shared" ca="1" si="88"/>
        <v>#NAME?</v>
      </c>
      <c r="P943" s="27" t="e">
        <f ca="1">'01_INPUTS'!B9*N943-K943</f>
        <v>#NAME?</v>
      </c>
      <c r="Q943" s="1" t="e">
        <f t="shared" ca="1" si="89"/>
        <v>#NAME?</v>
      </c>
      <c r="R943" s="28">
        <v>0.97143641905859113</v>
      </c>
      <c r="S943" s="28">
        <v>0.50307668978348374</v>
      </c>
      <c r="T943" s="28">
        <v>0.56303669768385589</v>
      </c>
      <c r="U943" s="28">
        <v>0.8909754294436425</v>
      </c>
      <c r="V943" s="28">
        <v>1.1734137311577797E-2</v>
      </c>
      <c r="W943" s="28">
        <v>0.55567748798057437</v>
      </c>
      <c r="X943" s="28">
        <v>0.2203510464169085</v>
      </c>
    </row>
    <row r="944" spans="1:24" ht="13.9">
      <c r="A944" s="1">
        <v>943</v>
      </c>
      <c r="B944" s="23" t="e">
        <f ca="1">_xludf.BETA.INV(R944,'04_PSA_INPUTS'!H5,'04_PSA_INPUTS'!I5)</f>
        <v>#NAME?</v>
      </c>
      <c r="C944" s="23" t="e">
        <f ca="1">_xludf.BETA.INV(S944,'04_PSA_INPUTS'!H6,'04_PSA_INPUTS'!I6)</f>
        <v>#NAME?</v>
      </c>
      <c r="D944" s="27" t="e">
        <f ca="1">_xludf.GAMMA.INV(T944,'04_PSA_INPUTS'!H7,'04_PSA_INPUTS'!I7)</f>
        <v>#NAME?</v>
      </c>
      <c r="E944" s="27" t="e">
        <f ca="1">_xludf.GAMMA.INV(U944,'04_PSA_INPUTS'!H8,'04_PSA_INPUTS'!I8)</f>
        <v>#NAME?</v>
      </c>
      <c r="F944" s="27" t="e">
        <f ca="1">_xludf.GAMMA.INV(V944,'04_PSA_INPUTS'!H9,'04_PSA_INPUTS'!I9)</f>
        <v>#NAME?</v>
      </c>
      <c r="G944" s="23" t="e">
        <f ca="1">_xludf.BETA.INV(W944,'04_PSA_INPUTS'!H10,'04_PSA_INPUTS'!I10)</f>
        <v>#NAME?</v>
      </c>
      <c r="H944" s="23" t="e">
        <f ca="1">_xludf.BETA.INV(X944,'04_PSA_INPUTS'!H11,'04_PSA_INPUTS'!I11)</f>
        <v>#NAME?</v>
      </c>
      <c r="I944" s="27" t="e">
        <f ca="1">D944+B944*F944+'01_INPUTS'!B20</f>
        <v>#NAME?</v>
      </c>
      <c r="J944" s="27" t="e">
        <f ca="1">E944+C944*F944+'01_INPUTS'!B21</f>
        <v>#NAME?</v>
      </c>
      <c r="K944" s="27" t="e">
        <f t="shared" ca="1" si="84"/>
        <v>#NAME?</v>
      </c>
      <c r="L944" s="23" t="e">
        <f t="shared" ca="1" si="85"/>
        <v>#NAME?</v>
      </c>
      <c r="M944" s="23" t="e">
        <f t="shared" ca="1" si="86"/>
        <v>#NAME?</v>
      </c>
      <c r="N944" s="23" t="e">
        <f t="shared" ca="1" si="87"/>
        <v>#NAME?</v>
      </c>
      <c r="O944" s="27" t="e">
        <f t="shared" ca="1" si="88"/>
        <v>#NAME?</v>
      </c>
      <c r="P944" s="27" t="e">
        <f ca="1">'01_INPUTS'!B9*N944-K944</f>
        <v>#NAME?</v>
      </c>
      <c r="Q944" s="1" t="e">
        <f t="shared" ca="1" si="89"/>
        <v>#NAME?</v>
      </c>
      <c r="R944" s="28">
        <v>0.22571157035417855</v>
      </c>
      <c r="S944" s="28">
        <v>0.87343994411639869</v>
      </c>
      <c r="T944" s="28">
        <v>5.363023653626442E-2</v>
      </c>
      <c r="U944" s="28">
        <v>0.878828015178442</v>
      </c>
      <c r="V944" s="28">
        <v>0.31182385399006307</v>
      </c>
      <c r="W944" s="28">
        <v>0.89237518049776554</v>
      </c>
      <c r="X944" s="28">
        <v>0.87916059885174036</v>
      </c>
    </row>
    <row r="945" spans="1:24" ht="13.9">
      <c r="A945" s="1">
        <v>944</v>
      </c>
      <c r="B945" s="23" t="e">
        <f ca="1">_xludf.BETA.INV(R945,'04_PSA_INPUTS'!H5,'04_PSA_INPUTS'!I5)</f>
        <v>#NAME?</v>
      </c>
      <c r="C945" s="23" t="e">
        <f ca="1">_xludf.BETA.INV(S945,'04_PSA_INPUTS'!H6,'04_PSA_INPUTS'!I6)</f>
        <v>#NAME?</v>
      </c>
      <c r="D945" s="27" t="e">
        <f ca="1">_xludf.GAMMA.INV(T945,'04_PSA_INPUTS'!H7,'04_PSA_INPUTS'!I7)</f>
        <v>#NAME?</v>
      </c>
      <c r="E945" s="27" t="e">
        <f ca="1">_xludf.GAMMA.INV(U945,'04_PSA_INPUTS'!H8,'04_PSA_INPUTS'!I8)</f>
        <v>#NAME?</v>
      </c>
      <c r="F945" s="27" t="e">
        <f ca="1">_xludf.GAMMA.INV(V945,'04_PSA_INPUTS'!H9,'04_PSA_INPUTS'!I9)</f>
        <v>#NAME?</v>
      </c>
      <c r="G945" s="23" t="e">
        <f ca="1">_xludf.BETA.INV(W945,'04_PSA_INPUTS'!H10,'04_PSA_INPUTS'!I10)</f>
        <v>#NAME?</v>
      </c>
      <c r="H945" s="23" t="e">
        <f ca="1">_xludf.BETA.INV(X945,'04_PSA_INPUTS'!H11,'04_PSA_INPUTS'!I11)</f>
        <v>#NAME?</v>
      </c>
      <c r="I945" s="27" t="e">
        <f ca="1">D945+B945*F945+'01_INPUTS'!B20</f>
        <v>#NAME?</v>
      </c>
      <c r="J945" s="27" t="e">
        <f ca="1">E945+C945*F945+'01_INPUTS'!B21</f>
        <v>#NAME?</v>
      </c>
      <c r="K945" s="27" t="e">
        <f t="shared" ca="1" si="84"/>
        <v>#NAME?</v>
      </c>
      <c r="L945" s="23" t="e">
        <f t="shared" ca="1" si="85"/>
        <v>#NAME?</v>
      </c>
      <c r="M945" s="23" t="e">
        <f t="shared" ca="1" si="86"/>
        <v>#NAME?</v>
      </c>
      <c r="N945" s="23" t="e">
        <f t="shared" ca="1" si="87"/>
        <v>#NAME?</v>
      </c>
      <c r="O945" s="27" t="e">
        <f t="shared" ca="1" si="88"/>
        <v>#NAME?</v>
      </c>
      <c r="P945" s="27" t="e">
        <f ca="1">'01_INPUTS'!B9*N945-K945</f>
        <v>#NAME?</v>
      </c>
      <c r="Q945" s="1" t="e">
        <f t="shared" ca="1" si="89"/>
        <v>#NAME?</v>
      </c>
      <c r="R945" s="28">
        <v>0.12130659259855747</v>
      </c>
      <c r="S945" s="28">
        <v>0.16701918956823647</v>
      </c>
      <c r="T945" s="28">
        <v>0.4776157436426729</v>
      </c>
      <c r="U945" s="28">
        <v>0.6721176418941468</v>
      </c>
      <c r="V945" s="28">
        <v>5.1963102770969272E-2</v>
      </c>
      <c r="W945" s="28">
        <v>0.57675836933776736</v>
      </c>
      <c r="X945" s="28">
        <v>0.77745546447113156</v>
      </c>
    </row>
    <row r="946" spans="1:24" ht="13.9">
      <c r="A946" s="1">
        <v>945</v>
      </c>
      <c r="B946" s="23" t="e">
        <f ca="1">_xludf.BETA.INV(R946,'04_PSA_INPUTS'!H5,'04_PSA_INPUTS'!I5)</f>
        <v>#NAME?</v>
      </c>
      <c r="C946" s="23" t="e">
        <f ca="1">_xludf.BETA.INV(S946,'04_PSA_INPUTS'!H6,'04_PSA_INPUTS'!I6)</f>
        <v>#NAME?</v>
      </c>
      <c r="D946" s="27" t="e">
        <f ca="1">_xludf.GAMMA.INV(T946,'04_PSA_INPUTS'!H7,'04_PSA_INPUTS'!I7)</f>
        <v>#NAME?</v>
      </c>
      <c r="E946" s="27" t="e">
        <f ca="1">_xludf.GAMMA.INV(U946,'04_PSA_INPUTS'!H8,'04_PSA_INPUTS'!I8)</f>
        <v>#NAME?</v>
      </c>
      <c r="F946" s="27" t="e">
        <f ca="1">_xludf.GAMMA.INV(V946,'04_PSA_INPUTS'!H9,'04_PSA_INPUTS'!I9)</f>
        <v>#NAME?</v>
      </c>
      <c r="G946" s="23" t="e">
        <f ca="1">_xludf.BETA.INV(W946,'04_PSA_INPUTS'!H10,'04_PSA_INPUTS'!I10)</f>
        <v>#NAME?</v>
      </c>
      <c r="H946" s="23" t="e">
        <f ca="1">_xludf.BETA.INV(X946,'04_PSA_INPUTS'!H11,'04_PSA_INPUTS'!I11)</f>
        <v>#NAME?</v>
      </c>
      <c r="I946" s="27" t="e">
        <f ca="1">D946+B946*F946+'01_INPUTS'!B20</f>
        <v>#NAME?</v>
      </c>
      <c r="J946" s="27" t="e">
        <f ca="1">E946+C946*F946+'01_INPUTS'!B21</f>
        <v>#NAME?</v>
      </c>
      <c r="K946" s="27" t="e">
        <f t="shared" ca="1" si="84"/>
        <v>#NAME?</v>
      </c>
      <c r="L946" s="23" t="e">
        <f t="shared" ca="1" si="85"/>
        <v>#NAME?</v>
      </c>
      <c r="M946" s="23" t="e">
        <f t="shared" ca="1" si="86"/>
        <v>#NAME?</v>
      </c>
      <c r="N946" s="23" t="e">
        <f t="shared" ca="1" si="87"/>
        <v>#NAME?</v>
      </c>
      <c r="O946" s="27" t="e">
        <f t="shared" ca="1" si="88"/>
        <v>#NAME?</v>
      </c>
      <c r="P946" s="27" t="e">
        <f ca="1">'01_INPUTS'!B9*N946-K946</f>
        <v>#NAME?</v>
      </c>
      <c r="Q946" s="1" t="e">
        <f t="shared" ca="1" si="89"/>
        <v>#NAME?</v>
      </c>
      <c r="R946" s="28">
        <v>0.47862025536596775</v>
      </c>
      <c r="S946" s="28">
        <v>0.37358027789741755</v>
      </c>
      <c r="T946" s="28">
        <v>0.57316301390528679</v>
      </c>
      <c r="U946" s="28">
        <v>0.96645586914382875</v>
      </c>
      <c r="V946" s="28">
        <v>0.70393763412721455</v>
      </c>
      <c r="W946" s="28">
        <v>0.56024515558965504</v>
      </c>
      <c r="X946" s="28">
        <v>0.56624329299665987</v>
      </c>
    </row>
    <row r="947" spans="1:24" ht="13.9">
      <c r="A947" s="1">
        <v>946</v>
      </c>
      <c r="B947" s="23" t="e">
        <f ca="1">_xludf.BETA.INV(R947,'04_PSA_INPUTS'!H5,'04_PSA_INPUTS'!I5)</f>
        <v>#NAME?</v>
      </c>
      <c r="C947" s="23" t="e">
        <f ca="1">_xludf.BETA.INV(S947,'04_PSA_INPUTS'!H6,'04_PSA_INPUTS'!I6)</f>
        <v>#NAME?</v>
      </c>
      <c r="D947" s="27" t="e">
        <f ca="1">_xludf.GAMMA.INV(T947,'04_PSA_INPUTS'!H7,'04_PSA_INPUTS'!I7)</f>
        <v>#NAME?</v>
      </c>
      <c r="E947" s="27" t="e">
        <f ca="1">_xludf.GAMMA.INV(U947,'04_PSA_INPUTS'!H8,'04_PSA_INPUTS'!I8)</f>
        <v>#NAME?</v>
      </c>
      <c r="F947" s="27" t="e">
        <f ca="1">_xludf.GAMMA.INV(V947,'04_PSA_INPUTS'!H9,'04_PSA_INPUTS'!I9)</f>
        <v>#NAME?</v>
      </c>
      <c r="G947" s="23" t="e">
        <f ca="1">_xludf.BETA.INV(W947,'04_PSA_INPUTS'!H10,'04_PSA_INPUTS'!I10)</f>
        <v>#NAME?</v>
      </c>
      <c r="H947" s="23" t="e">
        <f ca="1">_xludf.BETA.INV(X947,'04_PSA_INPUTS'!H11,'04_PSA_INPUTS'!I11)</f>
        <v>#NAME?</v>
      </c>
      <c r="I947" s="27" t="e">
        <f ca="1">D947+B947*F947+'01_INPUTS'!B20</f>
        <v>#NAME?</v>
      </c>
      <c r="J947" s="27" t="e">
        <f ca="1">E947+C947*F947+'01_INPUTS'!B21</f>
        <v>#NAME?</v>
      </c>
      <c r="K947" s="27" t="e">
        <f t="shared" ca="1" si="84"/>
        <v>#NAME?</v>
      </c>
      <c r="L947" s="23" t="e">
        <f t="shared" ca="1" si="85"/>
        <v>#NAME?</v>
      </c>
      <c r="M947" s="23" t="e">
        <f t="shared" ca="1" si="86"/>
        <v>#NAME?</v>
      </c>
      <c r="N947" s="23" t="e">
        <f t="shared" ca="1" si="87"/>
        <v>#NAME?</v>
      </c>
      <c r="O947" s="27" t="e">
        <f t="shared" ca="1" si="88"/>
        <v>#NAME?</v>
      </c>
      <c r="P947" s="27" t="e">
        <f ca="1">'01_INPUTS'!B9*N947-K947</f>
        <v>#NAME?</v>
      </c>
      <c r="Q947" s="1" t="e">
        <f t="shared" ca="1" si="89"/>
        <v>#NAME?</v>
      </c>
      <c r="R947" s="28">
        <v>0.54570691776461899</v>
      </c>
      <c r="S947" s="28">
        <v>0.80850551044568419</v>
      </c>
      <c r="T947" s="28">
        <v>0.16092264815233648</v>
      </c>
      <c r="U947" s="28">
        <v>0.62480543879792094</v>
      </c>
      <c r="V947" s="28">
        <v>0.43678496358916163</v>
      </c>
      <c r="W947" s="28">
        <v>0.9033577274531126</v>
      </c>
      <c r="X947" s="28">
        <v>0.74021516228094697</v>
      </c>
    </row>
    <row r="948" spans="1:24" ht="13.9">
      <c r="A948" s="1">
        <v>947</v>
      </c>
      <c r="B948" s="23" t="e">
        <f ca="1">_xludf.BETA.INV(R948,'04_PSA_INPUTS'!H5,'04_PSA_INPUTS'!I5)</f>
        <v>#NAME?</v>
      </c>
      <c r="C948" s="23" t="e">
        <f ca="1">_xludf.BETA.INV(S948,'04_PSA_INPUTS'!H6,'04_PSA_INPUTS'!I6)</f>
        <v>#NAME?</v>
      </c>
      <c r="D948" s="27" t="e">
        <f ca="1">_xludf.GAMMA.INV(T948,'04_PSA_INPUTS'!H7,'04_PSA_INPUTS'!I7)</f>
        <v>#NAME?</v>
      </c>
      <c r="E948" s="27" t="e">
        <f ca="1">_xludf.GAMMA.INV(U948,'04_PSA_INPUTS'!H8,'04_PSA_INPUTS'!I8)</f>
        <v>#NAME?</v>
      </c>
      <c r="F948" s="27" t="e">
        <f ca="1">_xludf.GAMMA.INV(V948,'04_PSA_INPUTS'!H9,'04_PSA_INPUTS'!I9)</f>
        <v>#NAME?</v>
      </c>
      <c r="G948" s="23" t="e">
        <f ca="1">_xludf.BETA.INV(W948,'04_PSA_INPUTS'!H10,'04_PSA_INPUTS'!I10)</f>
        <v>#NAME?</v>
      </c>
      <c r="H948" s="23" t="e">
        <f ca="1">_xludf.BETA.INV(X948,'04_PSA_INPUTS'!H11,'04_PSA_INPUTS'!I11)</f>
        <v>#NAME?</v>
      </c>
      <c r="I948" s="27" t="e">
        <f ca="1">D948+B948*F948+'01_INPUTS'!B20</f>
        <v>#NAME?</v>
      </c>
      <c r="J948" s="27" t="e">
        <f ca="1">E948+C948*F948+'01_INPUTS'!B21</f>
        <v>#NAME?</v>
      </c>
      <c r="K948" s="27" t="e">
        <f t="shared" ca="1" si="84"/>
        <v>#NAME?</v>
      </c>
      <c r="L948" s="23" t="e">
        <f t="shared" ca="1" si="85"/>
        <v>#NAME?</v>
      </c>
      <c r="M948" s="23" t="e">
        <f t="shared" ca="1" si="86"/>
        <v>#NAME?</v>
      </c>
      <c r="N948" s="23" t="e">
        <f t="shared" ca="1" si="87"/>
        <v>#NAME?</v>
      </c>
      <c r="O948" s="27" t="e">
        <f t="shared" ca="1" si="88"/>
        <v>#NAME?</v>
      </c>
      <c r="P948" s="27" t="e">
        <f ca="1">'01_INPUTS'!B9*N948-K948</f>
        <v>#NAME?</v>
      </c>
      <c r="Q948" s="1" t="e">
        <f t="shared" ca="1" si="89"/>
        <v>#NAME?</v>
      </c>
      <c r="R948" s="28">
        <v>0.12468883441761136</v>
      </c>
      <c r="S948" s="28">
        <v>0.81219481839798391</v>
      </c>
      <c r="T948" s="28">
        <v>0.37971702800132334</v>
      </c>
      <c r="U948" s="28">
        <v>0.74876717664301395</v>
      </c>
      <c r="V948" s="28">
        <v>0.35002723825164139</v>
      </c>
      <c r="W948" s="28">
        <v>0.3300007760990411</v>
      </c>
      <c r="X948" s="28">
        <v>0.42419881583191454</v>
      </c>
    </row>
    <row r="949" spans="1:24" ht="13.9">
      <c r="A949" s="1">
        <v>948</v>
      </c>
      <c r="B949" s="23" t="e">
        <f ca="1">_xludf.BETA.INV(R949,'04_PSA_INPUTS'!H5,'04_PSA_INPUTS'!I5)</f>
        <v>#NAME?</v>
      </c>
      <c r="C949" s="23" t="e">
        <f ca="1">_xludf.BETA.INV(S949,'04_PSA_INPUTS'!H6,'04_PSA_INPUTS'!I6)</f>
        <v>#NAME?</v>
      </c>
      <c r="D949" s="27" t="e">
        <f ca="1">_xludf.GAMMA.INV(T949,'04_PSA_INPUTS'!H7,'04_PSA_INPUTS'!I7)</f>
        <v>#NAME?</v>
      </c>
      <c r="E949" s="27" t="e">
        <f ca="1">_xludf.GAMMA.INV(U949,'04_PSA_INPUTS'!H8,'04_PSA_INPUTS'!I8)</f>
        <v>#NAME?</v>
      </c>
      <c r="F949" s="27" t="e">
        <f ca="1">_xludf.GAMMA.INV(V949,'04_PSA_INPUTS'!H9,'04_PSA_INPUTS'!I9)</f>
        <v>#NAME?</v>
      </c>
      <c r="G949" s="23" t="e">
        <f ca="1">_xludf.BETA.INV(W949,'04_PSA_INPUTS'!H10,'04_PSA_INPUTS'!I10)</f>
        <v>#NAME?</v>
      </c>
      <c r="H949" s="23" t="e">
        <f ca="1">_xludf.BETA.INV(X949,'04_PSA_INPUTS'!H11,'04_PSA_INPUTS'!I11)</f>
        <v>#NAME?</v>
      </c>
      <c r="I949" s="27" t="e">
        <f ca="1">D949+B949*F949+'01_INPUTS'!B20</f>
        <v>#NAME?</v>
      </c>
      <c r="J949" s="27" t="e">
        <f ca="1">E949+C949*F949+'01_INPUTS'!B21</f>
        <v>#NAME?</v>
      </c>
      <c r="K949" s="27" t="e">
        <f t="shared" ca="1" si="84"/>
        <v>#NAME?</v>
      </c>
      <c r="L949" s="23" t="e">
        <f t="shared" ca="1" si="85"/>
        <v>#NAME?</v>
      </c>
      <c r="M949" s="23" t="e">
        <f t="shared" ca="1" si="86"/>
        <v>#NAME?</v>
      </c>
      <c r="N949" s="23" t="e">
        <f t="shared" ca="1" si="87"/>
        <v>#NAME?</v>
      </c>
      <c r="O949" s="27" t="e">
        <f t="shared" ca="1" si="88"/>
        <v>#NAME?</v>
      </c>
      <c r="P949" s="27" t="e">
        <f ca="1">'01_INPUTS'!B9*N949-K949</f>
        <v>#NAME?</v>
      </c>
      <c r="Q949" s="1" t="e">
        <f t="shared" ca="1" si="89"/>
        <v>#NAME?</v>
      </c>
      <c r="R949" s="28">
        <v>0.79478526138700545</v>
      </c>
      <c r="S949" s="28">
        <v>0.60869389027357101</v>
      </c>
      <c r="T949" s="28">
        <v>0.80581523384898901</v>
      </c>
      <c r="U949" s="28">
        <v>0.95575425354763865</v>
      </c>
      <c r="V949" s="28">
        <v>0.58602407621219754</v>
      </c>
      <c r="W949" s="28">
        <v>0.38880054652690887</v>
      </c>
      <c r="X949" s="28">
        <v>0.15181762352585793</v>
      </c>
    </row>
    <row r="950" spans="1:24" ht="13.9">
      <c r="A950" s="1">
        <v>949</v>
      </c>
      <c r="B950" s="23" t="e">
        <f ca="1">_xludf.BETA.INV(R950,'04_PSA_INPUTS'!H5,'04_PSA_INPUTS'!I5)</f>
        <v>#NAME?</v>
      </c>
      <c r="C950" s="23" t="e">
        <f ca="1">_xludf.BETA.INV(S950,'04_PSA_INPUTS'!H6,'04_PSA_INPUTS'!I6)</f>
        <v>#NAME?</v>
      </c>
      <c r="D950" s="27" t="e">
        <f ca="1">_xludf.GAMMA.INV(T950,'04_PSA_INPUTS'!H7,'04_PSA_INPUTS'!I7)</f>
        <v>#NAME?</v>
      </c>
      <c r="E950" s="27" t="e">
        <f ca="1">_xludf.GAMMA.INV(U950,'04_PSA_INPUTS'!H8,'04_PSA_INPUTS'!I8)</f>
        <v>#NAME?</v>
      </c>
      <c r="F950" s="27" t="e">
        <f ca="1">_xludf.GAMMA.INV(V950,'04_PSA_INPUTS'!H9,'04_PSA_INPUTS'!I9)</f>
        <v>#NAME?</v>
      </c>
      <c r="G950" s="23" t="e">
        <f ca="1">_xludf.BETA.INV(W950,'04_PSA_INPUTS'!H10,'04_PSA_INPUTS'!I10)</f>
        <v>#NAME?</v>
      </c>
      <c r="H950" s="23" t="e">
        <f ca="1">_xludf.BETA.INV(X950,'04_PSA_INPUTS'!H11,'04_PSA_INPUTS'!I11)</f>
        <v>#NAME?</v>
      </c>
      <c r="I950" s="27" t="e">
        <f ca="1">D950+B950*F950+'01_INPUTS'!B20</f>
        <v>#NAME?</v>
      </c>
      <c r="J950" s="27" t="e">
        <f ca="1">E950+C950*F950+'01_INPUTS'!B21</f>
        <v>#NAME?</v>
      </c>
      <c r="K950" s="27" t="e">
        <f t="shared" ca="1" si="84"/>
        <v>#NAME?</v>
      </c>
      <c r="L950" s="23" t="e">
        <f t="shared" ca="1" si="85"/>
        <v>#NAME?</v>
      </c>
      <c r="M950" s="23" t="e">
        <f t="shared" ca="1" si="86"/>
        <v>#NAME?</v>
      </c>
      <c r="N950" s="23" t="e">
        <f t="shared" ca="1" si="87"/>
        <v>#NAME?</v>
      </c>
      <c r="O950" s="27" t="e">
        <f t="shared" ca="1" si="88"/>
        <v>#NAME?</v>
      </c>
      <c r="P950" s="27" t="e">
        <f ca="1">'01_INPUTS'!B9*N950-K950</f>
        <v>#NAME?</v>
      </c>
      <c r="Q950" s="1" t="e">
        <f t="shared" ca="1" si="89"/>
        <v>#NAME?</v>
      </c>
      <c r="R950" s="28">
        <v>0.33486061217263341</v>
      </c>
      <c r="S950" s="28">
        <v>0.81619867496192455</v>
      </c>
      <c r="T950" s="28">
        <v>0.57095450581982732</v>
      </c>
      <c r="U950" s="28">
        <v>0.82665100484155118</v>
      </c>
      <c r="V950" s="28">
        <v>0.81683251215144992</v>
      </c>
      <c r="W950" s="28">
        <v>0.626669030636549</v>
      </c>
      <c r="X950" s="28">
        <v>0.35485788527876139</v>
      </c>
    </row>
    <row r="951" spans="1:24" ht="13.9">
      <c r="A951" s="1">
        <v>950</v>
      </c>
      <c r="B951" s="23" t="e">
        <f ca="1">_xludf.BETA.INV(R951,'04_PSA_INPUTS'!H5,'04_PSA_INPUTS'!I5)</f>
        <v>#NAME?</v>
      </c>
      <c r="C951" s="23" t="e">
        <f ca="1">_xludf.BETA.INV(S951,'04_PSA_INPUTS'!H6,'04_PSA_INPUTS'!I6)</f>
        <v>#NAME?</v>
      </c>
      <c r="D951" s="27" t="e">
        <f ca="1">_xludf.GAMMA.INV(T951,'04_PSA_INPUTS'!H7,'04_PSA_INPUTS'!I7)</f>
        <v>#NAME?</v>
      </c>
      <c r="E951" s="27" t="e">
        <f ca="1">_xludf.GAMMA.INV(U951,'04_PSA_INPUTS'!H8,'04_PSA_INPUTS'!I8)</f>
        <v>#NAME?</v>
      </c>
      <c r="F951" s="27" t="e">
        <f ca="1">_xludf.GAMMA.INV(V951,'04_PSA_INPUTS'!H9,'04_PSA_INPUTS'!I9)</f>
        <v>#NAME?</v>
      </c>
      <c r="G951" s="23" t="e">
        <f ca="1">_xludf.BETA.INV(W951,'04_PSA_INPUTS'!H10,'04_PSA_INPUTS'!I10)</f>
        <v>#NAME?</v>
      </c>
      <c r="H951" s="23" t="e">
        <f ca="1">_xludf.BETA.INV(X951,'04_PSA_INPUTS'!H11,'04_PSA_INPUTS'!I11)</f>
        <v>#NAME?</v>
      </c>
      <c r="I951" s="27" t="e">
        <f ca="1">D951+B951*F951+'01_INPUTS'!B20</f>
        <v>#NAME?</v>
      </c>
      <c r="J951" s="27" t="e">
        <f ca="1">E951+C951*F951+'01_INPUTS'!B21</f>
        <v>#NAME?</v>
      </c>
      <c r="K951" s="27" t="e">
        <f t="shared" ca="1" si="84"/>
        <v>#NAME?</v>
      </c>
      <c r="L951" s="23" t="e">
        <f t="shared" ca="1" si="85"/>
        <v>#NAME?</v>
      </c>
      <c r="M951" s="23" t="e">
        <f t="shared" ca="1" si="86"/>
        <v>#NAME?</v>
      </c>
      <c r="N951" s="23" t="e">
        <f t="shared" ca="1" si="87"/>
        <v>#NAME?</v>
      </c>
      <c r="O951" s="27" t="e">
        <f t="shared" ca="1" si="88"/>
        <v>#NAME?</v>
      </c>
      <c r="P951" s="27" t="e">
        <f ca="1">'01_INPUTS'!B9*N951-K951</f>
        <v>#NAME?</v>
      </c>
      <c r="Q951" s="1" t="e">
        <f t="shared" ca="1" si="89"/>
        <v>#NAME?</v>
      </c>
      <c r="R951" s="28">
        <v>0.38404838228598237</v>
      </c>
      <c r="S951" s="28">
        <v>0.93387338635511696</v>
      </c>
      <c r="T951" s="28">
        <v>0.29188192752189934</v>
      </c>
      <c r="U951" s="28">
        <v>0.27459837566129863</v>
      </c>
      <c r="V951" s="28">
        <v>0.83714253269135952</v>
      </c>
      <c r="W951" s="28">
        <v>9.9404961802065372E-2</v>
      </c>
      <c r="X951" s="28">
        <v>0.45096845459192991</v>
      </c>
    </row>
    <row r="952" spans="1:24" ht="13.9">
      <c r="A952" s="1">
        <v>951</v>
      </c>
      <c r="B952" s="23" t="e">
        <f ca="1">_xludf.BETA.INV(R952,'04_PSA_INPUTS'!H5,'04_PSA_INPUTS'!I5)</f>
        <v>#NAME?</v>
      </c>
      <c r="C952" s="23" t="e">
        <f ca="1">_xludf.BETA.INV(S952,'04_PSA_INPUTS'!H6,'04_PSA_INPUTS'!I6)</f>
        <v>#NAME?</v>
      </c>
      <c r="D952" s="27" t="e">
        <f ca="1">_xludf.GAMMA.INV(T952,'04_PSA_INPUTS'!H7,'04_PSA_INPUTS'!I7)</f>
        <v>#NAME?</v>
      </c>
      <c r="E952" s="27" t="e">
        <f ca="1">_xludf.GAMMA.INV(U952,'04_PSA_INPUTS'!H8,'04_PSA_INPUTS'!I8)</f>
        <v>#NAME?</v>
      </c>
      <c r="F952" s="27" t="e">
        <f ca="1">_xludf.GAMMA.INV(V952,'04_PSA_INPUTS'!H9,'04_PSA_INPUTS'!I9)</f>
        <v>#NAME?</v>
      </c>
      <c r="G952" s="23" t="e">
        <f ca="1">_xludf.BETA.INV(W952,'04_PSA_INPUTS'!H10,'04_PSA_INPUTS'!I10)</f>
        <v>#NAME?</v>
      </c>
      <c r="H952" s="23" t="e">
        <f ca="1">_xludf.BETA.INV(X952,'04_PSA_INPUTS'!H11,'04_PSA_INPUTS'!I11)</f>
        <v>#NAME?</v>
      </c>
      <c r="I952" s="27" t="e">
        <f ca="1">D952+B952*F952+'01_INPUTS'!B20</f>
        <v>#NAME?</v>
      </c>
      <c r="J952" s="27" t="e">
        <f ca="1">E952+C952*F952+'01_INPUTS'!B21</f>
        <v>#NAME?</v>
      </c>
      <c r="K952" s="27" t="e">
        <f t="shared" ca="1" si="84"/>
        <v>#NAME?</v>
      </c>
      <c r="L952" s="23" t="e">
        <f t="shared" ca="1" si="85"/>
        <v>#NAME?</v>
      </c>
      <c r="M952" s="23" t="e">
        <f t="shared" ca="1" si="86"/>
        <v>#NAME?</v>
      </c>
      <c r="N952" s="23" t="e">
        <f t="shared" ca="1" si="87"/>
        <v>#NAME?</v>
      </c>
      <c r="O952" s="27" t="e">
        <f t="shared" ca="1" si="88"/>
        <v>#NAME?</v>
      </c>
      <c r="P952" s="27" t="e">
        <f ca="1">'01_INPUTS'!B9*N952-K952</f>
        <v>#NAME?</v>
      </c>
      <c r="Q952" s="1" t="e">
        <f t="shared" ca="1" si="89"/>
        <v>#NAME?</v>
      </c>
      <c r="R952" s="28">
        <v>0.63760749413631856</v>
      </c>
      <c r="S952" s="28">
        <v>0.59028075868263841</v>
      </c>
      <c r="T952" s="28">
        <v>0.94391341251321137</v>
      </c>
      <c r="U952" s="28">
        <v>0.94284756947308779</v>
      </c>
      <c r="V952" s="28">
        <v>0.86925200931727886</v>
      </c>
      <c r="W952" s="28">
        <v>0.28360585006885231</v>
      </c>
      <c r="X952" s="28">
        <v>0.89843082218430936</v>
      </c>
    </row>
    <row r="953" spans="1:24" ht="13.9">
      <c r="A953" s="1">
        <v>952</v>
      </c>
      <c r="B953" s="23" t="e">
        <f ca="1">_xludf.BETA.INV(R953,'04_PSA_INPUTS'!H5,'04_PSA_INPUTS'!I5)</f>
        <v>#NAME?</v>
      </c>
      <c r="C953" s="23" t="e">
        <f ca="1">_xludf.BETA.INV(S953,'04_PSA_INPUTS'!H6,'04_PSA_INPUTS'!I6)</f>
        <v>#NAME?</v>
      </c>
      <c r="D953" s="27" t="e">
        <f ca="1">_xludf.GAMMA.INV(T953,'04_PSA_INPUTS'!H7,'04_PSA_INPUTS'!I7)</f>
        <v>#NAME?</v>
      </c>
      <c r="E953" s="27" t="e">
        <f ca="1">_xludf.GAMMA.INV(U953,'04_PSA_INPUTS'!H8,'04_PSA_INPUTS'!I8)</f>
        <v>#NAME?</v>
      </c>
      <c r="F953" s="27" t="e">
        <f ca="1">_xludf.GAMMA.INV(V953,'04_PSA_INPUTS'!H9,'04_PSA_INPUTS'!I9)</f>
        <v>#NAME?</v>
      </c>
      <c r="G953" s="23" t="e">
        <f ca="1">_xludf.BETA.INV(W953,'04_PSA_INPUTS'!H10,'04_PSA_INPUTS'!I10)</f>
        <v>#NAME?</v>
      </c>
      <c r="H953" s="23" t="e">
        <f ca="1">_xludf.BETA.INV(X953,'04_PSA_INPUTS'!H11,'04_PSA_INPUTS'!I11)</f>
        <v>#NAME?</v>
      </c>
      <c r="I953" s="27" t="e">
        <f ca="1">D953+B953*F953+'01_INPUTS'!B20</f>
        <v>#NAME?</v>
      </c>
      <c r="J953" s="27" t="e">
        <f ca="1">E953+C953*F953+'01_INPUTS'!B21</f>
        <v>#NAME?</v>
      </c>
      <c r="K953" s="27" t="e">
        <f t="shared" ca="1" si="84"/>
        <v>#NAME?</v>
      </c>
      <c r="L953" s="23" t="e">
        <f t="shared" ca="1" si="85"/>
        <v>#NAME?</v>
      </c>
      <c r="M953" s="23" t="e">
        <f t="shared" ca="1" si="86"/>
        <v>#NAME?</v>
      </c>
      <c r="N953" s="23" t="e">
        <f t="shared" ca="1" si="87"/>
        <v>#NAME?</v>
      </c>
      <c r="O953" s="27" t="e">
        <f t="shared" ca="1" si="88"/>
        <v>#NAME?</v>
      </c>
      <c r="P953" s="27" t="e">
        <f ca="1">'01_INPUTS'!B9*N953-K953</f>
        <v>#NAME?</v>
      </c>
      <c r="Q953" s="1" t="e">
        <f t="shared" ca="1" si="89"/>
        <v>#NAME?</v>
      </c>
      <c r="R953" s="28">
        <v>0.6664993935264647</v>
      </c>
      <c r="S953" s="28">
        <v>0.19920814107172191</v>
      </c>
      <c r="T953" s="28">
        <v>0.67229345510713756</v>
      </c>
      <c r="U953" s="28">
        <v>0.20188381057232618</v>
      </c>
      <c r="V953" s="28">
        <v>0.51651718281209469</v>
      </c>
      <c r="W953" s="28">
        <v>0.69789466424845159</v>
      </c>
      <c r="X953" s="28">
        <v>0.45286850119009614</v>
      </c>
    </row>
    <row r="954" spans="1:24" ht="13.9">
      <c r="A954" s="1">
        <v>953</v>
      </c>
      <c r="B954" s="23" t="e">
        <f ca="1">_xludf.BETA.INV(R954,'04_PSA_INPUTS'!H5,'04_PSA_INPUTS'!I5)</f>
        <v>#NAME?</v>
      </c>
      <c r="C954" s="23" t="e">
        <f ca="1">_xludf.BETA.INV(S954,'04_PSA_INPUTS'!H6,'04_PSA_INPUTS'!I6)</f>
        <v>#NAME?</v>
      </c>
      <c r="D954" s="27" t="e">
        <f ca="1">_xludf.GAMMA.INV(T954,'04_PSA_INPUTS'!H7,'04_PSA_INPUTS'!I7)</f>
        <v>#NAME?</v>
      </c>
      <c r="E954" s="27" t="e">
        <f ca="1">_xludf.GAMMA.INV(U954,'04_PSA_INPUTS'!H8,'04_PSA_INPUTS'!I8)</f>
        <v>#NAME?</v>
      </c>
      <c r="F954" s="27" t="e">
        <f ca="1">_xludf.GAMMA.INV(V954,'04_PSA_INPUTS'!H9,'04_PSA_INPUTS'!I9)</f>
        <v>#NAME?</v>
      </c>
      <c r="G954" s="23" t="e">
        <f ca="1">_xludf.BETA.INV(W954,'04_PSA_INPUTS'!H10,'04_PSA_INPUTS'!I10)</f>
        <v>#NAME?</v>
      </c>
      <c r="H954" s="23" t="e">
        <f ca="1">_xludf.BETA.INV(X954,'04_PSA_INPUTS'!H11,'04_PSA_INPUTS'!I11)</f>
        <v>#NAME?</v>
      </c>
      <c r="I954" s="27" t="e">
        <f ca="1">D954+B954*F954+'01_INPUTS'!B20</f>
        <v>#NAME?</v>
      </c>
      <c r="J954" s="27" t="e">
        <f ca="1">E954+C954*F954+'01_INPUTS'!B21</f>
        <v>#NAME?</v>
      </c>
      <c r="K954" s="27" t="e">
        <f t="shared" ca="1" si="84"/>
        <v>#NAME?</v>
      </c>
      <c r="L954" s="23" t="e">
        <f t="shared" ca="1" si="85"/>
        <v>#NAME?</v>
      </c>
      <c r="M954" s="23" t="e">
        <f t="shared" ca="1" si="86"/>
        <v>#NAME?</v>
      </c>
      <c r="N954" s="23" t="e">
        <f t="shared" ca="1" si="87"/>
        <v>#NAME?</v>
      </c>
      <c r="O954" s="27" t="e">
        <f t="shared" ca="1" si="88"/>
        <v>#NAME?</v>
      </c>
      <c r="P954" s="27" t="e">
        <f ca="1">'01_INPUTS'!B9*N954-K954</f>
        <v>#NAME?</v>
      </c>
      <c r="Q954" s="1" t="e">
        <f t="shared" ca="1" si="89"/>
        <v>#NAME?</v>
      </c>
      <c r="R954" s="28">
        <v>0.86083353357389569</v>
      </c>
      <c r="S954" s="28">
        <v>0.74797101784497499</v>
      </c>
      <c r="T954" s="28">
        <v>0.49525744724087417</v>
      </c>
      <c r="U954" s="28">
        <v>0.37516404711641371</v>
      </c>
      <c r="V954" s="28">
        <v>0.70889180758967996</v>
      </c>
      <c r="W954" s="28">
        <v>0.78318672371096909</v>
      </c>
      <c r="X954" s="28">
        <v>0.21396131394430995</v>
      </c>
    </row>
    <row r="955" spans="1:24" ht="13.9">
      <c r="A955" s="1">
        <v>954</v>
      </c>
      <c r="B955" s="23" t="e">
        <f ca="1">_xludf.BETA.INV(R955,'04_PSA_INPUTS'!H5,'04_PSA_INPUTS'!I5)</f>
        <v>#NAME?</v>
      </c>
      <c r="C955" s="23" t="e">
        <f ca="1">_xludf.BETA.INV(S955,'04_PSA_INPUTS'!H6,'04_PSA_INPUTS'!I6)</f>
        <v>#NAME?</v>
      </c>
      <c r="D955" s="27" t="e">
        <f ca="1">_xludf.GAMMA.INV(T955,'04_PSA_INPUTS'!H7,'04_PSA_INPUTS'!I7)</f>
        <v>#NAME?</v>
      </c>
      <c r="E955" s="27" t="e">
        <f ca="1">_xludf.GAMMA.INV(U955,'04_PSA_INPUTS'!H8,'04_PSA_INPUTS'!I8)</f>
        <v>#NAME?</v>
      </c>
      <c r="F955" s="27" t="e">
        <f ca="1">_xludf.GAMMA.INV(V955,'04_PSA_INPUTS'!H9,'04_PSA_INPUTS'!I9)</f>
        <v>#NAME?</v>
      </c>
      <c r="G955" s="23" t="e">
        <f ca="1">_xludf.BETA.INV(W955,'04_PSA_INPUTS'!H10,'04_PSA_INPUTS'!I10)</f>
        <v>#NAME?</v>
      </c>
      <c r="H955" s="23" t="e">
        <f ca="1">_xludf.BETA.INV(X955,'04_PSA_INPUTS'!H11,'04_PSA_INPUTS'!I11)</f>
        <v>#NAME?</v>
      </c>
      <c r="I955" s="27" t="e">
        <f ca="1">D955+B955*F955+'01_INPUTS'!B20</f>
        <v>#NAME?</v>
      </c>
      <c r="J955" s="27" t="e">
        <f ca="1">E955+C955*F955+'01_INPUTS'!B21</f>
        <v>#NAME?</v>
      </c>
      <c r="K955" s="27" t="e">
        <f t="shared" ca="1" si="84"/>
        <v>#NAME?</v>
      </c>
      <c r="L955" s="23" t="e">
        <f t="shared" ca="1" si="85"/>
        <v>#NAME?</v>
      </c>
      <c r="M955" s="23" t="e">
        <f t="shared" ca="1" si="86"/>
        <v>#NAME?</v>
      </c>
      <c r="N955" s="23" t="e">
        <f t="shared" ca="1" si="87"/>
        <v>#NAME?</v>
      </c>
      <c r="O955" s="27" t="e">
        <f t="shared" ca="1" si="88"/>
        <v>#NAME?</v>
      </c>
      <c r="P955" s="27" t="e">
        <f ca="1">'01_INPUTS'!B9*N955-K955</f>
        <v>#NAME?</v>
      </c>
      <c r="Q955" s="1" t="e">
        <f t="shared" ca="1" si="89"/>
        <v>#NAME?</v>
      </c>
      <c r="R955" s="28">
        <v>0.88393924618139863</v>
      </c>
      <c r="S955" s="28">
        <v>0.44593178573995829</v>
      </c>
      <c r="T955" s="28">
        <v>0.12192984786815941</v>
      </c>
      <c r="U955" s="28">
        <v>0.55501669342629611</v>
      </c>
      <c r="V955" s="28">
        <v>9.2928547877818346E-2</v>
      </c>
      <c r="W955" s="28">
        <v>0.82071925164200366</v>
      </c>
      <c r="X955" s="28">
        <v>0.78452120767906308</v>
      </c>
    </row>
    <row r="956" spans="1:24" ht="13.9">
      <c r="A956" s="1">
        <v>955</v>
      </c>
      <c r="B956" s="23" t="e">
        <f ca="1">_xludf.BETA.INV(R956,'04_PSA_INPUTS'!H5,'04_PSA_INPUTS'!I5)</f>
        <v>#NAME?</v>
      </c>
      <c r="C956" s="23" t="e">
        <f ca="1">_xludf.BETA.INV(S956,'04_PSA_INPUTS'!H6,'04_PSA_INPUTS'!I6)</f>
        <v>#NAME?</v>
      </c>
      <c r="D956" s="27" t="e">
        <f ca="1">_xludf.GAMMA.INV(T956,'04_PSA_INPUTS'!H7,'04_PSA_INPUTS'!I7)</f>
        <v>#NAME?</v>
      </c>
      <c r="E956" s="27" t="e">
        <f ca="1">_xludf.GAMMA.INV(U956,'04_PSA_INPUTS'!H8,'04_PSA_INPUTS'!I8)</f>
        <v>#NAME?</v>
      </c>
      <c r="F956" s="27" t="e">
        <f ca="1">_xludf.GAMMA.INV(V956,'04_PSA_INPUTS'!H9,'04_PSA_INPUTS'!I9)</f>
        <v>#NAME?</v>
      </c>
      <c r="G956" s="23" t="e">
        <f ca="1">_xludf.BETA.INV(W956,'04_PSA_INPUTS'!H10,'04_PSA_INPUTS'!I10)</f>
        <v>#NAME?</v>
      </c>
      <c r="H956" s="23" t="e">
        <f ca="1">_xludf.BETA.INV(X956,'04_PSA_INPUTS'!H11,'04_PSA_INPUTS'!I11)</f>
        <v>#NAME?</v>
      </c>
      <c r="I956" s="27" t="e">
        <f ca="1">D956+B956*F956+'01_INPUTS'!B20</f>
        <v>#NAME?</v>
      </c>
      <c r="J956" s="27" t="e">
        <f ca="1">E956+C956*F956+'01_INPUTS'!B21</f>
        <v>#NAME?</v>
      </c>
      <c r="K956" s="27" t="e">
        <f t="shared" ca="1" si="84"/>
        <v>#NAME?</v>
      </c>
      <c r="L956" s="23" t="e">
        <f t="shared" ca="1" si="85"/>
        <v>#NAME?</v>
      </c>
      <c r="M956" s="23" t="e">
        <f t="shared" ca="1" si="86"/>
        <v>#NAME?</v>
      </c>
      <c r="N956" s="23" t="e">
        <f t="shared" ca="1" si="87"/>
        <v>#NAME?</v>
      </c>
      <c r="O956" s="27" t="e">
        <f t="shared" ca="1" si="88"/>
        <v>#NAME?</v>
      </c>
      <c r="P956" s="27" t="e">
        <f ca="1">'01_INPUTS'!B9*N956-K956</f>
        <v>#NAME?</v>
      </c>
      <c r="Q956" s="1" t="e">
        <f t="shared" ca="1" si="89"/>
        <v>#NAME?</v>
      </c>
      <c r="R956" s="28">
        <v>0.98443402210250497</v>
      </c>
      <c r="S956" s="28">
        <v>0.47484481823630631</v>
      </c>
      <c r="T956" s="28">
        <v>0.54269014904275537</v>
      </c>
      <c r="U956" s="28">
        <v>0.98727579321712255</v>
      </c>
      <c r="V956" s="28">
        <v>0.33204861078411341</v>
      </c>
      <c r="W956" s="28">
        <v>0.50550057017244399</v>
      </c>
      <c r="X956" s="28">
        <v>0.65183787024579942</v>
      </c>
    </row>
    <row r="957" spans="1:24" ht="13.9">
      <c r="A957" s="1">
        <v>956</v>
      </c>
      <c r="B957" s="23" t="e">
        <f ca="1">_xludf.BETA.INV(R957,'04_PSA_INPUTS'!H5,'04_PSA_INPUTS'!I5)</f>
        <v>#NAME?</v>
      </c>
      <c r="C957" s="23" t="e">
        <f ca="1">_xludf.BETA.INV(S957,'04_PSA_INPUTS'!H6,'04_PSA_INPUTS'!I6)</f>
        <v>#NAME?</v>
      </c>
      <c r="D957" s="27" t="e">
        <f ca="1">_xludf.GAMMA.INV(T957,'04_PSA_INPUTS'!H7,'04_PSA_INPUTS'!I7)</f>
        <v>#NAME?</v>
      </c>
      <c r="E957" s="27" t="e">
        <f ca="1">_xludf.GAMMA.INV(U957,'04_PSA_INPUTS'!H8,'04_PSA_INPUTS'!I8)</f>
        <v>#NAME?</v>
      </c>
      <c r="F957" s="27" t="e">
        <f ca="1">_xludf.GAMMA.INV(V957,'04_PSA_INPUTS'!H9,'04_PSA_INPUTS'!I9)</f>
        <v>#NAME?</v>
      </c>
      <c r="G957" s="23" t="e">
        <f ca="1">_xludf.BETA.INV(W957,'04_PSA_INPUTS'!H10,'04_PSA_INPUTS'!I10)</f>
        <v>#NAME?</v>
      </c>
      <c r="H957" s="23" t="e">
        <f ca="1">_xludf.BETA.INV(X957,'04_PSA_INPUTS'!H11,'04_PSA_INPUTS'!I11)</f>
        <v>#NAME?</v>
      </c>
      <c r="I957" s="27" t="e">
        <f ca="1">D957+B957*F957+'01_INPUTS'!B20</f>
        <v>#NAME?</v>
      </c>
      <c r="J957" s="27" t="e">
        <f ca="1">E957+C957*F957+'01_INPUTS'!B21</f>
        <v>#NAME?</v>
      </c>
      <c r="K957" s="27" t="e">
        <f t="shared" ca="1" si="84"/>
        <v>#NAME?</v>
      </c>
      <c r="L957" s="23" t="e">
        <f t="shared" ca="1" si="85"/>
        <v>#NAME?</v>
      </c>
      <c r="M957" s="23" t="e">
        <f t="shared" ca="1" si="86"/>
        <v>#NAME?</v>
      </c>
      <c r="N957" s="23" t="e">
        <f t="shared" ca="1" si="87"/>
        <v>#NAME?</v>
      </c>
      <c r="O957" s="27" t="e">
        <f t="shared" ca="1" si="88"/>
        <v>#NAME?</v>
      </c>
      <c r="P957" s="27" t="e">
        <f ca="1">'01_INPUTS'!B9*N957-K957</f>
        <v>#NAME?</v>
      </c>
      <c r="Q957" s="1" t="e">
        <f t="shared" ca="1" si="89"/>
        <v>#NAME?</v>
      </c>
      <c r="R957" s="28">
        <v>0.98680495168082416</v>
      </c>
      <c r="S957" s="28">
        <v>0.943072046386078</v>
      </c>
      <c r="T957" s="28">
        <v>0.69659692072309554</v>
      </c>
      <c r="U957" s="28">
        <v>0.85001811501570046</v>
      </c>
      <c r="V957" s="28">
        <v>0.36806303565390408</v>
      </c>
      <c r="W957" s="28">
        <v>0.53385981754399836</v>
      </c>
      <c r="X957" s="28">
        <v>0.73223235621117055</v>
      </c>
    </row>
    <row r="958" spans="1:24" ht="13.9">
      <c r="A958" s="1">
        <v>957</v>
      </c>
      <c r="B958" s="23" t="e">
        <f ca="1">_xludf.BETA.INV(R958,'04_PSA_INPUTS'!H5,'04_PSA_INPUTS'!I5)</f>
        <v>#NAME?</v>
      </c>
      <c r="C958" s="23" t="e">
        <f ca="1">_xludf.BETA.INV(S958,'04_PSA_INPUTS'!H6,'04_PSA_INPUTS'!I6)</f>
        <v>#NAME?</v>
      </c>
      <c r="D958" s="27" t="e">
        <f ca="1">_xludf.GAMMA.INV(T958,'04_PSA_INPUTS'!H7,'04_PSA_INPUTS'!I7)</f>
        <v>#NAME?</v>
      </c>
      <c r="E958" s="27" t="e">
        <f ca="1">_xludf.GAMMA.INV(U958,'04_PSA_INPUTS'!H8,'04_PSA_INPUTS'!I8)</f>
        <v>#NAME?</v>
      </c>
      <c r="F958" s="27" t="e">
        <f ca="1">_xludf.GAMMA.INV(V958,'04_PSA_INPUTS'!H9,'04_PSA_INPUTS'!I9)</f>
        <v>#NAME?</v>
      </c>
      <c r="G958" s="23" t="e">
        <f ca="1">_xludf.BETA.INV(W958,'04_PSA_INPUTS'!H10,'04_PSA_INPUTS'!I10)</f>
        <v>#NAME?</v>
      </c>
      <c r="H958" s="23" t="e">
        <f ca="1">_xludf.BETA.INV(X958,'04_PSA_INPUTS'!H11,'04_PSA_INPUTS'!I11)</f>
        <v>#NAME?</v>
      </c>
      <c r="I958" s="27" t="e">
        <f ca="1">D958+B958*F958+'01_INPUTS'!B20</f>
        <v>#NAME?</v>
      </c>
      <c r="J958" s="27" t="e">
        <f ca="1">E958+C958*F958+'01_INPUTS'!B21</f>
        <v>#NAME?</v>
      </c>
      <c r="K958" s="27" t="e">
        <f t="shared" ca="1" si="84"/>
        <v>#NAME?</v>
      </c>
      <c r="L958" s="23" t="e">
        <f t="shared" ca="1" si="85"/>
        <v>#NAME?</v>
      </c>
      <c r="M958" s="23" t="e">
        <f t="shared" ca="1" si="86"/>
        <v>#NAME?</v>
      </c>
      <c r="N958" s="23" t="e">
        <f t="shared" ca="1" si="87"/>
        <v>#NAME?</v>
      </c>
      <c r="O958" s="27" t="e">
        <f t="shared" ca="1" si="88"/>
        <v>#NAME?</v>
      </c>
      <c r="P958" s="27" t="e">
        <f ca="1">'01_INPUTS'!B9*N958-K958</f>
        <v>#NAME?</v>
      </c>
      <c r="Q958" s="1" t="e">
        <f t="shared" ca="1" si="89"/>
        <v>#NAME?</v>
      </c>
      <c r="R958" s="28">
        <v>0.53224434889853001</v>
      </c>
      <c r="S958" s="28">
        <v>5.7758025825023651E-2</v>
      </c>
      <c r="T958" s="28">
        <v>0.30207677278667688</v>
      </c>
      <c r="U958" s="28">
        <v>9.5737825147807598E-2</v>
      </c>
      <c r="V958" s="28">
        <v>6.3747513806447387E-2</v>
      </c>
      <c r="W958" s="28">
        <v>6.0299647506326437E-2</v>
      </c>
      <c r="X958" s="28">
        <v>0.27390887471847236</v>
      </c>
    </row>
    <row r="959" spans="1:24" ht="13.9">
      <c r="A959" s="1">
        <v>958</v>
      </c>
      <c r="B959" s="23" t="e">
        <f ca="1">_xludf.BETA.INV(R959,'04_PSA_INPUTS'!H5,'04_PSA_INPUTS'!I5)</f>
        <v>#NAME?</v>
      </c>
      <c r="C959" s="23" t="e">
        <f ca="1">_xludf.BETA.INV(S959,'04_PSA_INPUTS'!H6,'04_PSA_INPUTS'!I6)</f>
        <v>#NAME?</v>
      </c>
      <c r="D959" s="27" t="e">
        <f ca="1">_xludf.GAMMA.INV(T959,'04_PSA_INPUTS'!H7,'04_PSA_INPUTS'!I7)</f>
        <v>#NAME?</v>
      </c>
      <c r="E959" s="27" t="e">
        <f ca="1">_xludf.GAMMA.INV(U959,'04_PSA_INPUTS'!H8,'04_PSA_INPUTS'!I8)</f>
        <v>#NAME?</v>
      </c>
      <c r="F959" s="27" t="e">
        <f ca="1">_xludf.GAMMA.INV(V959,'04_PSA_INPUTS'!H9,'04_PSA_INPUTS'!I9)</f>
        <v>#NAME?</v>
      </c>
      <c r="G959" s="23" t="e">
        <f ca="1">_xludf.BETA.INV(W959,'04_PSA_INPUTS'!H10,'04_PSA_INPUTS'!I10)</f>
        <v>#NAME?</v>
      </c>
      <c r="H959" s="23" t="e">
        <f ca="1">_xludf.BETA.INV(X959,'04_PSA_INPUTS'!H11,'04_PSA_INPUTS'!I11)</f>
        <v>#NAME?</v>
      </c>
      <c r="I959" s="27" t="e">
        <f ca="1">D959+B959*F959+'01_INPUTS'!B20</f>
        <v>#NAME?</v>
      </c>
      <c r="J959" s="27" t="e">
        <f ca="1">E959+C959*F959+'01_INPUTS'!B21</f>
        <v>#NAME?</v>
      </c>
      <c r="K959" s="27" t="e">
        <f t="shared" ca="1" si="84"/>
        <v>#NAME?</v>
      </c>
      <c r="L959" s="23" t="e">
        <f t="shared" ca="1" si="85"/>
        <v>#NAME?</v>
      </c>
      <c r="M959" s="23" t="e">
        <f t="shared" ca="1" si="86"/>
        <v>#NAME?</v>
      </c>
      <c r="N959" s="23" t="e">
        <f t="shared" ca="1" si="87"/>
        <v>#NAME?</v>
      </c>
      <c r="O959" s="27" t="e">
        <f t="shared" ca="1" si="88"/>
        <v>#NAME?</v>
      </c>
      <c r="P959" s="27" t="e">
        <f ca="1">'01_INPUTS'!B9*N959-K959</f>
        <v>#NAME?</v>
      </c>
      <c r="Q959" s="1" t="e">
        <f t="shared" ca="1" si="89"/>
        <v>#NAME?</v>
      </c>
      <c r="R959" s="28">
        <v>0.68154177325777709</v>
      </c>
      <c r="S959" s="28">
        <v>9.6374887973070145E-2</v>
      </c>
      <c r="T959" s="28">
        <v>0.6968847441021353</v>
      </c>
      <c r="U959" s="28">
        <v>0.22633065236732364</v>
      </c>
      <c r="V959" s="28">
        <v>0.73810064024291933</v>
      </c>
      <c r="W959" s="28">
        <v>0.68809941620565951</v>
      </c>
      <c r="X959" s="28">
        <v>1.7095482908189297E-2</v>
      </c>
    </row>
    <row r="960" spans="1:24" ht="13.9">
      <c r="A960" s="1">
        <v>959</v>
      </c>
      <c r="B960" s="23" t="e">
        <f ca="1">_xludf.BETA.INV(R960,'04_PSA_INPUTS'!H5,'04_PSA_INPUTS'!I5)</f>
        <v>#NAME?</v>
      </c>
      <c r="C960" s="23" t="e">
        <f ca="1">_xludf.BETA.INV(S960,'04_PSA_INPUTS'!H6,'04_PSA_INPUTS'!I6)</f>
        <v>#NAME?</v>
      </c>
      <c r="D960" s="27" t="e">
        <f ca="1">_xludf.GAMMA.INV(T960,'04_PSA_INPUTS'!H7,'04_PSA_INPUTS'!I7)</f>
        <v>#NAME?</v>
      </c>
      <c r="E960" s="27" t="e">
        <f ca="1">_xludf.GAMMA.INV(U960,'04_PSA_INPUTS'!H8,'04_PSA_INPUTS'!I8)</f>
        <v>#NAME?</v>
      </c>
      <c r="F960" s="27" t="e">
        <f ca="1">_xludf.GAMMA.INV(V960,'04_PSA_INPUTS'!H9,'04_PSA_INPUTS'!I9)</f>
        <v>#NAME?</v>
      </c>
      <c r="G960" s="23" t="e">
        <f ca="1">_xludf.BETA.INV(W960,'04_PSA_INPUTS'!H10,'04_PSA_INPUTS'!I10)</f>
        <v>#NAME?</v>
      </c>
      <c r="H960" s="23" t="e">
        <f ca="1">_xludf.BETA.INV(X960,'04_PSA_INPUTS'!H11,'04_PSA_INPUTS'!I11)</f>
        <v>#NAME?</v>
      </c>
      <c r="I960" s="27" t="e">
        <f ca="1">D960+B960*F960+'01_INPUTS'!B20</f>
        <v>#NAME?</v>
      </c>
      <c r="J960" s="27" t="e">
        <f ca="1">E960+C960*F960+'01_INPUTS'!B21</f>
        <v>#NAME?</v>
      </c>
      <c r="K960" s="27" t="e">
        <f t="shared" ca="1" si="84"/>
        <v>#NAME?</v>
      </c>
      <c r="L960" s="23" t="e">
        <f t="shared" ca="1" si="85"/>
        <v>#NAME?</v>
      </c>
      <c r="M960" s="23" t="e">
        <f t="shared" ca="1" si="86"/>
        <v>#NAME?</v>
      </c>
      <c r="N960" s="23" t="e">
        <f t="shared" ca="1" si="87"/>
        <v>#NAME?</v>
      </c>
      <c r="O960" s="27" t="e">
        <f t="shared" ca="1" si="88"/>
        <v>#NAME?</v>
      </c>
      <c r="P960" s="27" t="e">
        <f ca="1">'01_INPUTS'!B9*N960-K960</f>
        <v>#NAME?</v>
      </c>
      <c r="Q960" s="1" t="e">
        <f t="shared" ca="1" si="89"/>
        <v>#NAME?</v>
      </c>
      <c r="R960" s="28">
        <v>0.74501008028164506</v>
      </c>
      <c r="S960" s="28">
        <v>6.4972783904522657E-2</v>
      </c>
      <c r="T960" s="28">
        <v>9.0541141107678413E-2</v>
      </c>
      <c r="U960" s="28">
        <v>0.64206837490200996</v>
      </c>
      <c r="V960" s="28">
        <v>0.93611601693555713</v>
      </c>
      <c r="W960" s="28">
        <v>0.12611423945054412</v>
      </c>
      <c r="X960" s="28">
        <v>0.65184936206787825</v>
      </c>
    </row>
    <row r="961" spans="1:24" ht="13.9">
      <c r="A961" s="1">
        <v>960</v>
      </c>
      <c r="B961" s="23" t="e">
        <f ca="1">_xludf.BETA.INV(R961,'04_PSA_INPUTS'!H5,'04_PSA_INPUTS'!I5)</f>
        <v>#NAME?</v>
      </c>
      <c r="C961" s="23" t="e">
        <f ca="1">_xludf.BETA.INV(S961,'04_PSA_INPUTS'!H6,'04_PSA_INPUTS'!I6)</f>
        <v>#NAME?</v>
      </c>
      <c r="D961" s="27" t="e">
        <f ca="1">_xludf.GAMMA.INV(T961,'04_PSA_INPUTS'!H7,'04_PSA_INPUTS'!I7)</f>
        <v>#NAME?</v>
      </c>
      <c r="E961" s="27" t="e">
        <f ca="1">_xludf.GAMMA.INV(U961,'04_PSA_INPUTS'!H8,'04_PSA_INPUTS'!I8)</f>
        <v>#NAME?</v>
      </c>
      <c r="F961" s="27" t="e">
        <f ca="1">_xludf.GAMMA.INV(V961,'04_PSA_INPUTS'!H9,'04_PSA_INPUTS'!I9)</f>
        <v>#NAME?</v>
      </c>
      <c r="G961" s="23" t="e">
        <f ca="1">_xludf.BETA.INV(W961,'04_PSA_INPUTS'!H10,'04_PSA_INPUTS'!I10)</f>
        <v>#NAME?</v>
      </c>
      <c r="H961" s="23" t="e">
        <f ca="1">_xludf.BETA.INV(X961,'04_PSA_INPUTS'!H11,'04_PSA_INPUTS'!I11)</f>
        <v>#NAME?</v>
      </c>
      <c r="I961" s="27" t="e">
        <f ca="1">D961+B961*F961+'01_INPUTS'!B20</f>
        <v>#NAME?</v>
      </c>
      <c r="J961" s="27" t="e">
        <f ca="1">E961+C961*F961+'01_INPUTS'!B21</f>
        <v>#NAME?</v>
      </c>
      <c r="K961" s="27" t="e">
        <f t="shared" ca="1" si="84"/>
        <v>#NAME?</v>
      </c>
      <c r="L961" s="23" t="e">
        <f t="shared" ca="1" si="85"/>
        <v>#NAME?</v>
      </c>
      <c r="M961" s="23" t="e">
        <f t="shared" ca="1" si="86"/>
        <v>#NAME?</v>
      </c>
      <c r="N961" s="23" t="e">
        <f t="shared" ca="1" si="87"/>
        <v>#NAME?</v>
      </c>
      <c r="O961" s="27" t="e">
        <f t="shared" ca="1" si="88"/>
        <v>#NAME?</v>
      </c>
      <c r="P961" s="27" t="e">
        <f ca="1">'01_INPUTS'!B9*N961-K961</f>
        <v>#NAME?</v>
      </c>
      <c r="Q961" s="1" t="e">
        <f t="shared" ca="1" si="89"/>
        <v>#NAME?</v>
      </c>
      <c r="R961" s="28">
        <v>0.17313804989680648</v>
      </c>
      <c r="S961" s="28">
        <v>6.7190753761678934E-2</v>
      </c>
      <c r="T961" s="28">
        <v>0.75055678328499198</v>
      </c>
      <c r="U961" s="28">
        <v>0.86233772593550384</v>
      </c>
      <c r="V961" s="28">
        <v>0.53745495551265776</v>
      </c>
      <c r="W961" s="28">
        <v>0.26396042504347861</v>
      </c>
      <c r="X961" s="28">
        <v>0.79584705037996173</v>
      </c>
    </row>
    <row r="962" spans="1:24" ht="13.9">
      <c r="A962" s="1">
        <v>961</v>
      </c>
      <c r="B962" s="23" t="e">
        <f ca="1">_xludf.BETA.INV(R962,'04_PSA_INPUTS'!H5,'04_PSA_INPUTS'!I5)</f>
        <v>#NAME?</v>
      </c>
      <c r="C962" s="23" t="e">
        <f ca="1">_xludf.BETA.INV(S962,'04_PSA_INPUTS'!H6,'04_PSA_INPUTS'!I6)</f>
        <v>#NAME?</v>
      </c>
      <c r="D962" s="27" t="e">
        <f ca="1">_xludf.GAMMA.INV(T962,'04_PSA_INPUTS'!H7,'04_PSA_INPUTS'!I7)</f>
        <v>#NAME?</v>
      </c>
      <c r="E962" s="27" t="e">
        <f ca="1">_xludf.GAMMA.INV(U962,'04_PSA_INPUTS'!H8,'04_PSA_INPUTS'!I8)</f>
        <v>#NAME?</v>
      </c>
      <c r="F962" s="27" t="e">
        <f ca="1">_xludf.GAMMA.INV(V962,'04_PSA_INPUTS'!H9,'04_PSA_INPUTS'!I9)</f>
        <v>#NAME?</v>
      </c>
      <c r="G962" s="23" t="e">
        <f ca="1">_xludf.BETA.INV(W962,'04_PSA_INPUTS'!H10,'04_PSA_INPUTS'!I10)</f>
        <v>#NAME?</v>
      </c>
      <c r="H962" s="23" t="e">
        <f ca="1">_xludf.BETA.INV(X962,'04_PSA_INPUTS'!H11,'04_PSA_INPUTS'!I11)</f>
        <v>#NAME?</v>
      </c>
      <c r="I962" s="27" t="e">
        <f ca="1">D962+B962*F962+'01_INPUTS'!B20</f>
        <v>#NAME?</v>
      </c>
      <c r="J962" s="27" t="e">
        <f ca="1">E962+C962*F962+'01_INPUTS'!B21</f>
        <v>#NAME?</v>
      </c>
      <c r="K962" s="27" t="e">
        <f t="shared" ref="K962:K1025" ca="1" si="90">I962-J962</f>
        <v>#NAME?</v>
      </c>
      <c r="L962" s="23" t="e">
        <f t="shared" ref="L962:L1001" ca="1" si="91">G962-B962*H962</f>
        <v>#NAME?</v>
      </c>
      <c r="M962" s="23" t="e">
        <f t="shared" ref="M962:M1001" ca="1" si="92">G962-C962*H962</f>
        <v>#NAME?</v>
      </c>
      <c r="N962" s="23" t="e">
        <f t="shared" ref="N962:N1025" ca="1" si="93">L962-M962</f>
        <v>#NAME?</v>
      </c>
      <c r="O962" s="27" t="e">
        <f t="shared" ref="O962:O1025" ca="1" si="94">IF(N962=0,"",K962/N962)</f>
        <v>#NAME?</v>
      </c>
      <c r="P962" s="27" t="e">
        <f ca="1">'01_INPUTS'!B9*N962-K962</f>
        <v>#NAME?</v>
      </c>
      <c r="Q962" s="1" t="e">
        <f t="shared" ref="Q962:Q1025" ca="1" si="95">IF(P962&gt;0,1,0)</f>
        <v>#NAME?</v>
      </c>
      <c r="R962" s="28">
        <v>0.68354069464839995</v>
      </c>
      <c r="S962" s="28">
        <v>0.28470441116951406</v>
      </c>
      <c r="T962" s="28">
        <v>0.75839363597333431</v>
      </c>
      <c r="U962" s="28">
        <v>0.670244982233271</v>
      </c>
      <c r="V962" s="28">
        <v>0.13661543093621731</v>
      </c>
      <c r="W962" s="28">
        <v>0.15036551118828356</v>
      </c>
      <c r="X962" s="28">
        <v>0.80391071806661785</v>
      </c>
    </row>
    <row r="963" spans="1:24" ht="13.9">
      <c r="A963" s="1">
        <v>962</v>
      </c>
      <c r="B963" s="23" t="e">
        <f ca="1">_xludf.BETA.INV(R963,'04_PSA_INPUTS'!H5,'04_PSA_INPUTS'!I5)</f>
        <v>#NAME?</v>
      </c>
      <c r="C963" s="23" t="e">
        <f ca="1">_xludf.BETA.INV(S963,'04_PSA_INPUTS'!H6,'04_PSA_INPUTS'!I6)</f>
        <v>#NAME?</v>
      </c>
      <c r="D963" s="27" t="e">
        <f ca="1">_xludf.GAMMA.INV(T963,'04_PSA_INPUTS'!H7,'04_PSA_INPUTS'!I7)</f>
        <v>#NAME?</v>
      </c>
      <c r="E963" s="27" t="e">
        <f ca="1">_xludf.GAMMA.INV(U963,'04_PSA_INPUTS'!H8,'04_PSA_INPUTS'!I8)</f>
        <v>#NAME?</v>
      </c>
      <c r="F963" s="27" t="e">
        <f ca="1">_xludf.GAMMA.INV(V963,'04_PSA_INPUTS'!H9,'04_PSA_INPUTS'!I9)</f>
        <v>#NAME?</v>
      </c>
      <c r="G963" s="23" t="e">
        <f ca="1">_xludf.BETA.INV(W963,'04_PSA_INPUTS'!H10,'04_PSA_INPUTS'!I10)</f>
        <v>#NAME?</v>
      </c>
      <c r="H963" s="23" t="e">
        <f ca="1">_xludf.BETA.INV(X963,'04_PSA_INPUTS'!H11,'04_PSA_INPUTS'!I11)</f>
        <v>#NAME?</v>
      </c>
      <c r="I963" s="27" t="e">
        <f ca="1">D963+B963*F963+'01_INPUTS'!B20</f>
        <v>#NAME?</v>
      </c>
      <c r="J963" s="27" t="e">
        <f ca="1">E963+C963*F963+'01_INPUTS'!B21</f>
        <v>#NAME?</v>
      </c>
      <c r="K963" s="27" t="e">
        <f t="shared" ca="1" si="90"/>
        <v>#NAME?</v>
      </c>
      <c r="L963" s="23" t="e">
        <f t="shared" ca="1" si="91"/>
        <v>#NAME?</v>
      </c>
      <c r="M963" s="23" t="e">
        <f t="shared" ca="1" si="92"/>
        <v>#NAME?</v>
      </c>
      <c r="N963" s="23" t="e">
        <f t="shared" ca="1" si="93"/>
        <v>#NAME?</v>
      </c>
      <c r="O963" s="27" t="e">
        <f t="shared" ca="1" si="94"/>
        <v>#NAME?</v>
      </c>
      <c r="P963" s="27" t="e">
        <f ca="1">'01_INPUTS'!B9*N963-K963</f>
        <v>#NAME?</v>
      </c>
      <c r="Q963" s="1" t="e">
        <f t="shared" ca="1" si="95"/>
        <v>#NAME?</v>
      </c>
      <c r="R963" s="28">
        <v>0.42047051130793989</v>
      </c>
      <c r="S963" s="28">
        <v>0.50529176602140069</v>
      </c>
      <c r="T963" s="28">
        <v>0.91736630047671497</v>
      </c>
      <c r="U963" s="28">
        <v>0.66171477199532092</v>
      </c>
      <c r="V963" s="28">
        <v>0.32074971660040319</v>
      </c>
      <c r="W963" s="28">
        <v>0.32328757317736745</v>
      </c>
      <c r="X963" s="28">
        <v>0.70413299929350615</v>
      </c>
    </row>
    <row r="964" spans="1:24" ht="13.9">
      <c r="A964" s="1">
        <v>963</v>
      </c>
      <c r="B964" s="23" t="e">
        <f ca="1">_xludf.BETA.INV(R964,'04_PSA_INPUTS'!H5,'04_PSA_INPUTS'!I5)</f>
        <v>#NAME?</v>
      </c>
      <c r="C964" s="23" t="e">
        <f ca="1">_xludf.BETA.INV(S964,'04_PSA_INPUTS'!H6,'04_PSA_INPUTS'!I6)</f>
        <v>#NAME?</v>
      </c>
      <c r="D964" s="27" t="e">
        <f ca="1">_xludf.GAMMA.INV(T964,'04_PSA_INPUTS'!H7,'04_PSA_INPUTS'!I7)</f>
        <v>#NAME?</v>
      </c>
      <c r="E964" s="27" t="e">
        <f ca="1">_xludf.GAMMA.INV(U964,'04_PSA_INPUTS'!H8,'04_PSA_INPUTS'!I8)</f>
        <v>#NAME?</v>
      </c>
      <c r="F964" s="27" t="e">
        <f ca="1">_xludf.GAMMA.INV(V964,'04_PSA_INPUTS'!H9,'04_PSA_INPUTS'!I9)</f>
        <v>#NAME?</v>
      </c>
      <c r="G964" s="23" t="e">
        <f ca="1">_xludf.BETA.INV(W964,'04_PSA_INPUTS'!H10,'04_PSA_INPUTS'!I10)</f>
        <v>#NAME?</v>
      </c>
      <c r="H964" s="23" t="e">
        <f ca="1">_xludf.BETA.INV(X964,'04_PSA_INPUTS'!H11,'04_PSA_INPUTS'!I11)</f>
        <v>#NAME?</v>
      </c>
      <c r="I964" s="27" t="e">
        <f ca="1">D964+B964*F964+'01_INPUTS'!B20</f>
        <v>#NAME?</v>
      </c>
      <c r="J964" s="27" t="e">
        <f ca="1">E964+C964*F964+'01_INPUTS'!B21</f>
        <v>#NAME?</v>
      </c>
      <c r="K964" s="27" t="e">
        <f t="shared" ca="1" si="90"/>
        <v>#NAME?</v>
      </c>
      <c r="L964" s="23" t="e">
        <f t="shared" ca="1" si="91"/>
        <v>#NAME?</v>
      </c>
      <c r="M964" s="23" t="e">
        <f t="shared" ca="1" si="92"/>
        <v>#NAME?</v>
      </c>
      <c r="N964" s="23" t="e">
        <f t="shared" ca="1" si="93"/>
        <v>#NAME?</v>
      </c>
      <c r="O964" s="27" t="e">
        <f t="shared" ca="1" si="94"/>
        <v>#NAME?</v>
      </c>
      <c r="P964" s="27" t="e">
        <f ca="1">'01_INPUTS'!B9*N964-K964</f>
        <v>#NAME?</v>
      </c>
      <c r="Q964" s="1" t="e">
        <f t="shared" ca="1" si="95"/>
        <v>#NAME?</v>
      </c>
      <c r="R964" s="28">
        <v>0.31793787819333375</v>
      </c>
      <c r="S964" s="28">
        <v>0.70302333892323077</v>
      </c>
      <c r="T964" s="28">
        <v>0.37304972484707832</v>
      </c>
      <c r="U964" s="28">
        <v>0.1258565557654947</v>
      </c>
      <c r="V964" s="28">
        <v>0.95041000074706972</v>
      </c>
      <c r="W964" s="28">
        <v>0.16931862873025239</v>
      </c>
      <c r="X964" s="28">
        <v>0.57348238886334002</v>
      </c>
    </row>
    <row r="965" spans="1:24" ht="13.9">
      <c r="A965" s="1">
        <v>964</v>
      </c>
      <c r="B965" s="23" t="e">
        <f ca="1">_xludf.BETA.INV(R965,'04_PSA_INPUTS'!H5,'04_PSA_INPUTS'!I5)</f>
        <v>#NAME?</v>
      </c>
      <c r="C965" s="23" t="e">
        <f ca="1">_xludf.BETA.INV(S965,'04_PSA_INPUTS'!H6,'04_PSA_INPUTS'!I6)</f>
        <v>#NAME?</v>
      </c>
      <c r="D965" s="27" t="e">
        <f ca="1">_xludf.GAMMA.INV(T965,'04_PSA_INPUTS'!H7,'04_PSA_INPUTS'!I7)</f>
        <v>#NAME?</v>
      </c>
      <c r="E965" s="27" t="e">
        <f ca="1">_xludf.GAMMA.INV(U965,'04_PSA_INPUTS'!H8,'04_PSA_INPUTS'!I8)</f>
        <v>#NAME?</v>
      </c>
      <c r="F965" s="27" t="e">
        <f ca="1">_xludf.GAMMA.INV(V965,'04_PSA_INPUTS'!H9,'04_PSA_INPUTS'!I9)</f>
        <v>#NAME?</v>
      </c>
      <c r="G965" s="23" t="e">
        <f ca="1">_xludf.BETA.INV(W965,'04_PSA_INPUTS'!H10,'04_PSA_INPUTS'!I10)</f>
        <v>#NAME?</v>
      </c>
      <c r="H965" s="23" t="e">
        <f ca="1">_xludf.BETA.INV(X965,'04_PSA_INPUTS'!H11,'04_PSA_INPUTS'!I11)</f>
        <v>#NAME?</v>
      </c>
      <c r="I965" s="27" t="e">
        <f ca="1">D965+B965*F965+'01_INPUTS'!B20</f>
        <v>#NAME?</v>
      </c>
      <c r="J965" s="27" t="e">
        <f ca="1">E965+C965*F965+'01_INPUTS'!B21</f>
        <v>#NAME?</v>
      </c>
      <c r="K965" s="27" t="e">
        <f t="shared" ca="1" si="90"/>
        <v>#NAME?</v>
      </c>
      <c r="L965" s="23" t="e">
        <f t="shared" ca="1" si="91"/>
        <v>#NAME?</v>
      </c>
      <c r="M965" s="23" t="e">
        <f t="shared" ca="1" si="92"/>
        <v>#NAME?</v>
      </c>
      <c r="N965" s="23" t="e">
        <f t="shared" ca="1" si="93"/>
        <v>#NAME?</v>
      </c>
      <c r="O965" s="27" t="e">
        <f t="shared" ca="1" si="94"/>
        <v>#NAME?</v>
      </c>
      <c r="P965" s="27" t="e">
        <f ca="1">'01_INPUTS'!B9*N965-K965</f>
        <v>#NAME?</v>
      </c>
      <c r="Q965" s="1" t="e">
        <f t="shared" ca="1" si="95"/>
        <v>#NAME?</v>
      </c>
      <c r="R965" s="28">
        <v>0.70246425224468112</v>
      </c>
      <c r="S965" s="28">
        <v>0.99278112081810832</v>
      </c>
      <c r="T965" s="28">
        <v>0.68775945622473955</v>
      </c>
      <c r="U965" s="28">
        <v>0.35244514793157578</v>
      </c>
      <c r="V965" s="28">
        <v>0.40170238586142659</v>
      </c>
      <c r="W965" s="28">
        <v>0.97761993296444416</v>
      </c>
      <c r="X965" s="28">
        <v>0.22295786417089403</v>
      </c>
    </row>
    <row r="966" spans="1:24" ht="13.9">
      <c r="A966" s="1">
        <v>965</v>
      </c>
      <c r="B966" s="23" t="e">
        <f ca="1">_xludf.BETA.INV(R966,'04_PSA_INPUTS'!H5,'04_PSA_INPUTS'!I5)</f>
        <v>#NAME?</v>
      </c>
      <c r="C966" s="23" t="e">
        <f ca="1">_xludf.BETA.INV(S966,'04_PSA_INPUTS'!H6,'04_PSA_INPUTS'!I6)</f>
        <v>#NAME?</v>
      </c>
      <c r="D966" s="27" t="e">
        <f ca="1">_xludf.GAMMA.INV(T966,'04_PSA_INPUTS'!H7,'04_PSA_INPUTS'!I7)</f>
        <v>#NAME?</v>
      </c>
      <c r="E966" s="27" t="e">
        <f ca="1">_xludf.GAMMA.INV(U966,'04_PSA_INPUTS'!H8,'04_PSA_INPUTS'!I8)</f>
        <v>#NAME?</v>
      </c>
      <c r="F966" s="27" t="e">
        <f ca="1">_xludf.GAMMA.INV(V966,'04_PSA_INPUTS'!H9,'04_PSA_INPUTS'!I9)</f>
        <v>#NAME?</v>
      </c>
      <c r="G966" s="23" t="e">
        <f ca="1">_xludf.BETA.INV(W966,'04_PSA_INPUTS'!H10,'04_PSA_INPUTS'!I10)</f>
        <v>#NAME?</v>
      </c>
      <c r="H966" s="23" t="e">
        <f ca="1">_xludf.BETA.INV(X966,'04_PSA_INPUTS'!H11,'04_PSA_INPUTS'!I11)</f>
        <v>#NAME?</v>
      </c>
      <c r="I966" s="27" t="e">
        <f ca="1">D966+B966*F966+'01_INPUTS'!B20</f>
        <v>#NAME?</v>
      </c>
      <c r="J966" s="27" t="e">
        <f ca="1">E966+C966*F966+'01_INPUTS'!B21</f>
        <v>#NAME?</v>
      </c>
      <c r="K966" s="27" t="e">
        <f t="shared" ca="1" si="90"/>
        <v>#NAME?</v>
      </c>
      <c r="L966" s="23" t="e">
        <f t="shared" ca="1" si="91"/>
        <v>#NAME?</v>
      </c>
      <c r="M966" s="23" t="e">
        <f t="shared" ca="1" si="92"/>
        <v>#NAME?</v>
      </c>
      <c r="N966" s="23" t="e">
        <f t="shared" ca="1" si="93"/>
        <v>#NAME?</v>
      </c>
      <c r="O966" s="27" t="e">
        <f t="shared" ca="1" si="94"/>
        <v>#NAME?</v>
      </c>
      <c r="P966" s="27" t="e">
        <f ca="1">'01_INPUTS'!B9*N966-K966</f>
        <v>#NAME?</v>
      </c>
      <c r="Q966" s="1" t="e">
        <f t="shared" ca="1" si="95"/>
        <v>#NAME?</v>
      </c>
      <c r="R966" s="28">
        <v>0.34147097240202129</v>
      </c>
      <c r="S966" s="28">
        <v>0.34854825865477324</v>
      </c>
      <c r="T966" s="28">
        <v>0.7940806073602289</v>
      </c>
      <c r="U966" s="28">
        <v>0.37626529973931611</v>
      </c>
      <c r="V966" s="28">
        <v>0.20126798190176487</v>
      </c>
      <c r="W966" s="28">
        <v>0.29265308286994696</v>
      </c>
      <c r="X966" s="28">
        <v>2.1504594944417477E-2</v>
      </c>
    </row>
    <row r="967" spans="1:24" ht="13.9">
      <c r="A967" s="1">
        <v>966</v>
      </c>
      <c r="B967" s="23" t="e">
        <f ca="1">_xludf.BETA.INV(R967,'04_PSA_INPUTS'!H5,'04_PSA_INPUTS'!I5)</f>
        <v>#NAME?</v>
      </c>
      <c r="C967" s="23" t="e">
        <f ca="1">_xludf.BETA.INV(S967,'04_PSA_INPUTS'!H6,'04_PSA_INPUTS'!I6)</f>
        <v>#NAME?</v>
      </c>
      <c r="D967" s="27" t="e">
        <f ca="1">_xludf.GAMMA.INV(T967,'04_PSA_INPUTS'!H7,'04_PSA_INPUTS'!I7)</f>
        <v>#NAME?</v>
      </c>
      <c r="E967" s="27" t="e">
        <f ca="1">_xludf.GAMMA.INV(U967,'04_PSA_INPUTS'!H8,'04_PSA_INPUTS'!I8)</f>
        <v>#NAME?</v>
      </c>
      <c r="F967" s="27" t="e">
        <f ca="1">_xludf.GAMMA.INV(V967,'04_PSA_INPUTS'!H9,'04_PSA_INPUTS'!I9)</f>
        <v>#NAME?</v>
      </c>
      <c r="G967" s="23" t="e">
        <f ca="1">_xludf.BETA.INV(W967,'04_PSA_INPUTS'!H10,'04_PSA_INPUTS'!I10)</f>
        <v>#NAME?</v>
      </c>
      <c r="H967" s="23" t="e">
        <f ca="1">_xludf.BETA.INV(X967,'04_PSA_INPUTS'!H11,'04_PSA_INPUTS'!I11)</f>
        <v>#NAME?</v>
      </c>
      <c r="I967" s="27" t="e">
        <f ca="1">D967+B967*F967+'01_INPUTS'!B20</f>
        <v>#NAME?</v>
      </c>
      <c r="J967" s="27" t="e">
        <f ca="1">E967+C967*F967+'01_INPUTS'!B21</f>
        <v>#NAME?</v>
      </c>
      <c r="K967" s="27" t="e">
        <f t="shared" ca="1" si="90"/>
        <v>#NAME?</v>
      </c>
      <c r="L967" s="23" t="e">
        <f t="shared" ca="1" si="91"/>
        <v>#NAME?</v>
      </c>
      <c r="M967" s="23" t="e">
        <f t="shared" ca="1" si="92"/>
        <v>#NAME?</v>
      </c>
      <c r="N967" s="23" t="e">
        <f t="shared" ca="1" si="93"/>
        <v>#NAME?</v>
      </c>
      <c r="O967" s="27" t="e">
        <f t="shared" ca="1" si="94"/>
        <v>#NAME?</v>
      </c>
      <c r="P967" s="27" t="e">
        <f ca="1">'01_INPUTS'!B9*N967-K967</f>
        <v>#NAME?</v>
      </c>
      <c r="Q967" s="1" t="e">
        <f t="shared" ca="1" si="95"/>
        <v>#NAME?</v>
      </c>
      <c r="R967" s="28">
        <v>0.22473191609606147</v>
      </c>
      <c r="S967" s="28">
        <v>6.1931882984936237E-2</v>
      </c>
      <c r="T967" s="28">
        <v>0.49937451188452542</v>
      </c>
      <c r="U967" s="28">
        <v>0.41981994593515992</v>
      </c>
      <c r="V967" s="28">
        <v>0.68855258729308844</v>
      </c>
      <c r="W967" s="28">
        <v>0.15010671783238649</v>
      </c>
      <c r="X967" s="28">
        <v>0.17333009140565991</v>
      </c>
    </row>
    <row r="968" spans="1:24" ht="13.9">
      <c r="A968" s="1">
        <v>967</v>
      </c>
      <c r="B968" s="23" t="e">
        <f ca="1">_xludf.BETA.INV(R968,'04_PSA_INPUTS'!H5,'04_PSA_INPUTS'!I5)</f>
        <v>#NAME?</v>
      </c>
      <c r="C968" s="23" t="e">
        <f ca="1">_xludf.BETA.INV(S968,'04_PSA_INPUTS'!H6,'04_PSA_INPUTS'!I6)</f>
        <v>#NAME?</v>
      </c>
      <c r="D968" s="27" t="e">
        <f ca="1">_xludf.GAMMA.INV(T968,'04_PSA_INPUTS'!H7,'04_PSA_INPUTS'!I7)</f>
        <v>#NAME?</v>
      </c>
      <c r="E968" s="27" t="e">
        <f ca="1">_xludf.GAMMA.INV(U968,'04_PSA_INPUTS'!H8,'04_PSA_INPUTS'!I8)</f>
        <v>#NAME?</v>
      </c>
      <c r="F968" s="27" t="e">
        <f ca="1">_xludf.GAMMA.INV(V968,'04_PSA_INPUTS'!H9,'04_PSA_INPUTS'!I9)</f>
        <v>#NAME?</v>
      </c>
      <c r="G968" s="23" t="e">
        <f ca="1">_xludf.BETA.INV(W968,'04_PSA_INPUTS'!H10,'04_PSA_INPUTS'!I10)</f>
        <v>#NAME?</v>
      </c>
      <c r="H968" s="23" t="e">
        <f ca="1">_xludf.BETA.INV(X968,'04_PSA_INPUTS'!H11,'04_PSA_INPUTS'!I11)</f>
        <v>#NAME?</v>
      </c>
      <c r="I968" s="27" t="e">
        <f ca="1">D968+B968*F968+'01_INPUTS'!B20</f>
        <v>#NAME?</v>
      </c>
      <c r="J968" s="27" t="e">
        <f ca="1">E968+C968*F968+'01_INPUTS'!B21</f>
        <v>#NAME?</v>
      </c>
      <c r="K968" s="27" t="e">
        <f t="shared" ca="1" si="90"/>
        <v>#NAME?</v>
      </c>
      <c r="L968" s="23" t="e">
        <f t="shared" ca="1" si="91"/>
        <v>#NAME?</v>
      </c>
      <c r="M968" s="23" t="e">
        <f t="shared" ca="1" si="92"/>
        <v>#NAME?</v>
      </c>
      <c r="N968" s="23" t="e">
        <f t="shared" ca="1" si="93"/>
        <v>#NAME?</v>
      </c>
      <c r="O968" s="27" t="e">
        <f t="shared" ca="1" si="94"/>
        <v>#NAME?</v>
      </c>
      <c r="P968" s="27" t="e">
        <f ca="1">'01_INPUTS'!B9*N968-K968</f>
        <v>#NAME?</v>
      </c>
      <c r="Q968" s="1" t="e">
        <f t="shared" ca="1" si="95"/>
        <v>#NAME?</v>
      </c>
      <c r="R968" s="28">
        <v>0.66130222310312092</v>
      </c>
      <c r="S968" s="28">
        <v>0.20176153327338398</v>
      </c>
      <c r="T968" s="28">
        <v>0.40706861694343388</v>
      </c>
      <c r="U968" s="28">
        <v>0.47100902418605983</v>
      </c>
      <c r="V968" s="28">
        <v>0.43375821458175778</v>
      </c>
      <c r="W968" s="28">
        <v>0.11224760604090989</v>
      </c>
      <c r="X968" s="28">
        <v>0.8154681958258152</v>
      </c>
    </row>
    <row r="969" spans="1:24" ht="13.9">
      <c r="A969" s="1">
        <v>968</v>
      </c>
      <c r="B969" s="23" t="e">
        <f ca="1">_xludf.BETA.INV(R969,'04_PSA_INPUTS'!H5,'04_PSA_INPUTS'!I5)</f>
        <v>#NAME?</v>
      </c>
      <c r="C969" s="23" t="e">
        <f ca="1">_xludf.BETA.INV(S969,'04_PSA_INPUTS'!H6,'04_PSA_INPUTS'!I6)</f>
        <v>#NAME?</v>
      </c>
      <c r="D969" s="27" t="e">
        <f ca="1">_xludf.GAMMA.INV(T969,'04_PSA_INPUTS'!H7,'04_PSA_INPUTS'!I7)</f>
        <v>#NAME?</v>
      </c>
      <c r="E969" s="27" t="e">
        <f ca="1">_xludf.GAMMA.INV(U969,'04_PSA_INPUTS'!H8,'04_PSA_INPUTS'!I8)</f>
        <v>#NAME?</v>
      </c>
      <c r="F969" s="27" t="e">
        <f ca="1">_xludf.GAMMA.INV(V969,'04_PSA_INPUTS'!H9,'04_PSA_INPUTS'!I9)</f>
        <v>#NAME?</v>
      </c>
      <c r="G969" s="23" t="e">
        <f ca="1">_xludf.BETA.INV(W969,'04_PSA_INPUTS'!H10,'04_PSA_INPUTS'!I10)</f>
        <v>#NAME?</v>
      </c>
      <c r="H969" s="23" t="e">
        <f ca="1">_xludf.BETA.INV(X969,'04_PSA_INPUTS'!H11,'04_PSA_INPUTS'!I11)</f>
        <v>#NAME?</v>
      </c>
      <c r="I969" s="27" t="e">
        <f ca="1">D969+B969*F969+'01_INPUTS'!B20</f>
        <v>#NAME?</v>
      </c>
      <c r="J969" s="27" t="e">
        <f ca="1">E969+C969*F969+'01_INPUTS'!B21</f>
        <v>#NAME?</v>
      </c>
      <c r="K969" s="27" t="e">
        <f t="shared" ca="1" si="90"/>
        <v>#NAME?</v>
      </c>
      <c r="L969" s="23" t="e">
        <f t="shared" ca="1" si="91"/>
        <v>#NAME?</v>
      </c>
      <c r="M969" s="23" t="e">
        <f t="shared" ca="1" si="92"/>
        <v>#NAME?</v>
      </c>
      <c r="N969" s="23" t="e">
        <f t="shared" ca="1" si="93"/>
        <v>#NAME?</v>
      </c>
      <c r="O969" s="27" t="e">
        <f t="shared" ca="1" si="94"/>
        <v>#NAME?</v>
      </c>
      <c r="P969" s="27" t="e">
        <f ca="1">'01_INPUTS'!B9*N969-K969</f>
        <v>#NAME?</v>
      </c>
      <c r="Q969" s="1" t="e">
        <f t="shared" ca="1" si="95"/>
        <v>#NAME?</v>
      </c>
      <c r="R969" s="28">
        <v>2.1249423967674375E-2</v>
      </c>
      <c r="S969" s="28">
        <v>0.58709595119580626</v>
      </c>
      <c r="T969" s="28">
        <v>0.40210825903341174</v>
      </c>
      <c r="U969" s="28">
        <v>0.43624066328629851</v>
      </c>
      <c r="V969" s="28">
        <v>0.10785619332455099</v>
      </c>
      <c r="W969" s="28">
        <v>0.22285811952315271</v>
      </c>
      <c r="X969" s="28">
        <v>0.93211970967240632</v>
      </c>
    </row>
    <row r="970" spans="1:24" ht="13.9">
      <c r="A970" s="1">
        <v>969</v>
      </c>
      <c r="B970" s="23" t="e">
        <f ca="1">_xludf.BETA.INV(R970,'04_PSA_INPUTS'!H5,'04_PSA_INPUTS'!I5)</f>
        <v>#NAME?</v>
      </c>
      <c r="C970" s="23" t="e">
        <f ca="1">_xludf.BETA.INV(S970,'04_PSA_INPUTS'!H6,'04_PSA_INPUTS'!I6)</f>
        <v>#NAME?</v>
      </c>
      <c r="D970" s="27" t="e">
        <f ca="1">_xludf.GAMMA.INV(T970,'04_PSA_INPUTS'!H7,'04_PSA_INPUTS'!I7)</f>
        <v>#NAME?</v>
      </c>
      <c r="E970" s="27" t="e">
        <f ca="1">_xludf.GAMMA.INV(U970,'04_PSA_INPUTS'!H8,'04_PSA_INPUTS'!I8)</f>
        <v>#NAME?</v>
      </c>
      <c r="F970" s="27" t="e">
        <f ca="1">_xludf.GAMMA.INV(V970,'04_PSA_INPUTS'!H9,'04_PSA_INPUTS'!I9)</f>
        <v>#NAME?</v>
      </c>
      <c r="G970" s="23" t="e">
        <f ca="1">_xludf.BETA.INV(W970,'04_PSA_INPUTS'!H10,'04_PSA_INPUTS'!I10)</f>
        <v>#NAME?</v>
      </c>
      <c r="H970" s="23" t="e">
        <f ca="1">_xludf.BETA.INV(X970,'04_PSA_INPUTS'!H11,'04_PSA_INPUTS'!I11)</f>
        <v>#NAME?</v>
      </c>
      <c r="I970" s="27" t="e">
        <f ca="1">D970+B970*F970+'01_INPUTS'!B20</f>
        <v>#NAME?</v>
      </c>
      <c r="J970" s="27" t="e">
        <f ca="1">E970+C970*F970+'01_INPUTS'!B21</f>
        <v>#NAME?</v>
      </c>
      <c r="K970" s="27" t="e">
        <f t="shared" ca="1" si="90"/>
        <v>#NAME?</v>
      </c>
      <c r="L970" s="23" t="e">
        <f t="shared" ca="1" si="91"/>
        <v>#NAME?</v>
      </c>
      <c r="M970" s="23" t="e">
        <f t="shared" ca="1" si="92"/>
        <v>#NAME?</v>
      </c>
      <c r="N970" s="23" t="e">
        <f t="shared" ca="1" si="93"/>
        <v>#NAME?</v>
      </c>
      <c r="O970" s="27" t="e">
        <f t="shared" ca="1" si="94"/>
        <v>#NAME?</v>
      </c>
      <c r="P970" s="27" t="e">
        <f ca="1">'01_INPUTS'!B9*N970-K970</f>
        <v>#NAME?</v>
      </c>
      <c r="Q970" s="1" t="e">
        <f t="shared" ca="1" si="95"/>
        <v>#NAME?</v>
      </c>
      <c r="R970" s="28">
        <v>0.31810982129536569</v>
      </c>
      <c r="S970" s="28">
        <v>8.3413398126140237E-2</v>
      </c>
      <c r="T970" s="28">
        <v>0.39392119063995779</v>
      </c>
      <c r="U970" s="28">
        <v>0.37353876163251698</v>
      </c>
      <c r="V970" s="28">
        <v>0.10692135128192604</v>
      </c>
      <c r="W970" s="28">
        <v>0.85787772969342768</v>
      </c>
      <c r="X970" s="28">
        <v>2.7962690684944391E-2</v>
      </c>
    </row>
    <row r="971" spans="1:24" ht="13.9">
      <c r="A971" s="1">
        <v>970</v>
      </c>
      <c r="B971" s="23" t="e">
        <f ca="1">_xludf.BETA.INV(R971,'04_PSA_INPUTS'!H5,'04_PSA_INPUTS'!I5)</f>
        <v>#NAME?</v>
      </c>
      <c r="C971" s="23" t="e">
        <f ca="1">_xludf.BETA.INV(S971,'04_PSA_INPUTS'!H6,'04_PSA_INPUTS'!I6)</f>
        <v>#NAME?</v>
      </c>
      <c r="D971" s="27" t="e">
        <f ca="1">_xludf.GAMMA.INV(T971,'04_PSA_INPUTS'!H7,'04_PSA_INPUTS'!I7)</f>
        <v>#NAME?</v>
      </c>
      <c r="E971" s="27" t="e">
        <f ca="1">_xludf.GAMMA.INV(U971,'04_PSA_INPUTS'!H8,'04_PSA_INPUTS'!I8)</f>
        <v>#NAME?</v>
      </c>
      <c r="F971" s="27" t="e">
        <f ca="1">_xludf.GAMMA.INV(V971,'04_PSA_INPUTS'!H9,'04_PSA_INPUTS'!I9)</f>
        <v>#NAME?</v>
      </c>
      <c r="G971" s="23" t="e">
        <f ca="1">_xludf.BETA.INV(W971,'04_PSA_INPUTS'!H10,'04_PSA_INPUTS'!I10)</f>
        <v>#NAME?</v>
      </c>
      <c r="H971" s="23" t="e">
        <f ca="1">_xludf.BETA.INV(X971,'04_PSA_INPUTS'!H11,'04_PSA_INPUTS'!I11)</f>
        <v>#NAME?</v>
      </c>
      <c r="I971" s="27" t="e">
        <f ca="1">D971+B971*F971+'01_INPUTS'!B20</f>
        <v>#NAME?</v>
      </c>
      <c r="J971" s="27" t="e">
        <f ca="1">E971+C971*F971+'01_INPUTS'!B21</f>
        <v>#NAME?</v>
      </c>
      <c r="K971" s="27" t="e">
        <f t="shared" ca="1" si="90"/>
        <v>#NAME?</v>
      </c>
      <c r="L971" s="23" t="e">
        <f t="shared" ca="1" si="91"/>
        <v>#NAME?</v>
      </c>
      <c r="M971" s="23" t="e">
        <f t="shared" ca="1" si="92"/>
        <v>#NAME?</v>
      </c>
      <c r="N971" s="23" t="e">
        <f t="shared" ca="1" si="93"/>
        <v>#NAME?</v>
      </c>
      <c r="O971" s="27" t="e">
        <f t="shared" ca="1" si="94"/>
        <v>#NAME?</v>
      </c>
      <c r="P971" s="27" t="e">
        <f ca="1">'01_INPUTS'!B9*N971-K971</f>
        <v>#NAME?</v>
      </c>
      <c r="Q971" s="1" t="e">
        <f t="shared" ca="1" si="95"/>
        <v>#NAME?</v>
      </c>
      <c r="R971" s="28">
        <v>0.44971488323062658</v>
      </c>
      <c r="S971" s="28">
        <v>0.67628128454089165</v>
      </c>
      <c r="T971" s="28">
        <v>0.19626662554219365</v>
      </c>
      <c r="U971" s="28">
        <v>0.52019548253156245</v>
      </c>
      <c r="V971" s="28">
        <v>0.96191974123939872</v>
      </c>
      <c r="W971" s="28">
        <v>2.1918951999396086E-2</v>
      </c>
      <c r="X971" s="28">
        <v>0.1704072670545429</v>
      </c>
    </row>
    <row r="972" spans="1:24" ht="13.9">
      <c r="A972" s="1">
        <v>971</v>
      </c>
      <c r="B972" s="23" t="e">
        <f ca="1">_xludf.BETA.INV(R972,'04_PSA_INPUTS'!H5,'04_PSA_INPUTS'!I5)</f>
        <v>#NAME?</v>
      </c>
      <c r="C972" s="23" t="e">
        <f ca="1">_xludf.BETA.INV(S972,'04_PSA_INPUTS'!H6,'04_PSA_INPUTS'!I6)</f>
        <v>#NAME?</v>
      </c>
      <c r="D972" s="27" t="e">
        <f ca="1">_xludf.GAMMA.INV(T972,'04_PSA_INPUTS'!H7,'04_PSA_INPUTS'!I7)</f>
        <v>#NAME?</v>
      </c>
      <c r="E972" s="27" t="e">
        <f ca="1">_xludf.GAMMA.INV(U972,'04_PSA_INPUTS'!H8,'04_PSA_INPUTS'!I8)</f>
        <v>#NAME?</v>
      </c>
      <c r="F972" s="27" t="e">
        <f ca="1">_xludf.GAMMA.INV(V972,'04_PSA_INPUTS'!H9,'04_PSA_INPUTS'!I9)</f>
        <v>#NAME?</v>
      </c>
      <c r="G972" s="23" t="e">
        <f ca="1">_xludf.BETA.INV(W972,'04_PSA_INPUTS'!H10,'04_PSA_INPUTS'!I10)</f>
        <v>#NAME?</v>
      </c>
      <c r="H972" s="23" t="e">
        <f ca="1">_xludf.BETA.INV(X972,'04_PSA_INPUTS'!H11,'04_PSA_INPUTS'!I11)</f>
        <v>#NAME?</v>
      </c>
      <c r="I972" s="27" t="e">
        <f ca="1">D972+B972*F972+'01_INPUTS'!B20</f>
        <v>#NAME?</v>
      </c>
      <c r="J972" s="27" t="e">
        <f ca="1">E972+C972*F972+'01_INPUTS'!B21</f>
        <v>#NAME?</v>
      </c>
      <c r="K972" s="27" t="e">
        <f t="shared" ca="1" si="90"/>
        <v>#NAME?</v>
      </c>
      <c r="L972" s="23" t="e">
        <f t="shared" ca="1" si="91"/>
        <v>#NAME?</v>
      </c>
      <c r="M972" s="23" t="e">
        <f t="shared" ca="1" si="92"/>
        <v>#NAME?</v>
      </c>
      <c r="N972" s="23" t="e">
        <f t="shared" ca="1" si="93"/>
        <v>#NAME?</v>
      </c>
      <c r="O972" s="27" t="e">
        <f t="shared" ca="1" si="94"/>
        <v>#NAME?</v>
      </c>
      <c r="P972" s="27" t="e">
        <f ca="1">'01_INPUTS'!B9*N972-K972</f>
        <v>#NAME?</v>
      </c>
      <c r="Q972" s="1" t="e">
        <f t="shared" ca="1" si="95"/>
        <v>#NAME?</v>
      </c>
      <c r="R972" s="28">
        <v>0.88689836976118386</v>
      </c>
      <c r="S972" s="28">
        <v>0.28505480429157615</v>
      </c>
      <c r="T972" s="28">
        <v>0.40845052641816437</v>
      </c>
      <c r="U972" s="28">
        <v>0.17829207587055862</v>
      </c>
      <c r="V972" s="28">
        <v>0.69978517736308277</v>
      </c>
      <c r="W972" s="28">
        <v>0.79441048623993993</v>
      </c>
      <c r="X972" s="28">
        <v>0.60941640962846577</v>
      </c>
    </row>
    <row r="973" spans="1:24" ht="13.9">
      <c r="A973" s="1">
        <v>972</v>
      </c>
      <c r="B973" s="23" t="e">
        <f ca="1">_xludf.BETA.INV(R973,'04_PSA_INPUTS'!H5,'04_PSA_INPUTS'!I5)</f>
        <v>#NAME?</v>
      </c>
      <c r="C973" s="23" t="e">
        <f ca="1">_xludf.BETA.INV(S973,'04_PSA_INPUTS'!H6,'04_PSA_INPUTS'!I6)</f>
        <v>#NAME?</v>
      </c>
      <c r="D973" s="27" t="e">
        <f ca="1">_xludf.GAMMA.INV(T973,'04_PSA_INPUTS'!H7,'04_PSA_INPUTS'!I7)</f>
        <v>#NAME?</v>
      </c>
      <c r="E973" s="27" t="e">
        <f ca="1">_xludf.GAMMA.INV(U973,'04_PSA_INPUTS'!H8,'04_PSA_INPUTS'!I8)</f>
        <v>#NAME?</v>
      </c>
      <c r="F973" s="27" t="e">
        <f ca="1">_xludf.GAMMA.INV(V973,'04_PSA_INPUTS'!H9,'04_PSA_INPUTS'!I9)</f>
        <v>#NAME?</v>
      </c>
      <c r="G973" s="23" t="e">
        <f ca="1">_xludf.BETA.INV(W973,'04_PSA_INPUTS'!H10,'04_PSA_INPUTS'!I10)</f>
        <v>#NAME?</v>
      </c>
      <c r="H973" s="23" t="e">
        <f ca="1">_xludf.BETA.INV(X973,'04_PSA_INPUTS'!H11,'04_PSA_INPUTS'!I11)</f>
        <v>#NAME?</v>
      </c>
      <c r="I973" s="27" t="e">
        <f ca="1">D973+B973*F973+'01_INPUTS'!B20</f>
        <v>#NAME?</v>
      </c>
      <c r="J973" s="27" t="e">
        <f ca="1">E973+C973*F973+'01_INPUTS'!B21</f>
        <v>#NAME?</v>
      </c>
      <c r="K973" s="27" t="e">
        <f t="shared" ca="1" si="90"/>
        <v>#NAME?</v>
      </c>
      <c r="L973" s="23" t="e">
        <f t="shared" ca="1" si="91"/>
        <v>#NAME?</v>
      </c>
      <c r="M973" s="23" t="e">
        <f t="shared" ca="1" si="92"/>
        <v>#NAME?</v>
      </c>
      <c r="N973" s="23" t="e">
        <f t="shared" ca="1" si="93"/>
        <v>#NAME?</v>
      </c>
      <c r="O973" s="27" t="e">
        <f t="shared" ca="1" si="94"/>
        <v>#NAME?</v>
      </c>
      <c r="P973" s="27" t="e">
        <f ca="1">'01_INPUTS'!B9*N973-K973</f>
        <v>#NAME?</v>
      </c>
      <c r="Q973" s="1" t="e">
        <f t="shared" ca="1" si="95"/>
        <v>#NAME?</v>
      </c>
      <c r="R973" s="28">
        <v>0.83882389077916741</v>
      </c>
      <c r="S973" s="28">
        <v>0.79570263857021928</v>
      </c>
      <c r="T973" s="28">
        <v>0.5103381562512368</v>
      </c>
      <c r="U973" s="28">
        <v>0.88735210872255266</v>
      </c>
      <c r="V973" s="28">
        <v>0.87931966222822666</v>
      </c>
      <c r="W973" s="28">
        <v>0.256332982564345</v>
      </c>
      <c r="X973" s="28">
        <v>0.20369747630320489</v>
      </c>
    </row>
    <row r="974" spans="1:24" ht="13.9">
      <c r="A974" s="1">
        <v>973</v>
      </c>
      <c r="B974" s="23" t="e">
        <f ca="1">_xludf.BETA.INV(R974,'04_PSA_INPUTS'!H5,'04_PSA_INPUTS'!I5)</f>
        <v>#NAME?</v>
      </c>
      <c r="C974" s="23" t="e">
        <f ca="1">_xludf.BETA.INV(S974,'04_PSA_INPUTS'!H6,'04_PSA_INPUTS'!I6)</f>
        <v>#NAME?</v>
      </c>
      <c r="D974" s="27" t="e">
        <f ca="1">_xludf.GAMMA.INV(T974,'04_PSA_INPUTS'!H7,'04_PSA_INPUTS'!I7)</f>
        <v>#NAME?</v>
      </c>
      <c r="E974" s="27" t="e">
        <f ca="1">_xludf.GAMMA.INV(U974,'04_PSA_INPUTS'!H8,'04_PSA_INPUTS'!I8)</f>
        <v>#NAME?</v>
      </c>
      <c r="F974" s="27" t="e">
        <f ca="1">_xludf.GAMMA.INV(V974,'04_PSA_INPUTS'!H9,'04_PSA_INPUTS'!I9)</f>
        <v>#NAME?</v>
      </c>
      <c r="G974" s="23" t="e">
        <f ca="1">_xludf.BETA.INV(W974,'04_PSA_INPUTS'!H10,'04_PSA_INPUTS'!I10)</f>
        <v>#NAME?</v>
      </c>
      <c r="H974" s="23" t="e">
        <f ca="1">_xludf.BETA.INV(X974,'04_PSA_INPUTS'!H11,'04_PSA_INPUTS'!I11)</f>
        <v>#NAME?</v>
      </c>
      <c r="I974" s="27" t="e">
        <f ca="1">D974+B974*F974+'01_INPUTS'!B20</f>
        <v>#NAME?</v>
      </c>
      <c r="J974" s="27" t="e">
        <f ca="1">E974+C974*F974+'01_INPUTS'!B21</f>
        <v>#NAME?</v>
      </c>
      <c r="K974" s="27" t="e">
        <f t="shared" ca="1" si="90"/>
        <v>#NAME?</v>
      </c>
      <c r="L974" s="23" t="e">
        <f t="shared" ca="1" si="91"/>
        <v>#NAME?</v>
      </c>
      <c r="M974" s="23" t="e">
        <f t="shared" ca="1" si="92"/>
        <v>#NAME?</v>
      </c>
      <c r="N974" s="23" t="e">
        <f t="shared" ca="1" si="93"/>
        <v>#NAME?</v>
      </c>
      <c r="O974" s="27" t="e">
        <f t="shared" ca="1" si="94"/>
        <v>#NAME?</v>
      </c>
      <c r="P974" s="27" t="e">
        <f ca="1">'01_INPUTS'!B9*N974-K974</f>
        <v>#NAME?</v>
      </c>
      <c r="Q974" s="1" t="e">
        <f t="shared" ca="1" si="95"/>
        <v>#NAME?</v>
      </c>
      <c r="R974" s="28">
        <v>0.71193885826505721</v>
      </c>
      <c r="S974" s="28">
        <v>0.65164648671634495</v>
      </c>
      <c r="T974" s="28">
        <v>0.84351937798783183</v>
      </c>
      <c r="U974" s="28">
        <v>0.79201614228077233</v>
      </c>
      <c r="V974" s="28">
        <v>0.92885924875736237</v>
      </c>
      <c r="W974" s="28">
        <v>8.4306468488648534E-2</v>
      </c>
      <c r="X974" s="28">
        <v>0.15784738236106932</v>
      </c>
    </row>
    <row r="975" spans="1:24" ht="13.9">
      <c r="A975" s="1">
        <v>974</v>
      </c>
      <c r="B975" s="23" t="e">
        <f ca="1">_xludf.BETA.INV(R975,'04_PSA_INPUTS'!H5,'04_PSA_INPUTS'!I5)</f>
        <v>#NAME?</v>
      </c>
      <c r="C975" s="23" t="e">
        <f ca="1">_xludf.BETA.INV(S975,'04_PSA_INPUTS'!H6,'04_PSA_INPUTS'!I6)</f>
        <v>#NAME?</v>
      </c>
      <c r="D975" s="27" t="e">
        <f ca="1">_xludf.GAMMA.INV(T975,'04_PSA_INPUTS'!H7,'04_PSA_INPUTS'!I7)</f>
        <v>#NAME?</v>
      </c>
      <c r="E975" s="27" t="e">
        <f ca="1">_xludf.GAMMA.INV(U975,'04_PSA_INPUTS'!H8,'04_PSA_INPUTS'!I8)</f>
        <v>#NAME?</v>
      </c>
      <c r="F975" s="27" t="e">
        <f ca="1">_xludf.GAMMA.INV(V975,'04_PSA_INPUTS'!H9,'04_PSA_INPUTS'!I9)</f>
        <v>#NAME?</v>
      </c>
      <c r="G975" s="23" t="e">
        <f ca="1">_xludf.BETA.INV(W975,'04_PSA_INPUTS'!H10,'04_PSA_INPUTS'!I10)</f>
        <v>#NAME?</v>
      </c>
      <c r="H975" s="23" t="e">
        <f ca="1">_xludf.BETA.INV(X975,'04_PSA_INPUTS'!H11,'04_PSA_INPUTS'!I11)</f>
        <v>#NAME?</v>
      </c>
      <c r="I975" s="27" t="e">
        <f ca="1">D975+B975*F975+'01_INPUTS'!B20</f>
        <v>#NAME?</v>
      </c>
      <c r="J975" s="27" t="e">
        <f ca="1">E975+C975*F975+'01_INPUTS'!B21</f>
        <v>#NAME?</v>
      </c>
      <c r="K975" s="27" t="e">
        <f t="shared" ca="1" si="90"/>
        <v>#NAME?</v>
      </c>
      <c r="L975" s="23" t="e">
        <f t="shared" ca="1" si="91"/>
        <v>#NAME?</v>
      </c>
      <c r="M975" s="23" t="e">
        <f t="shared" ca="1" si="92"/>
        <v>#NAME?</v>
      </c>
      <c r="N975" s="23" t="e">
        <f t="shared" ca="1" si="93"/>
        <v>#NAME?</v>
      </c>
      <c r="O975" s="27" t="e">
        <f t="shared" ca="1" si="94"/>
        <v>#NAME?</v>
      </c>
      <c r="P975" s="27" t="e">
        <f ca="1">'01_INPUTS'!B9*N975-K975</f>
        <v>#NAME?</v>
      </c>
      <c r="Q975" s="1" t="e">
        <f t="shared" ca="1" si="95"/>
        <v>#NAME?</v>
      </c>
      <c r="R975" s="28">
        <v>0.76612644642591476</v>
      </c>
      <c r="S975" s="28">
        <v>0.57806503563188016</v>
      </c>
      <c r="T975" s="28">
        <v>0.33599771908484399</v>
      </c>
      <c r="U975" s="28">
        <v>0.90582868806086481</v>
      </c>
      <c r="V975" s="28">
        <v>0.7580922485794872</v>
      </c>
      <c r="W975" s="28">
        <v>0.14807348465546966</v>
      </c>
      <c r="X975" s="28">
        <v>0.22713937214575708</v>
      </c>
    </row>
    <row r="976" spans="1:24" ht="13.9">
      <c r="A976" s="1">
        <v>975</v>
      </c>
      <c r="B976" s="23" t="e">
        <f ca="1">_xludf.BETA.INV(R976,'04_PSA_INPUTS'!H5,'04_PSA_INPUTS'!I5)</f>
        <v>#NAME?</v>
      </c>
      <c r="C976" s="23" t="e">
        <f ca="1">_xludf.BETA.INV(S976,'04_PSA_INPUTS'!H6,'04_PSA_INPUTS'!I6)</f>
        <v>#NAME?</v>
      </c>
      <c r="D976" s="27" t="e">
        <f ca="1">_xludf.GAMMA.INV(T976,'04_PSA_INPUTS'!H7,'04_PSA_INPUTS'!I7)</f>
        <v>#NAME?</v>
      </c>
      <c r="E976" s="27" t="e">
        <f ca="1">_xludf.GAMMA.INV(U976,'04_PSA_INPUTS'!H8,'04_PSA_INPUTS'!I8)</f>
        <v>#NAME?</v>
      </c>
      <c r="F976" s="27" t="e">
        <f ca="1">_xludf.GAMMA.INV(V976,'04_PSA_INPUTS'!H9,'04_PSA_INPUTS'!I9)</f>
        <v>#NAME?</v>
      </c>
      <c r="G976" s="23" t="e">
        <f ca="1">_xludf.BETA.INV(W976,'04_PSA_INPUTS'!H10,'04_PSA_INPUTS'!I10)</f>
        <v>#NAME?</v>
      </c>
      <c r="H976" s="23" t="e">
        <f ca="1">_xludf.BETA.INV(X976,'04_PSA_INPUTS'!H11,'04_PSA_INPUTS'!I11)</f>
        <v>#NAME?</v>
      </c>
      <c r="I976" s="27" t="e">
        <f ca="1">D976+B976*F976+'01_INPUTS'!B20</f>
        <v>#NAME?</v>
      </c>
      <c r="J976" s="27" t="e">
        <f ca="1">E976+C976*F976+'01_INPUTS'!B21</f>
        <v>#NAME?</v>
      </c>
      <c r="K976" s="27" t="e">
        <f t="shared" ca="1" si="90"/>
        <v>#NAME?</v>
      </c>
      <c r="L976" s="23" t="e">
        <f t="shared" ca="1" si="91"/>
        <v>#NAME?</v>
      </c>
      <c r="M976" s="23" t="e">
        <f t="shared" ca="1" si="92"/>
        <v>#NAME?</v>
      </c>
      <c r="N976" s="23" t="e">
        <f t="shared" ca="1" si="93"/>
        <v>#NAME?</v>
      </c>
      <c r="O976" s="27" t="e">
        <f t="shared" ca="1" si="94"/>
        <v>#NAME?</v>
      </c>
      <c r="P976" s="27" t="e">
        <f ca="1">'01_INPUTS'!B9*N976-K976</f>
        <v>#NAME?</v>
      </c>
      <c r="Q976" s="1" t="e">
        <f t="shared" ca="1" si="95"/>
        <v>#NAME?</v>
      </c>
      <c r="R976" s="28">
        <v>9.9599093664437532E-2</v>
      </c>
      <c r="S976" s="28">
        <v>0.39396994095295668</v>
      </c>
      <c r="T976" s="28">
        <v>0.75655768276192248</v>
      </c>
      <c r="U976" s="28">
        <v>0.41687097121030092</v>
      </c>
      <c r="V976" s="28">
        <v>0.11985001433640718</v>
      </c>
      <c r="W976" s="28">
        <v>0.80032884934917092</v>
      </c>
      <c r="X976" s="28">
        <v>0.41722324234433472</v>
      </c>
    </row>
    <row r="977" spans="1:24" ht="13.9">
      <c r="A977" s="1">
        <v>976</v>
      </c>
      <c r="B977" s="23" t="e">
        <f ca="1">_xludf.BETA.INV(R977,'04_PSA_INPUTS'!H5,'04_PSA_INPUTS'!I5)</f>
        <v>#NAME?</v>
      </c>
      <c r="C977" s="23" t="e">
        <f ca="1">_xludf.BETA.INV(S977,'04_PSA_INPUTS'!H6,'04_PSA_INPUTS'!I6)</f>
        <v>#NAME?</v>
      </c>
      <c r="D977" s="27" t="e">
        <f ca="1">_xludf.GAMMA.INV(T977,'04_PSA_INPUTS'!H7,'04_PSA_INPUTS'!I7)</f>
        <v>#NAME?</v>
      </c>
      <c r="E977" s="27" t="e">
        <f ca="1">_xludf.GAMMA.INV(U977,'04_PSA_INPUTS'!H8,'04_PSA_INPUTS'!I8)</f>
        <v>#NAME?</v>
      </c>
      <c r="F977" s="27" t="e">
        <f ca="1">_xludf.GAMMA.INV(V977,'04_PSA_INPUTS'!H9,'04_PSA_INPUTS'!I9)</f>
        <v>#NAME?</v>
      </c>
      <c r="G977" s="23" t="e">
        <f ca="1">_xludf.BETA.INV(W977,'04_PSA_INPUTS'!H10,'04_PSA_INPUTS'!I10)</f>
        <v>#NAME?</v>
      </c>
      <c r="H977" s="23" t="e">
        <f ca="1">_xludf.BETA.INV(X977,'04_PSA_INPUTS'!H11,'04_PSA_INPUTS'!I11)</f>
        <v>#NAME?</v>
      </c>
      <c r="I977" s="27" t="e">
        <f ca="1">D977+B977*F977+'01_INPUTS'!B20</f>
        <v>#NAME?</v>
      </c>
      <c r="J977" s="27" t="e">
        <f ca="1">E977+C977*F977+'01_INPUTS'!B21</f>
        <v>#NAME?</v>
      </c>
      <c r="K977" s="27" t="e">
        <f t="shared" ca="1" si="90"/>
        <v>#NAME?</v>
      </c>
      <c r="L977" s="23" t="e">
        <f t="shared" ca="1" si="91"/>
        <v>#NAME?</v>
      </c>
      <c r="M977" s="23" t="e">
        <f t="shared" ca="1" si="92"/>
        <v>#NAME?</v>
      </c>
      <c r="N977" s="23" t="e">
        <f t="shared" ca="1" si="93"/>
        <v>#NAME?</v>
      </c>
      <c r="O977" s="27" t="e">
        <f t="shared" ca="1" si="94"/>
        <v>#NAME?</v>
      </c>
      <c r="P977" s="27" t="e">
        <f ca="1">'01_INPUTS'!B9*N977-K977</f>
        <v>#NAME?</v>
      </c>
      <c r="Q977" s="1" t="e">
        <f t="shared" ca="1" si="95"/>
        <v>#NAME?</v>
      </c>
      <c r="R977" s="28">
        <v>0.42270865943282843</v>
      </c>
      <c r="S977" s="28">
        <v>0.3206751577090472</v>
      </c>
      <c r="T977" s="28">
        <v>0.19027196662500501</v>
      </c>
      <c r="U977" s="28">
        <v>0.6850050741340965</v>
      </c>
      <c r="V977" s="28">
        <v>0.99822911387309432</v>
      </c>
      <c r="W977" s="28">
        <v>0.74058650271035731</v>
      </c>
      <c r="X977" s="28">
        <v>0.2565108435228467</v>
      </c>
    </row>
    <row r="978" spans="1:24" ht="13.9">
      <c r="A978" s="1">
        <v>977</v>
      </c>
      <c r="B978" s="23" t="e">
        <f ca="1">_xludf.BETA.INV(R978,'04_PSA_INPUTS'!H5,'04_PSA_INPUTS'!I5)</f>
        <v>#NAME?</v>
      </c>
      <c r="C978" s="23" t="e">
        <f ca="1">_xludf.BETA.INV(S978,'04_PSA_INPUTS'!H6,'04_PSA_INPUTS'!I6)</f>
        <v>#NAME?</v>
      </c>
      <c r="D978" s="27" t="e">
        <f ca="1">_xludf.GAMMA.INV(T978,'04_PSA_INPUTS'!H7,'04_PSA_INPUTS'!I7)</f>
        <v>#NAME?</v>
      </c>
      <c r="E978" s="27" t="e">
        <f ca="1">_xludf.GAMMA.INV(U978,'04_PSA_INPUTS'!H8,'04_PSA_INPUTS'!I8)</f>
        <v>#NAME?</v>
      </c>
      <c r="F978" s="27" t="e">
        <f ca="1">_xludf.GAMMA.INV(V978,'04_PSA_INPUTS'!H9,'04_PSA_INPUTS'!I9)</f>
        <v>#NAME?</v>
      </c>
      <c r="G978" s="23" t="e">
        <f ca="1">_xludf.BETA.INV(W978,'04_PSA_INPUTS'!H10,'04_PSA_INPUTS'!I10)</f>
        <v>#NAME?</v>
      </c>
      <c r="H978" s="23" t="e">
        <f ca="1">_xludf.BETA.INV(X978,'04_PSA_INPUTS'!H11,'04_PSA_INPUTS'!I11)</f>
        <v>#NAME?</v>
      </c>
      <c r="I978" s="27" t="e">
        <f ca="1">D978+B978*F978+'01_INPUTS'!B20</f>
        <v>#NAME?</v>
      </c>
      <c r="J978" s="27" t="e">
        <f ca="1">E978+C978*F978+'01_INPUTS'!B21</f>
        <v>#NAME?</v>
      </c>
      <c r="K978" s="27" t="e">
        <f t="shared" ca="1" si="90"/>
        <v>#NAME?</v>
      </c>
      <c r="L978" s="23" t="e">
        <f t="shared" ca="1" si="91"/>
        <v>#NAME?</v>
      </c>
      <c r="M978" s="23" t="e">
        <f t="shared" ca="1" si="92"/>
        <v>#NAME?</v>
      </c>
      <c r="N978" s="23" t="e">
        <f t="shared" ca="1" si="93"/>
        <v>#NAME?</v>
      </c>
      <c r="O978" s="27" t="e">
        <f t="shared" ca="1" si="94"/>
        <v>#NAME?</v>
      </c>
      <c r="P978" s="27" t="e">
        <f ca="1">'01_INPUTS'!B9*N978-K978</f>
        <v>#NAME?</v>
      </c>
      <c r="Q978" s="1" t="e">
        <f t="shared" ca="1" si="95"/>
        <v>#NAME?</v>
      </c>
      <c r="R978" s="28">
        <v>0.71352928644046187</v>
      </c>
      <c r="S978" s="28">
        <v>6.1453589936718345E-2</v>
      </c>
      <c r="T978" s="28">
        <v>0.8311040832195431</v>
      </c>
      <c r="U978" s="28">
        <v>0.82309081894345582</v>
      </c>
      <c r="V978" s="28">
        <v>0.49031432834453881</v>
      </c>
      <c r="W978" s="28">
        <v>0.16667911480180919</v>
      </c>
      <c r="X978" s="28">
        <v>0.69412133865989745</v>
      </c>
    </row>
    <row r="979" spans="1:24" ht="13.9">
      <c r="A979" s="1">
        <v>978</v>
      </c>
      <c r="B979" s="23" t="e">
        <f ca="1">_xludf.BETA.INV(R979,'04_PSA_INPUTS'!H5,'04_PSA_INPUTS'!I5)</f>
        <v>#NAME?</v>
      </c>
      <c r="C979" s="23" t="e">
        <f ca="1">_xludf.BETA.INV(S979,'04_PSA_INPUTS'!H6,'04_PSA_INPUTS'!I6)</f>
        <v>#NAME?</v>
      </c>
      <c r="D979" s="27" t="e">
        <f ca="1">_xludf.GAMMA.INV(T979,'04_PSA_INPUTS'!H7,'04_PSA_INPUTS'!I7)</f>
        <v>#NAME?</v>
      </c>
      <c r="E979" s="27" t="e">
        <f ca="1">_xludf.GAMMA.INV(U979,'04_PSA_INPUTS'!H8,'04_PSA_INPUTS'!I8)</f>
        <v>#NAME?</v>
      </c>
      <c r="F979" s="27" t="e">
        <f ca="1">_xludf.GAMMA.INV(V979,'04_PSA_INPUTS'!H9,'04_PSA_INPUTS'!I9)</f>
        <v>#NAME?</v>
      </c>
      <c r="G979" s="23" t="e">
        <f ca="1">_xludf.BETA.INV(W979,'04_PSA_INPUTS'!H10,'04_PSA_INPUTS'!I10)</f>
        <v>#NAME?</v>
      </c>
      <c r="H979" s="23" t="e">
        <f ca="1">_xludf.BETA.INV(X979,'04_PSA_INPUTS'!H11,'04_PSA_INPUTS'!I11)</f>
        <v>#NAME?</v>
      </c>
      <c r="I979" s="27" t="e">
        <f ca="1">D979+B979*F979+'01_INPUTS'!B20</f>
        <v>#NAME?</v>
      </c>
      <c r="J979" s="27" t="e">
        <f ca="1">E979+C979*F979+'01_INPUTS'!B21</f>
        <v>#NAME?</v>
      </c>
      <c r="K979" s="27" t="e">
        <f t="shared" ca="1" si="90"/>
        <v>#NAME?</v>
      </c>
      <c r="L979" s="23" t="e">
        <f t="shared" ca="1" si="91"/>
        <v>#NAME?</v>
      </c>
      <c r="M979" s="23" t="e">
        <f t="shared" ca="1" si="92"/>
        <v>#NAME?</v>
      </c>
      <c r="N979" s="23" t="e">
        <f t="shared" ca="1" si="93"/>
        <v>#NAME?</v>
      </c>
      <c r="O979" s="27" t="e">
        <f t="shared" ca="1" si="94"/>
        <v>#NAME?</v>
      </c>
      <c r="P979" s="27" t="e">
        <f ca="1">'01_INPUTS'!B9*N979-K979</f>
        <v>#NAME?</v>
      </c>
      <c r="Q979" s="1" t="e">
        <f t="shared" ca="1" si="95"/>
        <v>#NAME?</v>
      </c>
      <c r="R979" s="28">
        <v>0.27445501019246876</v>
      </c>
      <c r="S979" s="28">
        <v>0.19153880653902888</v>
      </c>
      <c r="T979" s="28">
        <v>0.96024203766137362</v>
      </c>
      <c r="U979" s="28">
        <v>0.60033371415920556</v>
      </c>
      <c r="V979" s="28">
        <v>0.33379922108724713</v>
      </c>
      <c r="W979" s="28">
        <v>7.3128123302012682E-2</v>
      </c>
      <c r="X979" s="28">
        <v>0.40522910212166607</v>
      </c>
    </row>
    <row r="980" spans="1:24" ht="13.9">
      <c r="A980" s="1">
        <v>979</v>
      </c>
      <c r="B980" s="23" t="e">
        <f ca="1">_xludf.BETA.INV(R980,'04_PSA_INPUTS'!H5,'04_PSA_INPUTS'!I5)</f>
        <v>#NAME?</v>
      </c>
      <c r="C980" s="23" t="e">
        <f ca="1">_xludf.BETA.INV(S980,'04_PSA_INPUTS'!H6,'04_PSA_INPUTS'!I6)</f>
        <v>#NAME?</v>
      </c>
      <c r="D980" s="27" t="e">
        <f ca="1">_xludf.GAMMA.INV(T980,'04_PSA_INPUTS'!H7,'04_PSA_INPUTS'!I7)</f>
        <v>#NAME?</v>
      </c>
      <c r="E980" s="27" t="e">
        <f ca="1">_xludf.GAMMA.INV(U980,'04_PSA_INPUTS'!H8,'04_PSA_INPUTS'!I8)</f>
        <v>#NAME?</v>
      </c>
      <c r="F980" s="27" t="e">
        <f ca="1">_xludf.GAMMA.INV(V980,'04_PSA_INPUTS'!H9,'04_PSA_INPUTS'!I9)</f>
        <v>#NAME?</v>
      </c>
      <c r="G980" s="23" t="e">
        <f ca="1">_xludf.BETA.INV(W980,'04_PSA_INPUTS'!H10,'04_PSA_INPUTS'!I10)</f>
        <v>#NAME?</v>
      </c>
      <c r="H980" s="23" t="e">
        <f ca="1">_xludf.BETA.INV(X980,'04_PSA_INPUTS'!H11,'04_PSA_INPUTS'!I11)</f>
        <v>#NAME?</v>
      </c>
      <c r="I980" s="27" t="e">
        <f ca="1">D980+B980*F980+'01_INPUTS'!B20</f>
        <v>#NAME?</v>
      </c>
      <c r="J980" s="27" t="e">
        <f ca="1">E980+C980*F980+'01_INPUTS'!B21</f>
        <v>#NAME?</v>
      </c>
      <c r="K980" s="27" t="e">
        <f t="shared" ca="1" si="90"/>
        <v>#NAME?</v>
      </c>
      <c r="L980" s="23" t="e">
        <f t="shared" ca="1" si="91"/>
        <v>#NAME?</v>
      </c>
      <c r="M980" s="23" t="e">
        <f t="shared" ca="1" si="92"/>
        <v>#NAME?</v>
      </c>
      <c r="N980" s="23" t="e">
        <f t="shared" ca="1" si="93"/>
        <v>#NAME?</v>
      </c>
      <c r="O980" s="27" t="e">
        <f t="shared" ca="1" si="94"/>
        <v>#NAME?</v>
      </c>
      <c r="P980" s="27" t="e">
        <f ca="1">'01_INPUTS'!B9*N980-K980</f>
        <v>#NAME?</v>
      </c>
      <c r="Q980" s="1" t="e">
        <f t="shared" ca="1" si="95"/>
        <v>#NAME?</v>
      </c>
      <c r="R980" s="28">
        <v>0.11552991019561887</v>
      </c>
      <c r="S980" s="28">
        <v>0.4899218613281846</v>
      </c>
      <c r="T980" s="28">
        <v>0.4491385305300355</v>
      </c>
      <c r="U980" s="28">
        <v>0.739314527483657</v>
      </c>
      <c r="V980" s="28">
        <v>0.60100732417777181</v>
      </c>
      <c r="W980" s="28">
        <v>0.92292505991645157</v>
      </c>
      <c r="X980" s="28">
        <v>0.9735983673017472</v>
      </c>
    </row>
    <row r="981" spans="1:24" ht="13.9">
      <c r="A981" s="1">
        <v>980</v>
      </c>
      <c r="B981" s="23" t="e">
        <f ca="1">_xludf.BETA.INV(R981,'04_PSA_INPUTS'!H5,'04_PSA_INPUTS'!I5)</f>
        <v>#NAME?</v>
      </c>
      <c r="C981" s="23" t="e">
        <f ca="1">_xludf.BETA.INV(S981,'04_PSA_INPUTS'!H6,'04_PSA_INPUTS'!I6)</f>
        <v>#NAME?</v>
      </c>
      <c r="D981" s="27" t="e">
        <f ca="1">_xludf.GAMMA.INV(T981,'04_PSA_INPUTS'!H7,'04_PSA_INPUTS'!I7)</f>
        <v>#NAME?</v>
      </c>
      <c r="E981" s="27" t="e">
        <f ca="1">_xludf.GAMMA.INV(U981,'04_PSA_INPUTS'!H8,'04_PSA_INPUTS'!I8)</f>
        <v>#NAME?</v>
      </c>
      <c r="F981" s="27" t="e">
        <f ca="1">_xludf.GAMMA.INV(V981,'04_PSA_INPUTS'!H9,'04_PSA_INPUTS'!I9)</f>
        <v>#NAME?</v>
      </c>
      <c r="G981" s="23" t="e">
        <f ca="1">_xludf.BETA.INV(W981,'04_PSA_INPUTS'!H10,'04_PSA_INPUTS'!I10)</f>
        <v>#NAME?</v>
      </c>
      <c r="H981" s="23" t="e">
        <f ca="1">_xludf.BETA.INV(X981,'04_PSA_INPUTS'!H11,'04_PSA_INPUTS'!I11)</f>
        <v>#NAME?</v>
      </c>
      <c r="I981" s="27" t="e">
        <f ca="1">D981+B981*F981+'01_INPUTS'!B20</f>
        <v>#NAME?</v>
      </c>
      <c r="J981" s="27" t="e">
        <f ca="1">E981+C981*F981+'01_INPUTS'!B21</f>
        <v>#NAME?</v>
      </c>
      <c r="K981" s="27" t="e">
        <f t="shared" ca="1" si="90"/>
        <v>#NAME?</v>
      </c>
      <c r="L981" s="23" t="e">
        <f t="shared" ca="1" si="91"/>
        <v>#NAME?</v>
      </c>
      <c r="M981" s="23" t="e">
        <f t="shared" ca="1" si="92"/>
        <v>#NAME?</v>
      </c>
      <c r="N981" s="23" t="e">
        <f t="shared" ca="1" si="93"/>
        <v>#NAME?</v>
      </c>
      <c r="O981" s="27" t="e">
        <f t="shared" ca="1" si="94"/>
        <v>#NAME?</v>
      </c>
      <c r="P981" s="27" t="e">
        <f ca="1">'01_INPUTS'!B9*N981-K981</f>
        <v>#NAME?</v>
      </c>
      <c r="Q981" s="1" t="e">
        <f t="shared" ca="1" si="95"/>
        <v>#NAME?</v>
      </c>
      <c r="R981" s="28">
        <v>0.98755881399847567</v>
      </c>
      <c r="S981" s="28">
        <v>0.49268922139890492</v>
      </c>
      <c r="T981" s="28">
        <v>0.2240078744944185</v>
      </c>
      <c r="U981" s="28">
        <v>0.80575974937528372</v>
      </c>
      <c r="V981" s="28">
        <v>0.27020739484578371</v>
      </c>
      <c r="W981" s="28">
        <v>0.66504847584292293</v>
      </c>
      <c r="X981" s="28">
        <v>0.4517377158626914</v>
      </c>
    </row>
    <row r="982" spans="1:24" ht="13.9">
      <c r="A982" s="1">
        <v>981</v>
      </c>
      <c r="B982" s="23" t="e">
        <f ca="1">_xludf.BETA.INV(R982,'04_PSA_INPUTS'!H5,'04_PSA_INPUTS'!I5)</f>
        <v>#NAME?</v>
      </c>
      <c r="C982" s="23" t="e">
        <f ca="1">_xludf.BETA.INV(S982,'04_PSA_INPUTS'!H6,'04_PSA_INPUTS'!I6)</f>
        <v>#NAME?</v>
      </c>
      <c r="D982" s="27" t="e">
        <f ca="1">_xludf.GAMMA.INV(T982,'04_PSA_INPUTS'!H7,'04_PSA_INPUTS'!I7)</f>
        <v>#NAME?</v>
      </c>
      <c r="E982" s="27" t="e">
        <f ca="1">_xludf.GAMMA.INV(U982,'04_PSA_INPUTS'!H8,'04_PSA_INPUTS'!I8)</f>
        <v>#NAME?</v>
      </c>
      <c r="F982" s="27" t="e">
        <f ca="1">_xludf.GAMMA.INV(V982,'04_PSA_INPUTS'!H9,'04_PSA_INPUTS'!I9)</f>
        <v>#NAME?</v>
      </c>
      <c r="G982" s="23" t="e">
        <f ca="1">_xludf.BETA.INV(W982,'04_PSA_INPUTS'!H10,'04_PSA_INPUTS'!I10)</f>
        <v>#NAME?</v>
      </c>
      <c r="H982" s="23" t="e">
        <f ca="1">_xludf.BETA.INV(X982,'04_PSA_INPUTS'!H11,'04_PSA_INPUTS'!I11)</f>
        <v>#NAME?</v>
      </c>
      <c r="I982" s="27" t="e">
        <f ca="1">D982+B982*F982+'01_INPUTS'!B20</f>
        <v>#NAME?</v>
      </c>
      <c r="J982" s="27" t="e">
        <f ca="1">E982+C982*F982+'01_INPUTS'!B21</f>
        <v>#NAME?</v>
      </c>
      <c r="K982" s="27" t="e">
        <f t="shared" ca="1" si="90"/>
        <v>#NAME?</v>
      </c>
      <c r="L982" s="23" t="e">
        <f t="shared" ca="1" si="91"/>
        <v>#NAME?</v>
      </c>
      <c r="M982" s="23" t="e">
        <f t="shared" ca="1" si="92"/>
        <v>#NAME?</v>
      </c>
      <c r="N982" s="23" t="e">
        <f t="shared" ca="1" si="93"/>
        <v>#NAME?</v>
      </c>
      <c r="O982" s="27" t="e">
        <f t="shared" ca="1" si="94"/>
        <v>#NAME?</v>
      </c>
      <c r="P982" s="27" t="e">
        <f ca="1">'01_INPUTS'!B9*N982-K982</f>
        <v>#NAME?</v>
      </c>
      <c r="Q982" s="1" t="e">
        <f t="shared" ca="1" si="95"/>
        <v>#NAME?</v>
      </c>
      <c r="R982" s="28">
        <v>0.43559186533093452</v>
      </c>
      <c r="S982" s="28">
        <v>0.51110536651685834</v>
      </c>
      <c r="T982" s="28">
        <v>0.1361649795435369</v>
      </c>
      <c r="U982" s="28">
        <v>0.40336528280749917</v>
      </c>
      <c r="V982" s="28">
        <v>0.88997297734022141</v>
      </c>
      <c r="W982" s="28">
        <v>0.21890013944357634</v>
      </c>
      <c r="X982" s="28">
        <v>0.66511760745197535</v>
      </c>
    </row>
    <row r="983" spans="1:24" ht="13.9">
      <c r="A983" s="1">
        <v>982</v>
      </c>
      <c r="B983" s="23" t="e">
        <f ca="1">_xludf.BETA.INV(R983,'04_PSA_INPUTS'!H5,'04_PSA_INPUTS'!I5)</f>
        <v>#NAME?</v>
      </c>
      <c r="C983" s="23" t="e">
        <f ca="1">_xludf.BETA.INV(S983,'04_PSA_INPUTS'!H6,'04_PSA_INPUTS'!I6)</f>
        <v>#NAME?</v>
      </c>
      <c r="D983" s="27" t="e">
        <f ca="1">_xludf.GAMMA.INV(T983,'04_PSA_INPUTS'!H7,'04_PSA_INPUTS'!I7)</f>
        <v>#NAME?</v>
      </c>
      <c r="E983" s="27" t="e">
        <f ca="1">_xludf.GAMMA.INV(U983,'04_PSA_INPUTS'!H8,'04_PSA_INPUTS'!I8)</f>
        <v>#NAME?</v>
      </c>
      <c r="F983" s="27" t="e">
        <f ca="1">_xludf.GAMMA.INV(V983,'04_PSA_INPUTS'!H9,'04_PSA_INPUTS'!I9)</f>
        <v>#NAME?</v>
      </c>
      <c r="G983" s="23" t="e">
        <f ca="1">_xludf.BETA.INV(W983,'04_PSA_INPUTS'!H10,'04_PSA_INPUTS'!I10)</f>
        <v>#NAME?</v>
      </c>
      <c r="H983" s="23" t="e">
        <f ca="1">_xludf.BETA.INV(X983,'04_PSA_INPUTS'!H11,'04_PSA_INPUTS'!I11)</f>
        <v>#NAME?</v>
      </c>
      <c r="I983" s="27" t="e">
        <f ca="1">D983+B983*F983+'01_INPUTS'!B20</f>
        <v>#NAME?</v>
      </c>
      <c r="J983" s="27" t="e">
        <f ca="1">E983+C983*F983+'01_INPUTS'!B21</f>
        <v>#NAME?</v>
      </c>
      <c r="K983" s="27" t="e">
        <f t="shared" ca="1" si="90"/>
        <v>#NAME?</v>
      </c>
      <c r="L983" s="23" t="e">
        <f t="shared" ca="1" si="91"/>
        <v>#NAME?</v>
      </c>
      <c r="M983" s="23" t="e">
        <f t="shared" ca="1" si="92"/>
        <v>#NAME?</v>
      </c>
      <c r="N983" s="23" t="e">
        <f t="shared" ca="1" si="93"/>
        <v>#NAME?</v>
      </c>
      <c r="O983" s="27" t="e">
        <f t="shared" ca="1" si="94"/>
        <v>#NAME?</v>
      </c>
      <c r="P983" s="27" t="e">
        <f ca="1">'01_INPUTS'!B9*N983-K983</f>
        <v>#NAME?</v>
      </c>
      <c r="Q983" s="1" t="e">
        <f t="shared" ca="1" si="95"/>
        <v>#NAME?</v>
      </c>
      <c r="R983" s="28">
        <v>0.39243045635521412</v>
      </c>
      <c r="S983" s="28">
        <v>0.86256285128183663</v>
      </c>
      <c r="T983" s="28">
        <v>0.73195573990233243</v>
      </c>
      <c r="U983" s="28">
        <v>0.45249736099503934</v>
      </c>
      <c r="V983" s="28">
        <v>0.50564876268617809</v>
      </c>
      <c r="W983" s="28">
        <v>0.29927726648747921</v>
      </c>
      <c r="X983" s="28">
        <v>0.96255210530944169</v>
      </c>
    </row>
    <row r="984" spans="1:24" ht="13.9">
      <c r="A984" s="1">
        <v>983</v>
      </c>
      <c r="B984" s="23" t="e">
        <f ca="1">_xludf.BETA.INV(R984,'04_PSA_INPUTS'!H5,'04_PSA_INPUTS'!I5)</f>
        <v>#NAME?</v>
      </c>
      <c r="C984" s="23" t="e">
        <f ca="1">_xludf.BETA.INV(S984,'04_PSA_INPUTS'!H6,'04_PSA_INPUTS'!I6)</f>
        <v>#NAME?</v>
      </c>
      <c r="D984" s="27" t="e">
        <f ca="1">_xludf.GAMMA.INV(T984,'04_PSA_INPUTS'!H7,'04_PSA_INPUTS'!I7)</f>
        <v>#NAME?</v>
      </c>
      <c r="E984" s="27" t="e">
        <f ca="1">_xludf.GAMMA.INV(U984,'04_PSA_INPUTS'!H8,'04_PSA_INPUTS'!I8)</f>
        <v>#NAME?</v>
      </c>
      <c r="F984" s="27" t="e">
        <f ca="1">_xludf.GAMMA.INV(V984,'04_PSA_INPUTS'!H9,'04_PSA_INPUTS'!I9)</f>
        <v>#NAME?</v>
      </c>
      <c r="G984" s="23" t="e">
        <f ca="1">_xludf.BETA.INV(W984,'04_PSA_INPUTS'!H10,'04_PSA_INPUTS'!I10)</f>
        <v>#NAME?</v>
      </c>
      <c r="H984" s="23" t="e">
        <f ca="1">_xludf.BETA.INV(X984,'04_PSA_INPUTS'!H11,'04_PSA_INPUTS'!I11)</f>
        <v>#NAME?</v>
      </c>
      <c r="I984" s="27" t="e">
        <f ca="1">D984+B984*F984+'01_INPUTS'!B20</f>
        <v>#NAME?</v>
      </c>
      <c r="J984" s="27" t="e">
        <f ca="1">E984+C984*F984+'01_INPUTS'!B21</f>
        <v>#NAME?</v>
      </c>
      <c r="K984" s="27" t="e">
        <f t="shared" ca="1" si="90"/>
        <v>#NAME?</v>
      </c>
      <c r="L984" s="23" t="e">
        <f t="shared" ca="1" si="91"/>
        <v>#NAME?</v>
      </c>
      <c r="M984" s="23" t="e">
        <f t="shared" ca="1" si="92"/>
        <v>#NAME?</v>
      </c>
      <c r="N984" s="23" t="e">
        <f t="shared" ca="1" si="93"/>
        <v>#NAME?</v>
      </c>
      <c r="O984" s="27" t="e">
        <f t="shared" ca="1" si="94"/>
        <v>#NAME?</v>
      </c>
      <c r="P984" s="27" t="e">
        <f ca="1">'01_INPUTS'!B9*N984-K984</f>
        <v>#NAME?</v>
      </c>
      <c r="Q984" s="1" t="e">
        <f t="shared" ca="1" si="95"/>
        <v>#NAME?</v>
      </c>
      <c r="R984" s="28">
        <v>0.63982603326439857</v>
      </c>
      <c r="S984" s="28">
        <v>0.78599346545524895</v>
      </c>
      <c r="T984" s="28">
        <v>0.7365920830052346</v>
      </c>
      <c r="U984" s="28">
        <v>0.85160795785486698</v>
      </c>
      <c r="V984" s="28">
        <v>0.47151896916329861</v>
      </c>
      <c r="W984" s="28">
        <v>0.14775271434336901</v>
      </c>
      <c r="X984" s="28">
        <v>0.91826135292649269</v>
      </c>
    </row>
    <row r="985" spans="1:24" ht="13.9">
      <c r="A985" s="1">
        <v>984</v>
      </c>
      <c r="B985" s="23" t="e">
        <f ca="1">_xludf.BETA.INV(R985,'04_PSA_INPUTS'!H5,'04_PSA_INPUTS'!I5)</f>
        <v>#NAME?</v>
      </c>
      <c r="C985" s="23" t="e">
        <f ca="1">_xludf.BETA.INV(S985,'04_PSA_INPUTS'!H6,'04_PSA_INPUTS'!I6)</f>
        <v>#NAME?</v>
      </c>
      <c r="D985" s="27" t="e">
        <f ca="1">_xludf.GAMMA.INV(T985,'04_PSA_INPUTS'!H7,'04_PSA_INPUTS'!I7)</f>
        <v>#NAME?</v>
      </c>
      <c r="E985" s="27" t="e">
        <f ca="1">_xludf.GAMMA.INV(U985,'04_PSA_INPUTS'!H8,'04_PSA_INPUTS'!I8)</f>
        <v>#NAME?</v>
      </c>
      <c r="F985" s="27" t="e">
        <f ca="1">_xludf.GAMMA.INV(V985,'04_PSA_INPUTS'!H9,'04_PSA_INPUTS'!I9)</f>
        <v>#NAME?</v>
      </c>
      <c r="G985" s="23" t="e">
        <f ca="1">_xludf.BETA.INV(W985,'04_PSA_INPUTS'!H10,'04_PSA_INPUTS'!I10)</f>
        <v>#NAME?</v>
      </c>
      <c r="H985" s="23" t="e">
        <f ca="1">_xludf.BETA.INV(X985,'04_PSA_INPUTS'!H11,'04_PSA_INPUTS'!I11)</f>
        <v>#NAME?</v>
      </c>
      <c r="I985" s="27" t="e">
        <f ca="1">D985+B985*F985+'01_INPUTS'!B20</f>
        <v>#NAME?</v>
      </c>
      <c r="J985" s="27" t="e">
        <f ca="1">E985+C985*F985+'01_INPUTS'!B21</f>
        <v>#NAME?</v>
      </c>
      <c r="K985" s="27" t="e">
        <f t="shared" ca="1" si="90"/>
        <v>#NAME?</v>
      </c>
      <c r="L985" s="23" t="e">
        <f t="shared" ca="1" si="91"/>
        <v>#NAME?</v>
      </c>
      <c r="M985" s="23" t="e">
        <f t="shared" ca="1" si="92"/>
        <v>#NAME?</v>
      </c>
      <c r="N985" s="23" t="e">
        <f t="shared" ca="1" si="93"/>
        <v>#NAME?</v>
      </c>
      <c r="O985" s="27" t="e">
        <f t="shared" ca="1" si="94"/>
        <v>#NAME?</v>
      </c>
      <c r="P985" s="27" t="e">
        <f ca="1">'01_INPUTS'!B9*N985-K985</f>
        <v>#NAME?</v>
      </c>
      <c r="Q985" s="1" t="e">
        <f t="shared" ca="1" si="95"/>
        <v>#NAME?</v>
      </c>
      <c r="R985" s="28">
        <v>0.78518570587038994</v>
      </c>
      <c r="S985" s="28">
        <v>0.32617133134044707</v>
      </c>
      <c r="T985" s="28">
        <v>0.10290285013616085</v>
      </c>
      <c r="U985" s="28">
        <v>4.743470624089241E-2</v>
      </c>
      <c r="V985" s="28">
        <v>0.31043179822154343</v>
      </c>
      <c r="W985" s="28">
        <v>0.67140107555314898</v>
      </c>
      <c r="X985" s="28">
        <v>0.25276628765277565</v>
      </c>
    </row>
    <row r="986" spans="1:24" ht="13.9">
      <c r="A986" s="1">
        <v>985</v>
      </c>
      <c r="B986" s="23" t="e">
        <f ca="1">_xludf.BETA.INV(R986,'04_PSA_INPUTS'!H5,'04_PSA_INPUTS'!I5)</f>
        <v>#NAME?</v>
      </c>
      <c r="C986" s="23" t="e">
        <f ca="1">_xludf.BETA.INV(S986,'04_PSA_INPUTS'!H6,'04_PSA_INPUTS'!I6)</f>
        <v>#NAME?</v>
      </c>
      <c r="D986" s="27" t="e">
        <f ca="1">_xludf.GAMMA.INV(T986,'04_PSA_INPUTS'!H7,'04_PSA_INPUTS'!I7)</f>
        <v>#NAME?</v>
      </c>
      <c r="E986" s="27" t="e">
        <f ca="1">_xludf.GAMMA.INV(U986,'04_PSA_INPUTS'!H8,'04_PSA_INPUTS'!I8)</f>
        <v>#NAME?</v>
      </c>
      <c r="F986" s="27" t="e">
        <f ca="1">_xludf.GAMMA.INV(V986,'04_PSA_INPUTS'!H9,'04_PSA_INPUTS'!I9)</f>
        <v>#NAME?</v>
      </c>
      <c r="G986" s="23" t="e">
        <f ca="1">_xludf.BETA.INV(W986,'04_PSA_INPUTS'!H10,'04_PSA_INPUTS'!I10)</f>
        <v>#NAME?</v>
      </c>
      <c r="H986" s="23" t="e">
        <f ca="1">_xludf.BETA.INV(X986,'04_PSA_INPUTS'!H11,'04_PSA_INPUTS'!I11)</f>
        <v>#NAME?</v>
      </c>
      <c r="I986" s="27" t="e">
        <f ca="1">D986+B986*F986+'01_INPUTS'!B20</f>
        <v>#NAME?</v>
      </c>
      <c r="J986" s="27" t="e">
        <f ca="1">E986+C986*F986+'01_INPUTS'!B21</f>
        <v>#NAME?</v>
      </c>
      <c r="K986" s="27" t="e">
        <f t="shared" ca="1" si="90"/>
        <v>#NAME?</v>
      </c>
      <c r="L986" s="23" t="e">
        <f t="shared" ca="1" si="91"/>
        <v>#NAME?</v>
      </c>
      <c r="M986" s="23" t="e">
        <f t="shared" ca="1" si="92"/>
        <v>#NAME?</v>
      </c>
      <c r="N986" s="23" t="e">
        <f t="shared" ca="1" si="93"/>
        <v>#NAME?</v>
      </c>
      <c r="O986" s="27" t="e">
        <f t="shared" ca="1" si="94"/>
        <v>#NAME?</v>
      </c>
      <c r="P986" s="27" t="e">
        <f ca="1">'01_INPUTS'!B9*N986-K986</f>
        <v>#NAME?</v>
      </c>
      <c r="Q986" s="1" t="e">
        <f t="shared" ca="1" si="95"/>
        <v>#NAME?</v>
      </c>
      <c r="R986" s="28">
        <v>0.42704469384625554</v>
      </c>
      <c r="S986" s="28">
        <v>0.92550240154378116</v>
      </c>
      <c r="T986" s="28">
        <v>0.59624979109503329</v>
      </c>
      <c r="U986" s="28">
        <v>0.62949734763242304</v>
      </c>
      <c r="V986" s="28">
        <v>0.21773918066173792</v>
      </c>
      <c r="W986" s="28">
        <v>0.60560804232954979</v>
      </c>
      <c r="X986" s="28">
        <v>0.13097288180142641</v>
      </c>
    </row>
    <row r="987" spans="1:24" ht="13.9">
      <c r="A987" s="1">
        <v>986</v>
      </c>
      <c r="B987" s="23" t="e">
        <f ca="1">_xludf.BETA.INV(R987,'04_PSA_INPUTS'!H5,'04_PSA_INPUTS'!I5)</f>
        <v>#NAME?</v>
      </c>
      <c r="C987" s="23" t="e">
        <f ca="1">_xludf.BETA.INV(S987,'04_PSA_INPUTS'!H6,'04_PSA_INPUTS'!I6)</f>
        <v>#NAME?</v>
      </c>
      <c r="D987" s="27" t="e">
        <f ca="1">_xludf.GAMMA.INV(T987,'04_PSA_INPUTS'!H7,'04_PSA_INPUTS'!I7)</f>
        <v>#NAME?</v>
      </c>
      <c r="E987" s="27" t="e">
        <f ca="1">_xludf.GAMMA.INV(U987,'04_PSA_INPUTS'!H8,'04_PSA_INPUTS'!I8)</f>
        <v>#NAME?</v>
      </c>
      <c r="F987" s="27" t="e">
        <f ca="1">_xludf.GAMMA.INV(V987,'04_PSA_INPUTS'!H9,'04_PSA_INPUTS'!I9)</f>
        <v>#NAME?</v>
      </c>
      <c r="G987" s="23" t="e">
        <f ca="1">_xludf.BETA.INV(W987,'04_PSA_INPUTS'!H10,'04_PSA_INPUTS'!I10)</f>
        <v>#NAME?</v>
      </c>
      <c r="H987" s="23" t="e">
        <f ca="1">_xludf.BETA.INV(X987,'04_PSA_INPUTS'!H11,'04_PSA_INPUTS'!I11)</f>
        <v>#NAME?</v>
      </c>
      <c r="I987" s="27" t="e">
        <f ca="1">D987+B987*F987+'01_INPUTS'!B20</f>
        <v>#NAME?</v>
      </c>
      <c r="J987" s="27" t="e">
        <f ca="1">E987+C987*F987+'01_INPUTS'!B21</f>
        <v>#NAME?</v>
      </c>
      <c r="K987" s="27" t="e">
        <f t="shared" ca="1" si="90"/>
        <v>#NAME?</v>
      </c>
      <c r="L987" s="23" t="e">
        <f t="shared" ca="1" si="91"/>
        <v>#NAME?</v>
      </c>
      <c r="M987" s="23" t="e">
        <f t="shared" ca="1" si="92"/>
        <v>#NAME?</v>
      </c>
      <c r="N987" s="23" t="e">
        <f t="shared" ca="1" si="93"/>
        <v>#NAME?</v>
      </c>
      <c r="O987" s="27" t="e">
        <f t="shared" ca="1" si="94"/>
        <v>#NAME?</v>
      </c>
      <c r="P987" s="27" t="e">
        <f ca="1">'01_INPUTS'!B9*N987-K987</f>
        <v>#NAME?</v>
      </c>
      <c r="Q987" s="1" t="e">
        <f t="shared" ca="1" si="95"/>
        <v>#NAME?</v>
      </c>
      <c r="R987" s="28">
        <v>0.30075496388599277</v>
      </c>
      <c r="S987" s="28">
        <v>0.52538243634626269</v>
      </c>
      <c r="T987" s="28">
        <v>0.88085198123008013</v>
      </c>
      <c r="U987" s="28">
        <v>0.86344155971892178</v>
      </c>
      <c r="V987" s="28">
        <v>1.3338371878489852E-2</v>
      </c>
      <c r="W987" s="28">
        <v>8.2095510791987181E-2</v>
      </c>
      <c r="X987" s="28">
        <v>0.29248127876780927</v>
      </c>
    </row>
    <row r="988" spans="1:24" ht="13.9">
      <c r="A988" s="1">
        <v>987</v>
      </c>
      <c r="B988" s="23" t="e">
        <f ca="1">_xludf.BETA.INV(R988,'04_PSA_INPUTS'!H5,'04_PSA_INPUTS'!I5)</f>
        <v>#NAME?</v>
      </c>
      <c r="C988" s="23" t="e">
        <f ca="1">_xludf.BETA.INV(S988,'04_PSA_INPUTS'!H6,'04_PSA_INPUTS'!I6)</f>
        <v>#NAME?</v>
      </c>
      <c r="D988" s="27" t="e">
        <f ca="1">_xludf.GAMMA.INV(T988,'04_PSA_INPUTS'!H7,'04_PSA_INPUTS'!I7)</f>
        <v>#NAME?</v>
      </c>
      <c r="E988" s="27" t="e">
        <f ca="1">_xludf.GAMMA.INV(U988,'04_PSA_INPUTS'!H8,'04_PSA_INPUTS'!I8)</f>
        <v>#NAME?</v>
      </c>
      <c r="F988" s="27" t="e">
        <f ca="1">_xludf.GAMMA.INV(V988,'04_PSA_INPUTS'!H9,'04_PSA_INPUTS'!I9)</f>
        <v>#NAME?</v>
      </c>
      <c r="G988" s="23" t="e">
        <f ca="1">_xludf.BETA.INV(W988,'04_PSA_INPUTS'!H10,'04_PSA_INPUTS'!I10)</f>
        <v>#NAME?</v>
      </c>
      <c r="H988" s="23" t="e">
        <f ca="1">_xludf.BETA.INV(X988,'04_PSA_INPUTS'!H11,'04_PSA_INPUTS'!I11)</f>
        <v>#NAME?</v>
      </c>
      <c r="I988" s="27" t="e">
        <f ca="1">D988+B988*F988+'01_INPUTS'!B20</f>
        <v>#NAME?</v>
      </c>
      <c r="J988" s="27" t="e">
        <f ca="1">E988+C988*F988+'01_INPUTS'!B21</f>
        <v>#NAME?</v>
      </c>
      <c r="K988" s="27" t="e">
        <f t="shared" ca="1" si="90"/>
        <v>#NAME?</v>
      </c>
      <c r="L988" s="23" t="e">
        <f t="shared" ca="1" si="91"/>
        <v>#NAME?</v>
      </c>
      <c r="M988" s="23" t="e">
        <f t="shared" ca="1" si="92"/>
        <v>#NAME?</v>
      </c>
      <c r="N988" s="23" t="e">
        <f t="shared" ca="1" si="93"/>
        <v>#NAME?</v>
      </c>
      <c r="O988" s="27" t="e">
        <f t="shared" ca="1" si="94"/>
        <v>#NAME?</v>
      </c>
      <c r="P988" s="27" t="e">
        <f ca="1">'01_INPUTS'!B9*N988-K988</f>
        <v>#NAME?</v>
      </c>
      <c r="Q988" s="1" t="e">
        <f t="shared" ca="1" si="95"/>
        <v>#NAME?</v>
      </c>
      <c r="R988" s="28">
        <v>0.15927815716713667</v>
      </c>
      <c r="S988" s="28">
        <v>0.16180097102187574</v>
      </c>
      <c r="T988" s="28">
        <v>0.50694372993893921</v>
      </c>
      <c r="U988" s="28">
        <v>0.39589088479988277</v>
      </c>
      <c r="V988" s="28">
        <v>0.95806359732523561</v>
      </c>
      <c r="W988" s="28">
        <v>0.14631760865449905</v>
      </c>
      <c r="X988" s="28">
        <v>0.52916549355722964</v>
      </c>
    </row>
    <row r="989" spans="1:24" ht="13.9">
      <c r="A989" s="1">
        <v>988</v>
      </c>
      <c r="B989" s="23" t="e">
        <f ca="1">_xludf.BETA.INV(R989,'04_PSA_INPUTS'!H5,'04_PSA_INPUTS'!I5)</f>
        <v>#NAME?</v>
      </c>
      <c r="C989" s="23" t="e">
        <f ca="1">_xludf.BETA.INV(S989,'04_PSA_INPUTS'!H6,'04_PSA_INPUTS'!I6)</f>
        <v>#NAME?</v>
      </c>
      <c r="D989" s="27" t="e">
        <f ca="1">_xludf.GAMMA.INV(T989,'04_PSA_INPUTS'!H7,'04_PSA_INPUTS'!I7)</f>
        <v>#NAME?</v>
      </c>
      <c r="E989" s="27" t="e">
        <f ca="1">_xludf.GAMMA.INV(U989,'04_PSA_INPUTS'!H8,'04_PSA_INPUTS'!I8)</f>
        <v>#NAME?</v>
      </c>
      <c r="F989" s="27" t="e">
        <f ca="1">_xludf.GAMMA.INV(V989,'04_PSA_INPUTS'!H9,'04_PSA_INPUTS'!I9)</f>
        <v>#NAME?</v>
      </c>
      <c r="G989" s="23" t="e">
        <f ca="1">_xludf.BETA.INV(W989,'04_PSA_INPUTS'!H10,'04_PSA_INPUTS'!I10)</f>
        <v>#NAME?</v>
      </c>
      <c r="H989" s="23" t="e">
        <f ca="1">_xludf.BETA.INV(X989,'04_PSA_INPUTS'!H11,'04_PSA_INPUTS'!I11)</f>
        <v>#NAME?</v>
      </c>
      <c r="I989" s="27" t="e">
        <f ca="1">D989+B989*F989+'01_INPUTS'!B20</f>
        <v>#NAME?</v>
      </c>
      <c r="J989" s="27" t="e">
        <f ca="1">E989+C989*F989+'01_INPUTS'!B21</f>
        <v>#NAME?</v>
      </c>
      <c r="K989" s="27" t="e">
        <f t="shared" ca="1" si="90"/>
        <v>#NAME?</v>
      </c>
      <c r="L989" s="23" t="e">
        <f t="shared" ca="1" si="91"/>
        <v>#NAME?</v>
      </c>
      <c r="M989" s="23" t="e">
        <f t="shared" ca="1" si="92"/>
        <v>#NAME?</v>
      </c>
      <c r="N989" s="23" t="e">
        <f t="shared" ca="1" si="93"/>
        <v>#NAME?</v>
      </c>
      <c r="O989" s="27" t="e">
        <f t="shared" ca="1" si="94"/>
        <v>#NAME?</v>
      </c>
      <c r="P989" s="27" t="e">
        <f ca="1">'01_INPUTS'!B9*N989-K989</f>
        <v>#NAME?</v>
      </c>
      <c r="Q989" s="1" t="e">
        <f t="shared" ca="1" si="95"/>
        <v>#NAME?</v>
      </c>
      <c r="R989" s="28">
        <v>0.37553591676987708</v>
      </c>
      <c r="S989" s="28">
        <v>0.901901766192168</v>
      </c>
      <c r="T989" s="28">
        <v>0.41654942859895527</v>
      </c>
      <c r="U989" s="28">
        <v>0.92864111042581499</v>
      </c>
      <c r="V989" s="28">
        <v>0.83028182503767312</v>
      </c>
      <c r="W989" s="28">
        <v>0.84787289635278285</v>
      </c>
      <c r="X989" s="28">
        <v>0.50260641635395586</v>
      </c>
    </row>
    <row r="990" spans="1:24" ht="13.9">
      <c r="A990" s="1">
        <v>989</v>
      </c>
      <c r="B990" s="23" t="e">
        <f ca="1">_xludf.BETA.INV(R990,'04_PSA_INPUTS'!H5,'04_PSA_INPUTS'!I5)</f>
        <v>#NAME?</v>
      </c>
      <c r="C990" s="23" t="e">
        <f ca="1">_xludf.BETA.INV(S990,'04_PSA_INPUTS'!H6,'04_PSA_INPUTS'!I6)</f>
        <v>#NAME?</v>
      </c>
      <c r="D990" s="27" t="e">
        <f ca="1">_xludf.GAMMA.INV(T990,'04_PSA_INPUTS'!H7,'04_PSA_INPUTS'!I7)</f>
        <v>#NAME?</v>
      </c>
      <c r="E990" s="27" t="e">
        <f ca="1">_xludf.GAMMA.INV(U990,'04_PSA_INPUTS'!H8,'04_PSA_INPUTS'!I8)</f>
        <v>#NAME?</v>
      </c>
      <c r="F990" s="27" t="e">
        <f ca="1">_xludf.GAMMA.INV(V990,'04_PSA_INPUTS'!H9,'04_PSA_INPUTS'!I9)</f>
        <v>#NAME?</v>
      </c>
      <c r="G990" s="23" t="e">
        <f ca="1">_xludf.BETA.INV(W990,'04_PSA_INPUTS'!H10,'04_PSA_INPUTS'!I10)</f>
        <v>#NAME?</v>
      </c>
      <c r="H990" s="23" t="e">
        <f ca="1">_xludf.BETA.INV(X990,'04_PSA_INPUTS'!H11,'04_PSA_INPUTS'!I11)</f>
        <v>#NAME?</v>
      </c>
      <c r="I990" s="27" t="e">
        <f ca="1">D990+B990*F990+'01_INPUTS'!B20</f>
        <v>#NAME?</v>
      </c>
      <c r="J990" s="27" t="e">
        <f ca="1">E990+C990*F990+'01_INPUTS'!B21</f>
        <v>#NAME?</v>
      </c>
      <c r="K990" s="27" t="e">
        <f t="shared" ca="1" si="90"/>
        <v>#NAME?</v>
      </c>
      <c r="L990" s="23" t="e">
        <f t="shared" ca="1" si="91"/>
        <v>#NAME?</v>
      </c>
      <c r="M990" s="23" t="e">
        <f t="shared" ca="1" si="92"/>
        <v>#NAME?</v>
      </c>
      <c r="N990" s="23" t="e">
        <f t="shared" ca="1" si="93"/>
        <v>#NAME?</v>
      </c>
      <c r="O990" s="27" t="e">
        <f t="shared" ca="1" si="94"/>
        <v>#NAME?</v>
      </c>
      <c r="P990" s="27" t="e">
        <f ca="1">'01_INPUTS'!B9*N990-K990</f>
        <v>#NAME?</v>
      </c>
      <c r="Q990" s="1" t="e">
        <f t="shared" ca="1" si="95"/>
        <v>#NAME?</v>
      </c>
      <c r="R990" s="28">
        <v>0.14728324976749718</v>
      </c>
      <c r="S990" s="28">
        <v>1.4079815940931439E-2</v>
      </c>
      <c r="T990" s="28">
        <v>0.86478567658923566</v>
      </c>
      <c r="U990" s="28">
        <v>0.21704398025758564</v>
      </c>
      <c r="V990" s="28">
        <v>0.17871092353016138</v>
      </c>
      <c r="W990" s="28">
        <v>0.56339942989870906</v>
      </c>
      <c r="X990" s="28">
        <v>0.65082730469293892</v>
      </c>
    </row>
    <row r="991" spans="1:24" ht="13.9">
      <c r="A991" s="1">
        <v>990</v>
      </c>
      <c r="B991" s="23" t="e">
        <f ca="1">_xludf.BETA.INV(R991,'04_PSA_INPUTS'!H5,'04_PSA_INPUTS'!I5)</f>
        <v>#NAME?</v>
      </c>
      <c r="C991" s="23" t="e">
        <f ca="1">_xludf.BETA.INV(S991,'04_PSA_INPUTS'!H6,'04_PSA_INPUTS'!I6)</f>
        <v>#NAME?</v>
      </c>
      <c r="D991" s="27" t="e">
        <f ca="1">_xludf.GAMMA.INV(T991,'04_PSA_INPUTS'!H7,'04_PSA_INPUTS'!I7)</f>
        <v>#NAME?</v>
      </c>
      <c r="E991" s="27" t="e">
        <f ca="1">_xludf.GAMMA.INV(U991,'04_PSA_INPUTS'!H8,'04_PSA_INPUTS'!I8)</f>
        <v>#NAME?</v>
      </c>
      <c r="F991" s="27" t="e">
        <f ca="1">_xludf.GAMMA.INV(V991,'04_PSA_INPUTS'!H9,'04_PSA_INPUTS'!I9)</f>
        <v>#NAME?</v>
      </c>
      <c r="G991" s="23" t="e">
        <f ca="1">_xludf.BETA.INV(W991,'04_PSA_INPUTS'!H10,'04_PSA_INPUTS'!I10)</f>
        <v>#NAME?</v>
      </c>
      <c r="H991" s="23" t="e">
        <f ca="1">_xludf.BETA.INV(X991,'04_PSA_INPUTS'!H11,'04_PSA_INPUTS'!I11)</f>
        <v>#NAME?</v>
      </c>
      <c r="I991" s="27" t="e">
        <f ca="1">D991+B991*F991+'01_INPUTS'!B20</f>
        <v>#NAME?</v>
      </c>
      <c r="J991" s="27" t="e">
        <f ca="1">E991+C991*F991+'01_INPUTS'!B21</f>
        <v>#NAME?</v>
      </c>
      <c r="K991" s="27" t="e">
        <f t="shared" ca="1" si="90"/>
        <v>#NAME?</v>
      </c>
      <c r="L991" s="23" t="e">
        <f t="shared" ca="1" si="91"/>
        <v>#NAME?</v>
      </c>
      <c r="M991" s="23" t="e">
        <f t="shared" ca="1" si="92"/>
        <v>#NAME?</v>
      </c>
      <c r="N991" s="23" t="e">
        <f t="shared" ca="1" si="93"/>
        <v>#NAME?</v>
      </c>
      <c r="O991" s="27" t="e">
        <f t="shared" ca="1" si="94"/>
        <v>#NAME?</v>
      </c>
      <c r="P991" s="27" t="e">
        <f ca="1">'01_INPUTS'!B9*N991-K991</f>
        <v>#NAME?</v>
      </c>
      <c r="Q991" s="1" t="e">
        <f t="shared" ca="1" si="95"/>
        <v>#NAME?</v>
      </c>
      <c r="R991" s="28">
        <v>0.72416235413402319</v>
      </c>
      <c r="S991" s="28">
        <v>0.85582298436202109</v>
      </c>
      <c r="T991" s="28">
        <v>0.83426941954530776</v>
      </c>
      <c r="U991" s="28">
        <v>0.52105563646182418</v>
      </c>
      <c r="V991" s="28">
        <v>0.40920733218081295</v>
      </c>
      <c r="W991" s="28">
        <v>0.18686518375761807</v>
      </c>
      <c r="X991" s="28">
        <v>0.12567306938581169</v>
      </c>
    </row>
    <row r="992" spans="1:24" ht="13.9">
      <c r="A992" s="1">
        <v>991</v>
      </c>
      <c r="B992" s="23" t="e">
        <f ca="1">_xludf.BETA.INV(R992,'04_PSA_INPUTS'!H5,'04_PSA_INPUTS'!I5)</f>
        <v>#NAME?</v>
      </c>
      <c r="C992" s="23" t="e">
        <f ca="1">_xludf.BETA.INV(S992,'04_PSA_INPUTS'!H6,'04_PSA_INPUTS'!I6)</f>
        <v>#NAME?</v>
      </c>
      <c r="D992" s="27" t="e">
        <f ca="1">_xludf.GAMMA.INV(T992,'04_PSA_INPUTS'!H7,'04_PSA_INPUTS'!I7)</f>
        <v>#NAME?</v>
      </c>
      <c r="E992" s="27" t="e">
        <f ca="1">_xludf.GAMMA.INV(U992,'04_PSA_INPUTS'!H8,'04_PSA_INPUTS'!I8)</f>
        <v>#NAME?</v>
      </c>
      <c r="F992" s="27" t="e">
        <f ca="1">_xludf.GAMMA.INV(V992,'04_PSA_INPUTS'!H9,'04_PSA_INPUTS'!I9)</f>
        <v>#NAME?</v>
      </c>
      <c r="G992" s="23" t="e">
        <f ca="1">_xludf.BETA.INV(W992,'04_PSA_INPUTS'!H10,'04_PSA_INPUTS'!I10)</f>
        <v>#NAME?</v>
      </c>
      <c r="H992" s="23" t="e">
        <f ca="1">_xludf.BETA.INV(X992,'04_PSA_INPUTS'!H11,'04_PSA_INPUTS'!I11)</f>
        <v>#NAME?</v>
      </c>
      <c r="I992" s="27" t="e">
        <f ca="1">D992+B992*F992+'01_INPUTS'!B20</f>
        <v>#NAME?</v>
      </c>
      <c r="J992" s="27" t="e">
        <f ca="1">E992+C992*F992+'01_INPUTS'!B21</f>
        <v>#NAME?</v>
      </c>
      <c r="K992" s="27" t="e">
        <f t="shared" ca="1" si="90"/>
        <v>#NAME?</v>
      </c>
      <c r="L992" s="23" t="e">
        <f t="shared" ca="1" si="91"/>
        <v>#NAME?</v>
      </c>
      <c r="M992" s="23" t="e">
        <f t="shared" ca="1" si="92"/>
        <v>#NAME?</v>
      </c>
      <c r="N992" s="23" t="e">
        <f t="shared" ca="1" si="93"/>
        <v>#NAME?</v>
      </c>
      <c r="O992" s="27" t="e">
        <f t="shared" ca="1" si="94"/>
        <v>#NAME?</v>
      </c>
      <c r="P992" s="27" t="e">
        <f ca="1">'01_INPUTS'!B9*N992-K992</f>
        <v>#NAME?</v>
      </c>
      <c r="Q992" s="1" t="e">
        <f t="shared" ca="1" si="95"/>
        <v>#NAME?</v>
      </c>
      <c r="R992" s="28">
        <v>0.95346309547312558</v>
      </c>
      <c r="S992" s="28">
        <v>0.70298462198115885</v>
      </c>
      <c r="T992" s="28">
        <v>0.43702959408983588</v>
      </c>
      <c r="U992" s="28">
        <v>0.5348133216612041</v>
      </c>
      <c r="V992" s="28">
        <v>0.88704191986471415</v>
      </c>
      <c r="W992" s="28">
        <v>0.94970195856876671</v>
      </c>
      <c r="X992" s="28">
        <v>0.94231188320554793</v>
      </c>
    </row>
    <row r="993" spans="1:24" ht="13.9">
      <c r="A993" s="1">
        <v>992</v>
      </c>
      <c r="B993" s="23" t="e">
        <f ca="1">_xludf.BETA.INV(R993,'04_PSA_INPUTS'!H5,'04_PSA_INPUTS'!I5)</f>
        <v>#NAME?</v>
      </c>
      <c r="C993" s="23" t="e">
        <f ca="1">_xludf.BETA.INV(S993,'04_PSA_INPUTS'!H6,'04_PSA_INPUTS'!I6)</f>
        <v>#NAME?</v>
      </c>
      <c r="D993" s="27" t="e">
        <f ca="1">_xludf.GAMMA.INV(T993,'04_PSA_INPUTS'!H7,'04_PSA_INPUTS'!I7)</f>
        <v>#NAME?</v>
      </c>
      <c r="E993" s="27" t="e">
        <f ca="1">_xludf.GAMMA.INV(U993,'04_PSA_INPUTS'!H8,'04_PSA_INPUTS'!I8)</f>
        <v>#NAME?</v>
      </c>
      <c r="F993" s="27" t="e">
        <f ca="1">_xludf.GAMMA.INV(V993,'04_PSA_INPUTS'!H9,'04_PSA_INPUTS'!I9)</f>
        <v>#NAME?</v>
      </c>
      <c r="G993" s="23" t="e">
        <f ca="1">_xludf.BETA.INV(W993,'04_PSA_INPUTS'!H10,'04_PSA_INPUTS'!I10)</f>
        <v>#NAME?</v>
      </c>
      <c r="H993" s="23" t="e">
        <f ca="1">_xludf.BETA.INV(X993,'04_PSA_INPUTS'!H11,'04_PSA_INPUTS'!I11)</f>
        <v>#NAME?</v>
      </c>
      <c r="I993" s="27" t="e">
        <f ca="1">D993+B993*F993+'01_INPUTS'!B20</f>
        <v>#NAME?</v>
      </c>
      <c r="J993" s="27" t="e">
        <f ca="1">E993+C993*F993+'01_INPUTS'!B21</f>
        <v>#NAME?</v>
      </c>
      <c r="K993" s="27" t="e">
        <f t="shared" ca="1" si="90"/>
        <v>#NAME?</v>
      </c>
      <c r="L993" s="23" t="e">
        <f t="shared" ca="1" si="91"/>
        <v>#NAME?</v>
      </c>
      <c r="M993" s="23" t="e">
        <f t="shared" ca="1" si="92"/>
        <v>#NAME?</v>
      </c>
      <c r="N993" s="23" t="e">
        <f t="shared" ca="1" si="93"/>
        <v>#NAME?</v>
      </c>
      <c r="O993" s="27" t="e">
        <f t="shared" ca="1" si="94"/>
        <v>#NAME?</v>
      </c>
      <c r="P993" s="27" t="e">
        <f ca="1">'01_INPUTS'!B9*N993-K993</f>
        <v>#NAME?</v>
      </c>
      <c r="Q993" s="1" t="e">
        <f t="shared" ca="1" si="95"/>
        <v>#NAME?</v>
      </c>
      <c r="R993" s="28">
        <v>0.8158289238344878</v>
      </c>
      <c r="S993" s="28">
        <v>0.80108624161221087</v>
      </c>
      <c r="T993" s="28">
        <v>0.58159393211826682</v>
      </c>
      <c r="U993" s="28">
        <v>0.10906212823465466</v>
      </c>
      <c r="V993" s="28">
        <v>0.36471730726771057</v>
      </c>
      <c r="W993" s="28">
        <v>0.18127215187996626</v>
      </c>
      <c r="X993" s="28">
        <v>0.37838124367408454</v>
      </c>
    </row>
    <row r="994" spans="1:24" ht="13.9">
      <c r="A994" s="1">
        <v>993</v>
      </c>
      <c r="B994" s="23" t="e">
        <f ca="1">_xludf.BETA.INV(R994,'04_PSA_INPUTS'!H5,'04_PSA_INPUTS'!I5)</f>
        <v>#NAME?</v>
      </c>
      <c r="C994" s="23" t="e">
        <f ca="1">_xludf.BETA.INV(S994,'04_PSA_INPUTS'!H6,'04_PSA_INPUTS'!I6)</f>
        <v>#NAME?</v>
      </c>
      <c r="D994" s="27" t="e">
        <f ca="1">_xludf.GAMMA.INV(T994,'04_PSA_INPUTS'!H7,'04_PSA_INPUTS'!I7)</f>
        <v>#NAME?</v>
      </c>
      <c r="E994" s="27" t="e">
        <f ca="1">_xludf.GAMMA.INV(U994,'04_PSA_INPUTS'!H8,'04_PSA_INPUTS'!I8)</f>
        <v>#NAME?</v>
      </c>
      <c r="F994" s="27" t="e">
        <f ca="1">_xludf.GAMMA.INV(V994,'04_PSA_INPUTS'!H9,'04_PSA_INPUTS'!I9)</f>
        <v>#NAME?</v>
      </c>
      <c r="G994" s="23" t="e">
        <f ca="1">_xludf.BETA.INV(W994,'04_PSA_INPUTS'!H10,'04_PSA_INPUTS'!I10)</f>
        <v>#NAME?</v>
      </c>
      <c r="H994" s="23" t="e">
        <f ca="1">_xludf.BETA.INV(X994,'04_PSA_INPUTS'!H11,'04_PSA_INPUTS'!I11)</f>
        <v>#NAME?</v>
      </c>
      <c r="I994" s="27" t="e">
        <f ca="1">D994+B994*F994+'01_INPUTS'!B20</f>
        <v>#NAME?</v>
      </c>
      <c r="J994" s="27" t="e">
        <f ca="1">E994+C994*F994+'01_INPUTS'!B21</f>
        <v>#NAME?</v>
      </c>
      <c r="K994" s="27" t="e">
        <f t="shared" ca="1" si="90"/>
        <v>#NAME?</v>
      </c>
      <c r="L994" s="23" t="e">
        <f t="shared" ca="1" si="91"/>
        <v>#NAME?</v>
      </c>
      <c r="M994" s="23" t="e">
        <f t="shared" ca="1" si="92"/>
        <v>#NAME?</v>
      </c>
      <c r="N994" s="23" t="e">
        <f t="shared" ca="1" si="93"/>
        <v>#NAME?</v>
      </c>
      <c r="O994" s="27" t="e">
        <f t="shared" ca="1" si="94"/>
        <v>#NAME?</v>
      </c>
      <c r="P994" s="27" t="e">
        <f ca="1">'01_INPUTS'!B9*N994-K994</f>
        <v>#NAME?</v>
      </c>
      <c r="Q994" s="1" t="e">
        <f t="shared" ca="1" si="95"/>
        <v>#NAME?</v>
      </c>
      <c r="R994" s="28">
        <v>0.36190592381171882</v>
      </c>
      <c r="S994" s="28">
        <v>0.17153792269527912</v>
      </c>
      <c r="T994" s="28">
        <v>0.40357149671763182</v>
      </c>
      <c r="U994" s="28">
        <v>0.5369605019222945</v>
      </c>
      <c r="V994" s="28">
        <v>2.612653817050159E-2</v>
      </c>
      <c r="W994" s="28">
        <v>0.83282921346835792</v>
      </c>
      <c r="X994" s="28">
        <v>0.61448953882791102</v>
      </c>
    </row>
    <row r="995" spans="1:24" ht="13.9">
      <c r="A995" s="1">
        <v>994</v>
      </c>
      <c r="B995" s="23" t="e">
        <f ca="1">_xludf.BETA.INV(R995,'04_PSA_INPUTS'!H5,'04_PSA_INPUTS'!I5)</f>
        <v>#NAME?</v>
      </c>
      <c r="C995" s="23" t="e">
        <f ca="1">_xludf.BETA.INV(S995,'04_PSA_INPUTS'!H6,'04_PSA_INPUTS'!I6)</f>
        <v>#NAME?</v>
      </c>
      <c r="D995" s="27" t="e">
        <f ca="1">_xludf.GAMMA.INV(T995,'04_PSA_INPUTS'!H7,'04_PSA_INPUTS'!I7)</f>
        <v>#NAME?</v>
      </c>
      <c r="E995" s="27" t="e">
        <f ca="1">_xludf.GAMMA.INV(U995,'04_PSA_INPUTS'!H8,'04_PSA_INPUTS'!I8)</f>
        <v>#NAME?</v>
      </c>
      <c r="F995" s="27" t="e">
        <f ca="1">_xludf.GAMMA.INV(V995,'04_PSA_INPUTS'!H9,'04_PSA_INPUTS'!I9)</f>
        <v>#NAME?</v>
      </c>
      <c r="G995" s="23" t="e">
        <f ca="1">_xludf.BETA.INV(W995,'04_PSA_INPUTS'!H10,'04_PSA_INPUTS'!I10)</f>
        <v>#NAME?</v>
      </c>
      <c r="H995" s="23" t="e">
        <f ca="1">_xludf.BETA.INV(X995,'04_PSA_INPUTS'!H11,'04_PSA_INPUTS'!I11)</f>
        <v>#NAME?</v>
      </c>
      <c r="I995" s="27" t="e">
        <f ca="1">D995+B995*F995+'01_INPUTS'!B20</f>
        <v>#NAME?</v>
      </c>
      <c r="J995" s="27" t="e">
        <f ca="1">E995+C995*F995+'01_INPUTS'!B21</f>
        <v>#NAME?</v>
      </c>
      <c r="K995" s="27" t="e">
        <f t="shared" ca="1" si="90"/>
        <v>#NAME?</v>
      </c>
      <c r="L995" s="23" t="e">
        <f t="shared" ca="1" si="91"/>
        <v>#NAME?</v>
      </c>
      <c r="M995" s="23" t="e">
        <f t="shared" ca="1" si="92"/>
        <v>#NAME?</v>
      </c>
      <c r="N995" s="23" t="e">
        <f t="shared" ca="1" si="93"/>
        <v>#NAME?</v>
      </c>
      <c r="O995" s="27" t="e">
        <f t="shared" ca="1" si="94"/>
        <v>#NAME?</v>
      </c>
      <c r="P995" s="27" t="e">
        <f ca="1">'01_INPUTS'!B9*N995-K995</f>
        <v>#NAME?</v>
      </c>
      <c r="Q995" s="1" t="e">
        <f t="shared" ca="1" si="95"/>
        <v>#NAME?</v>
      </c>
      <c r="R995" s="28">
        <v>0.84742842824198306</v>
      </c>
      <c r="S995" s="28">
        <v>0.84531304915435612</v>
      </c>
      <c r="T995" s="28">
        <v>0.78837387659586966</v>
      </c>
      <c r="U995" s="28">
        <v>0.23391362722031772</v>
      </c>
      <c r="V995" s="28">
        <v>5.2980542881414294E-2</v>
      </c>
      <c r="W995" s="28">
        <v>1.8600549316033721E-2</v>
      </c>
      <c r="X995" s="28">
        <v>5.8829549932852387E-2</v>
      </c>
    </row>
    <row r="996" spans="1:24" ht="13.9">
      <c r="A996" s="1">
        <v>995</v>
      </c>
      <c r="B996" s="23" t="e">
        <f ca="1">_xludf.BETA.INV(R996,'04_PSA_INPUTS'!H5,'04_PSA_INPUTS'!I5)</f>
        <v>#NAME?</v>
      </c>
      <c r="C996" s="23" t="e">
        <f ca="1">_xludf.BETA.INV(S996,'04_PSA_INPUTS'!H6,'04_PSA_INPUTS'!I6)</f>
        <v>#NAME?</v>
      </c>
      <c r="D996" s="27" t="e">
        <f ca="1">_xludf.GAMMA.INV(T996,'04_PSA_INPUTS'!H7,'04_PSA_INPUTS'!I7)</f>
        <v>#NAME?</v>
      </c>
      <c r="E996" s="27" t="e">
        <f ca="1">_xludf.GAMMA.INV(U996,'04_PSA_INPUTS'!H8,'04_PSA_INPUTS'!I8)</f>
        <v>#NAME?</v>
      </c>
      <c r="F996" s="27" t="e">
        <f ca="1">_xludf.GAMMA.INV(V996,'04_PSA_INPUTS'!H9,'04_PSA_INPUTS'!I9)</f>
        <v>#NAME?</v>
      </c>
      <c r="G996" s="23" t="e">
        <f ca="1">_xludf.BETA.INV(W996,'04_PSA_INPUTS'!H10,'04_PSA_INPUTS'!I10)</f>
        <v>#NAME?</v>
      </c>
      <c r="H996" s="23" t="e">
        <f ca="1">_xludf.BETA.INV(X996,'04_PSA_INPUTS'!H11,'04_PSA_INPUTS'!I11)</f>
        <v>#NAME?</v>
      </c>
      <c r="I996" s="27" t="e">
        <f ca="1">D996+B996*F996+'01_INPUTS'!B20</f>
        <v>#NAME?</v>
      </c>
      <c r="J996" s="27" t="e">
        <f ca="1">E996+C996*F996+'01_INPUTS'!B21</f>
        <v>#NAME?</v>
      </c>
      <c r="K996" s="27" t="e">
        <f t="shared" ca="1" si="90"/>
        <v>#NAME?</v>
      </c>
      <c r="L996" s="23" t="e">
        <f t="shared" ca="1" si="91"/>
        <v>#NAME?</v>
      </c>
      <c r="M996" s="23" t="e">
        <f t="shared" ca="1" si="92"/>
        <v>#NAME?</v>
      </c>
      <c r="N996" s="23" t="e">
        <f t="shared" ca="1" si="93"/>
        <v>#NAME?</v>
      </c>
      <c r="O996" s="27" t="e">
        <f t="shared" ca="1" si="94"/>
        <v>#NAME?</v>
      </c>
      <c r="P996" s="27" t="e">
        <f ca="1">'01_INPUTS'!B9*N996-K996</f>
        <v>#NAME?</v>
      </c>
      <c r="Q996" s="1" t="e">
        <f t="shared" ca="1" si="95"/>
        <v>#NAME?</v>
      </c>
      <c r="R996" s="28">
        <v>0.94692325382493436</v>
      </c>
      <c r="S996" s="28">
        <v>2.9599453322589397E-2</v>
      </c>
      <c r="T996" s="28">
        <v>0.67143732775002718</v>
      </c>
      <c r="U996" s="28">
        <v>0.18159244325943291</v>
      </c>
      <c r="V996" s="28">
        <v>5.169268511235714E-2</v>
      </c>
      <c r="W996" s="28">
        <v>0.56213650060817599</v>
      </c>
      <c r="X996" s="28">
        <v>8.5274303564801812E-2</v>
      </c>
    </row>
    <row r="997" spans="1:24" ht="13.9">
      <c r="A997" s="1">
        <v>996</v>
      </c>
      <c r="B997" s="23" t="e">
        <f ca="1">_xludf.BETA.INV(R997,'04_PSA_INPUTS'!H5,'04_PSA_INPUTS'!I5)</f>
        <v>#NAME?</v>
      </c>
      <c r="C997" s="23" t="e">
        <f ca="1">_xludf.BETA.INV(S997,'04_PSA_INPUTS'!H6,'04_PSA_INPUTS'!I6)</f>
        <v>#NAME?</v>
      </c>
      <c r="D997" s="27" t="e">
        <f ca="1">_xludf.GAMMA.INV(T997,'04_PSA_INPUTS'!H7,'04_PSA_INPUTS'!I7)</f>
        <v>#NAME?</v>
      </c>
      <c r="E997" s="27" t="e">
        <f ca="1">_xludf.GAMMA.INV(U997,'04_PSA_INPUTS'!H8,'04_PSA_INPUTS'!I8)</f>
        <v>#NAME?</v>
      </c>
      <c r="F997" s="27" t="e">
        <f ca="1">_xludf.GAMMA.INV(V997,'04_PSA_INPUTS'!H9,'04_PSA_INPUTS'!I9)</f>
        <v>#NAME?</v>
      </c>
      <c r="G997" s="23" t="e">
        <f ca="1">_xludf.BETA.INV(W997,'04_PSA_INPUTS'!H10,'04_PSA_INPUTS'!I10)</f>
        <v>#NAME?</v>
      </c>
      <c r="H997" s="23" t="e">
        <f ca="1">_xludf.BETA.INV(X997,'04_PSA_INPUTS'!H11,'04_PSA_INPUTS'!I11)</f>
        <v>#NAME?</v>
      </c>
      <c r="I997" s="27" t="e">
        <f ca="1">D997+B997*F997+'01_INPUTS'!B20</f>
        <v>#NAME?</v>
      </c>
      <c r="J997" s="27" t="e">
        <f ca="1">E997+C997*F997+'01_INPUTS'!B21</f>
        <v>#NAME?</v>
      </c>
      <c r="K997" s="27" t="e">
        <f t="shared" ca="1" si="90"/>
        <v>#NAME?</v>
      </c>
      <c r="L997" s="23" t="e">
        <f t="shared" ca="1" si="91"/>
        <v>#NAME?</v>
      </c>
      <c r="M997" s="23" t="e">
        <f t="shared" ca="1" si="92"/>
        <v>#NAME?</v>
      </c>
      <c r="N997" s="23" t="e">
        <f t="shared" ca="1" si="93"/>
        <v>#NAME?</v>
      </c>
      <c r="O997" s="27" t="e">
        <f t="shared" ca="1" si="94"/>
        <v>#NAME?</v>
      </c>
      <c r="P997" s="27" t="e">
        <f ca="1">'01_INPUTS'!B9*N997-K997</f>
        <v>#NAME?</v>
      </c>
      <c r="Q997" s="1" t="e">
        <f t="shared" ca="1" si="95"/>
        <v>#NAME?</v>
      </c>
      <c r="R997" s="28">
        <v>1.6099733998999E-2</v>
      </c>
      <c r="S997" s="28">
        <v>0.6700605102814734</v>
      </c>
      <c r="T997" s="28">
        <v>0.63156468747183681</v>
      </c>
      <c r="U997" s="28">
        <v>0.25590446614660323</v>
      </c>
      <c r="V997" s="28">
        <v>5.8571065310388803E-3</v>
      </c>
      <c r="W997" s="28">
        <v>7.735594199039042E-2</v>
      </c>
      <c r="X997" s="28">
        <v>0.64970302511937916</v>
      </c>
    </row>
    <row r="998" spans="1:24" ht="13.9">
      <c r="A998" s="1">
        <v>997</v>
      </c>
      <c r="B998" s="23" t="e">
        <f ca="1">_xludf.BETA.INV(R998,'04_PSA_INPUTS'!H5,'04_PSA_INPUTS'!I5)</f>
        <v>#NAME?</v>
      </c>
      <c r="C998" s="23" t="e">
        <f ca="1">_xludf.BETA.INV(S998,'04_PSA_INPUTS'!H6,'04_PSA_INPUTS'!I6)</f>
        <v>#NAME?</v>
      </c>
      <c r="D998" s="27" t="e">
        <f ca="1">_xludf.GAMMA.INV(T998,'04_PSA_INPUTS'!H7,'04_PSA_INPUTS'!I7)</f>
        <v>#NAME?</v>
      </c>
      <c r="E998" s="27" t="e">
        <f ca="1">_xludf.GAMMA.INV(U998,'04_PSA_INPUTS'!H8,'04_PSA_INPUTS'!I8)</f>
        <v>#NAME?</v>
      </c>
      <c r="F998" s="27" t="e">
        <f ca="1">_xludf.GAMMA.INV(V998,'04_PSA_INPUTS'!H9,'04_PSA_INPUTS'!I9)</f>
        <v>#NAME?</v>
      </c>
      <c r="G998" s="23" t="e">
        <f ca="1">_xludf.BETA.INV(W998,'04_PSA_INPUTS'!H10,'04_PSA_INPUTS'!I10)</f>
        <v>#NAME?</v>
      </c>
      <c r="H998" s="23" t="e">
        <f ca="1">_xludf.BETA.INV(X998,'04_PSA_INPUTS'!H11,'04_PSA_INPUTS'!I11)</f>
        <v>#NAME?</v>
      </c>
      <c r="I998" s="27" t="e">
        <f ca="1">D998+B998*F998+'01_INPUTS'!B20</f>
        <v>#NAME?</v>
      </c>
      <c r="J998" s="27" t="e">
        <f ca="1">E998+C998*F998+'01_INPUTS'!B21</f>
        <v>#NAME?</v>
      </c>
      <c r="K998" s="27" t="e">
        <f t="shared" ca="1" si="90"/>
        <v>#NAME?</v>
      </c>
      <c r="L998" s="23" t="e">
        <f t="shared" ca="1" si="91"/>
        <v>#NAME?</v>
      </c>
      <c r="M998" s="23" t="e">
        <f t="shared" ca="1" si="92"/>
        <v>#NAME?</v>
      </c>
      <c r="N998" s="23" t="e">
        <f t="shared" ca="1" si="93"/>
        <v>#NAME?</v>
      </c>
      <c r="O998" s="27" t="e">
        <f t="shared" ca="1" si="94"/>
        <v>#NAME?</v>
      </c>
      <c r="P998" s="27" t="e">
        <f ca="1">'01_INPUTS'!B9*N998-K998</f>
        <v>#NAME?</v>
      </c>
      <c r="Q998" s="1" t="e">
        <f t="shared" ca="1" si="95"/>
        <v>#NAME?</v>
      </c>
      <c r="R998" s="28">
        <v>0.19357304042205215</v>
      </c>
      <c r="S998" s="28">
        <v>0.47952158632688224</v>
      </c>
      <c r="T998" s="28">
        <v>0.63057223614305258</v>
      </c>
      <c r="U998" s="28">
        <v>0.53698319289833307</v>
      </c>
      <c r="V998" s="28">
        <v>0.60275304247625172</v>
      </c>
      <c r="W998" s="28">
        <v>0.16844392544589937</v>
      </c>
      <c r="X998" s="28">
        <v>2.2387073608115315E-2</v>
      </c>
    </row>
    <row r="999" spans="1:24" ht="13.9">
      <c r="A999" s="1">
        <v>998</v>
      </c>
      <c r="B999" s="23" t="e">
        <f ca="1">_xludf.BETA.INV(R999,'04_PSA_INPUTS'!H5,'04_PSA_INPUTS'!I5)</f>
        <v>#NAME?</v>
      </c>
      <c r="C999" s="23" t="e">
        <f ca="1">_xludf.BETA.INV(S999,'04_PSA_INPUTS'!H6,'04_PSA_INPUTS'!I6)</f>
        <v>#NAME?</v>
      </c>
      <c r="D999" s="27" t="e">
        <f ca="1">_xludf.GAMMA.INV(T999,'04_PSA_INPUTS'!H7,'04_PSA_INPUTS'!I7)</f>
        <v>#NAME?</v>
      </c>
      <c r="E999" s="27" t="e">
        <f ca="1">_xludf.GAMMA.INV(U999,'04_PSA_INPUTS'!H8,'04_PSA_INPUTS'!I8)</f>
        <v>#NAME?</v>
      </c>
      <c r="F999" s="27" t="e">
        <f ca="1">_xludf.GAMMA.INV(V999,'04_PSA_INPUTS'!H9,'04_PSA_INPUTS'!I9)</f>
        <v>#NAME?</v>
      </c>
      <c r="G999" s="23" t="e">
        <f ca="1">_xludf.BETA.INV(W999,'04_PSA_INPUTS'!H10,'04_PSA_INPUTS'!I10)</f>
        <v>#NAME?</v>
      </c>
      <c r="H999" s="23" t="e">
        <f ca="1">_xludf.BETA.INV(X999,'04_PSA_INPUTS'!H11,'04_PSA_INPUTS'!I11)</f>
        <v>#NAME?</v>
      </c>
      <c r="I999" s="27" t="e">
        <f ca="1">D999+B999*F999+'01_INPUTS'!B20</f>
        <v>#NAME?</v>
      </c>
      <c r="J999" s="27" t="e">
        <f ca="1">E999+C999*F999+'01_INPUTS'!B21</f>
        <v>#NAME?</v>
      </c>
      <c r="K999" s="27" t="e">
        <f t="shared" ca="1" si="90"/>
        <v>#NAME?</v>
      </c>
      <c r="L999" s="23" t="e">
        <f t="shared" ca="1" si="91"/>
        <v>#NAME?</v>
      </c>
      <c r="M999" s="23" t="e">
        <f t="shared" ca="1" si="92"/>
        <v>#NAME?</v>
      </c>
      <c r="N999" s="23" t="e">
        <f t="shared" ca="1" si="93"/>
        <v>#NAME?</v>
      </c>
      <c r="O999" s="27" t="e">
        <f t="shared" ca="1" si="94"/>
        <v>#NAME?</v>
      </c>
      <c r="P999" s="27" t="e">
        <f ca="1">'01_INPUTS'!B9*N999-K999</f>
        <v>#NAME?</v>
      </c>
      <c r="Q999" s="1" t="e">
        <f t="shared" ca="1" si="95"/>
        <v>#NAME?</v>
      </c>
      <c r="R999" s="28">
        <v>0.81289594108238816</v>
      </c>
      <c r="S999" s="28">
        <v>0.21012939163483679</v>
      </c>
      <c r="T999" s="28">
        <v>0.95875337906181812</v>
      </c>
      <c r="U999" s="28">
        <v>0.16834900039248168</v>
      </c>
      <c r="V999" s="28">
        <v>0.56119532999582589</v>
      </c>
      <c r="W999" s="28">
        <v>0.34553923457860947</v>
      </c>
      <c r="X999" s="28">
        <v>0.26481949165463448</v>
      </c>
    </row>
    <row r="1000" spans="1:24" ht="13.9">
      <c r="A1000" s="1">
        <v>999</v>
      </c>
      <c r="B1000" s="23" t="e">
        <f ca="1">_xludf.BETA.INV(R1000,'04_PSA_INPUTS'!H5,'04_PSA_INPUTS'!I5)</f>
        <v>#NAME?</v>
      </c>
      <c r="C1000" s="23" t="e">
        <f ca="1">_xludf.BETA.INV(S1000,'04_PSA_INPUTS'!H6,'04_PSA_INPUTS'!I6)</f>
        <v>#NAME?</v>
      </c>
      <c r="D1000" s="27" t="e">
        <f ca="1">_xludf.GAMMA.INV(T1000,'04_PSA_INPUTS'!H7,'04_PSA_INPUTS'!I7)</f>
        <v>#NAME?</v>
      </c>
      <c r="E1000" s="27" t="e">
        <f ca="1">_xludf.GAMMA.INV(U1000,'04_PSA_INPUTS'!H8,'04_PSA_INPUTS'!I8)</f>
        <v>#NAME?</v>
      </c>
      <c r="F1000" s="27" t="e">
        <f ca="1">_xludf.GAMMA.INV(V1000,'04_PSA_INPUTS'!H9,'04_PSA_INPUTS'!I9)</f>
        <v>#NAME?</v>
      </c>
      <c r="G1000" s="23" t="e">
        <f ca="1">_xludf.BETA.INV(W1000,'04_PSA_INPUTS'!H10,'04_PSA_INPUTS'!I10)</f>
        <v>#NAME?</v>
      </c>
      <c r="H1000" s="23" t="e">
        <f ca="1">_xludf.BETA.INV(X1000,'04_PSA_INPUTS'!H11,'04_PSA_INPUTS'!I11)</f>
        <v>#NAME?</v>
      </c>
      <c r="I1000" s="27" t="e">
        <f ca="1">D1000+B1000*F1000+'01_INPUTS'!B20</f>
        <v>#NAME?</v>
      </c>
      <c r="J1000" s="27" t="e">
        <f ca="1">E1000+C1000*F1000+'01_INPUTS'!B21</f>
        <v>#NAME?</v>
      </c>
      <c r="K1000" s="27" t="e">
        <f t="shared" ca="1" si="90"/>
        <v>#NAME?</v>
      </c>
      <c r="L1000" s="23" t="e">
        <f t="shared" ca="1" si="91"/>
        <v>#NAME?</v>
      </c>
      <c r="M1000" s="23" t="e">
        <f t="shared" ca="1" si="92"/>
        <v>#NAME?</v>
      </c>
      <c r="N1000" s="23" t="e">
        <f t="shared" ca="1" si="93"/>
        <v>#NAME?</v>
      </c>
      <c r="O1000" s="27" t="e">
        <f t="shared" ca="1" si="94"/>
        <v>#NAME?</v>
      </c>
      <c r="P1000" s="27" t="e">
        <f ca="1">'01_INPUTS'!B9*N1000-K1000</f>
        <v>#NAME?</v>
      </c>
      <c r="Q1000" s="1" t="e">
        <f t="shared" ca="1" si="95"/>
        <v>#NAME?</v>
      </c>
      <c r="R1000" s="28">
        <v>0.3618838912807405</v>
      </c>
      <c r="S1000" s="28">
        <v>9.2246306827291846E-2</v>
      </c>
      <c r="T1000" s="28">
        <v>0.75064255599863827</v>
      </c>
      <c r="U1000" s="28">
        <v>0.63621779670938849</v>
      </c>
      <c r="V1000" s="28">
        <v>0.19471186422742903</v>
      </c>
      <c r="W1000" s="28">
        <v>0.60276823164895177</v>
      </c>
      <c r="X1000" s="28">
        <v>0.32525973743759096</v>
      </c>
    </row>
    <row r="1001" spans="1:24" ht="13.9">
      <c r="A1001" s="1">
        <v>1000</v>
      </c>
      <c r="B1001" s="23" t="e">
        <f ca="1">_xludf.BETA.INV(R1001,'04_PSA_INPUTS'!H5,'04_PSA_INPUTS'!I5)</f>
        <v>#NAME?</v>
      </c>
      <c r="C1001" s="23" t="e">
        <f ca="1">_xludf.BETA.INV(S1001,'04_PSA_INPUTS'!H6,'04_PSA_INPUTS'!I6)</f>
        <v>#NAME?</v>
      </c>
      <c r="D1001" s="27" t="e">
        <f ca="1">_xludf.GAMMA.INV(T1001,'04_PSA_INPUTS'!H7,'04_PSA_INPUTS'!I7)</f>
        <v>#NAME?</v>
      </c>
      <c r="E1001" s="27" t="e">
        <f ca="1">_xludf.GAMMA.INV(U1001,'04_PSA_INPUTS'!H8,'04_PSA_INPUTS'!I8)</f>
        <v>#NAME?</v>
      </c>
      <c r="F1001" s="27" t="e">
        <f ca="1">_xludf.GAMMA.INV(V1001,'04_PSA_INPUTS'!H9,'04_PSA_INPUTS'!I9)</f>
        <v>#NAME?</v>
      </c>
      <c r="G1001" s="23" t="e">
        <f ca="1">_xludf.BETA.INV(W1001,'04_PSA_INPUTS'!H10,'04_PSA_INPUTS'!I10)</f>
        <v>#NAME?</v>
      </c>
      <c r="H1001" s="23" t="e">
        <f ca="1">_xludf.BETA.INV(X1001,'04_PSA_INPUTS'!H11,'04_PSA_INPUTS'!I11)</f>
        <v>#NAME?</v>
      </c>
      <c r="I1001" s="27" t="e">
        <f ca="1">D1001+B1001*F1001+'01_INPUTS'!B20</f>
        <v>#NAME?</v>
      </c>
      <c r="J1001" s="27" t="e">
        <f ca="1">E1001+C1001*F1001+'01_INPUTS'!B21</f>
        <v>#NAME?</v>
      </c>
      <c r="K1001" s="27" t="e">
        <f t="shared" ca="1" si="90"/>
        <v>#NAME?</v>
      </c>
      <c r="L1001" s="23" t="e">
        <f t="shared" ca="1" si="91"/>
        <v>#NAME?</v>
      </c>
      <c r="M1001" s="23" t="e">
        <f t="shared" ca="1" si="92"/>
        <v>#NAME?</v>
      </c>
      <c r="N1001" s="23" t="e">
        <f t="shared" ca="1" si="93"/>
        <v>#NAME?</v>
      </c>
      <c r="O1001" s="27" t="e">
        <f t="shared" ca="1" si="94"/>
        <v>#NAME?</v>
      </c>
      <c r="P1001" s="27" t="e">
        <f ca="1">'01_INPUTS'!B9*N1001-K1001</f>
        <v>#NAME?</v>
      </c>
      <c r="Q1001" s="1" t="e">
        <f t="shared" ca="1" si="95"/>
        <v>#NAME?</v>
      </c>
      <c r="R1001" s="28">
        <v>0.17114253109320998</v>
      </c>
      <c r="S1001" s="28">
        <v>0.40722172521054745</v>
      </c>
      <c r="T1001" s="28">
        <v>0.54878339823335409</v>
      </c>
      <c r="U1001" s="28">
        <v>0.6452380430418998</v>
      </c>
      <c r="V1001" s="28">
        <v>0.84378713578917086</v>
      </c>
      <c r="W1001" s="28">
        <v>0.45521229202859104</v>
      </c>
      <c r="X1001" s="28">
        <v>0.13871430442668498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5"/>
  <sheetViews>
    <sheetView showGridLines="0" workbookViewId="0"/>
  </sheetViews>
  <sheetFormatPr defaultRowHeight="13.5"/>
  <cols>
    <col min="1" max="2" width="18" customWidth="1"/>
    <col min="4" max="5" width="24" customWidth="1"/>
    <col min="7" max="7" width="26" customWidth="1"/>
    <col min="8" max="8" width="28" customWidth="1"/>
    <col min="9" max="10" width="16" customWidth="1"/>
  </cols>
  <sheetData>
    <row r="1" spans="1:14" ht="30" customHeight="1">
      <c r="A1" s="36" t="s">
        <v>239</v>
      </c>
      <c r="B1" s="36" t="s">
        <v>239</v>
      </c>
      <c r="C1" s="36" t="s">
        <v>239</v>
      </c>
      <c r="D1" s="36" t="s">
        <v>239</v>
      </c>
      <c r="E1" s="36" t="s">
        <v>239</v>
      </c>
      <c r="F1" s="36" t="s">
        <v>239</v>
      </c>
      <c r="G1" s="36" t="s">
        <v>239</v>
      </c>
      <c r="H1" s="36" t="s">
        <v>239</v>
      </c>
      <c r="I1" s="36" t="s">
        <v>239</v>
      </c>
      <c r="J1" s="36" t="s">
        <v>239</v>
      </c>
      <c r="K1" s="36" t="s">
        <v>239</v>
      </c>
      <c r="L1" s="36" t="s">
        <v>239</v>
      </c>
      <c r="M1" s="36" t="s">
        <v>239</v>
      </c>
      <c r="N1" s="36" t="s">
        <v>239</v>
      </c>
    </row>
    <row r="2" spans="1:14" ht="32" customHeight="1">
      <c r="A2" s="37" t="s">
        <v>240</v>
      </c>
      <c r="B2" s="37" t="s">
        <v>240</v>
      </c>
      <c r="C2" s="37" t="s">
        <v>240</v>
      </c>
      <c r="D2" s="37" t="s">
        <v>240</v>
      </c>
      <c r="E2" s="37" t="s">
        <v>240</v>
      </c>
      <c r="F2" s="37" t="s">
        <v>240</v>
      </c>
      <c r="G2" s="37" t="s">
        <v>240</v>
      </c>
      <c r="H2" s="37" t="s">
        <v>240</v>
      </c>
      <c r="I2" s="37" t="s">
        <v>240</v>
      </c>
      <c r="J2" s="37" t="s">
        <v>240</v>
      </c>
      <c r="K2" s="37" t="s">
        <v>240</v>
      </c>
      <c r="L2" s="37" t="s">
        <v>240</v>
      </c>
      <c r="M2" s="37" t="s">
        <v>240</v>
      </c>
      <c r="N2" s="37" t="s">
        <v>240</v>
      </c>
    </row>
    <row r="3" spans="1:14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3.9">
      <c r="A4" s="38" t="s">
        <v>241</v>
      </c>
      <c r="B4" s="38" t="s">
        <v>241</v>
      </c>
      <c r="C4" s="1"/>
      <c r="D4" s="38" t="s">
        <v>242</v>
      </c>
      <c r="E4" s="38" t="s">
        <v>242</v>
      </c>
      <c r="F4" s="1"/>
      <c r="G4" s="38" t="s">
        <v>243</v>
      </c>
      <c r="H4" s="38" t="s">
        <v>243</v>
      </c>
      <c r="I4" s="38" t="s">
        <v>243</v>
      </c>
      <c r="J4" s="38" t="s">
        <v>243</v>
      </c>
      <c r="K4" s="1"/>
      <c r="L4" s="1"/>
      <c r="M4" s="1"/>
      <c r="N4" s="1"/>
    </row>
    <row r="5" spans="1:14" ht="26.25">
      <c r="A5" s="2" t="s">
        <v>142</v>
      </c>
      <c r="B5" s="2" t="s">
        <v>244</v>
      </c>
      <c r="C5" s="1"/>
      <c r="D5" s="2" t="s">
        <v>245</v>
      </c>
      <c r="E5" s="2" t="s">
        <v>246</v>
      </c>
      <c r="F5" s="1"/>
      <c r="G5" s="2" t="s">
        <v>247</v>
      </c>
      <c r="H5" s="2" t="s">
        <v>248</v>
      </c>
      <c r="I5" s="2" t="s">
        <v>249</v>
      </c>
      <c r="J5" s="2" t="s">
        <v>250</v>
      </c>
      <c r="K5" s="1"/>
      <c r="L5" s="1"/>
      <c r="M5" s="1"/>
      <c r="N5" s="1"/>
    </row>
    <row r="6" spans="1:14" ht="13.9">
      <c r="A6" s="29" t="e">
        <f ca="1">'05_PSA_1000'!N2</f>
        <v>#NAME?</v>
      </c>
      <c r="B6" s="27" t="e">
        <f ca="1">'05_PSA_1000'!K2</f>
        <v>#NAME?</v>
      </c>
      <c r="C6" s="1"/>
      <c r="D6" s="27">
        <v>0</v>
      </c>
      <c r="E6" s="30" t="e">
        <f ca="1">SUMPRODUCT(--((D6*'05_PSA_1000'!$N$2:$N$1001-'05_PSA_1000'!$K$2:$K$1001)&gt;0))/1000</f>
        <v>#NAME?</v>
      </c>
      <c r="F6" s="1"/>
      <c r="G6" s="1" t="s">
        <v>251</v>
      </c>
      <c r="H6" s="1" t="s">
        <v>252</v>
      </c>
      <c r="I6" s="11">
        <f ca="1">COUNTIFS('05_PSA_1000'!$K$2:$K$1001,"&lt;0",'05_PSA_1000'!$N$2:$N$1001,"&gt;0")</f>
        <v>0</v>
      </c>
      <c r="J6" s="31">
        <f ca="1">I6/1000</f>
        <v>0</v>
      </c>
      <c r="K6" s="1"/>
      <c r="L6" s="1"/>
      <c r="M6" s="1"/>
      <c r="N6" s="1"/>
    </row>
    <row r="7" spans="1:14" ht="13.9">
      <c r="A7" s="29" t="e">
        <f ca="1">'05_PSA_1000'!N3</f>
        <v>#NAME?</v>
      </c>
      <c r="B7" s="27" t="e">
        <f ca="1">'05_PSA_1000'!K3</f>
        <v>#NAME?</v>
      </c>
      <c r="C7" s="1"/>
      <c r="D7" s="27">
        <v>50000000</v>
      </c>
      <c r="E7" s="30" t="e">
        <f ca="1">SUMPRODUCT(--((D7*'05_PSA_1000'!$N$2:$N$1001-'05_PSA_1000'!$K$2:$K$1001)&gt;0))/1000</f>
        <v>#NAME?</v>
      </c>
      <c r="F7" s="1"/>
      <c r="G7" s="1" t="s">
        <v>253</v>
      </c>
      <c r="H7" s="1" t="s">
        <v>254</v>
      </c>
      <c r="I7" s="11">
        <f ca="1">COUNTIFS('05_PSA_1000'!$K$2:$K$1001,"&gt;=0",'05_PSA_1000'!$N$2:$N$1001,"&gt;=0")</f>
        <v>0</v>
      </c>
      <c r="J7" s="31">
        <f ca="1">I7/1000</f>
        <v>0</v>
      </c>
      <c r="K7" s="1"/>
      <c r="L7" s="1"/>
      <c r="M7" s="1"/>
      <c r="N7" s="1"/>
    </row>
    <row r="8" spans="1:14" ht="13.9">
      <c r="A8" s="29" t="e">
        <f ca="1">'05_PSA_1000'!N4</f>
        <v>#NAME?</v>
      </c>
      <c r="B8" s="27" t="e">
        <f ca="1">'05_PSA_1000'!K4</f>
        <v>#NAME?</v>
      </c>
      <c r="C8" s="1"/>
      <c r="D8" s="27">
        <v>100000000</v>
      </c>
      <c r="E8" s="30" t="e">
        <f ca="1">SUMPRODUCT(--((D8*'05_PSA_1000'!$N$2:$N$1001-'05_PSA_1000'!$K$2:$K$1001)&gt;0))/1000</f>
        <v>#NAME?</v>
      </c>
      <c r="F8" s="1"/>
      <c r="G8" s="1" t="s">
        <v>255</v>
      </c>
      <c r="H8" s="1" t="s">
        <v>256</v>
      </c>
      <c r="I8" s="11">
        <f ca="1">COUNTIFS('05_PSA_1000'!$K$2:$K$1001,"&lt;0",'05_PSA_1000'!$N$2:$N$1001,"&lt;=0")</f>
        <v>0</v>
      </c>
      <c r="J8" s="31">
        <f ca="1">I8/1000</f>
        <v>0</v>
      </c>
      <c r="K8" s="1"/>
      <c r="L8" s="1"/>
      <c r="M8" s="1"/>
      <c r="N8" s="1"/>
    </row>
    <row r="9" spans="1:14" ht="13.9">
      <c r="A9" s="29" t="e">
        <f ca="1">'05_PSA_1000'!N5</f>
        <v>#NAME?</v>
      </c>
      <c r="B9" s="27" t="e">
        <f ca="1">'05_PSA_1000'!K5</f>
        <v>#NAME?</v>
      </c>
      <c r="C9" s="1"/>
      <c r="D9" s="27">
        <v>150000000</v>
      </c>
      <c r="E9" s="30" t="e">
        <f ca="1">SUMPRODUCT(--((D9*'05_PSA_1000'!$N$2:$N$1001-'05_PSA_1000'!$K$2:$K$1001)&gt;0))/1000</f>
        <v>#NAME?</v>
      </c>
      <c r="F9" s="1"/>
      <c r="G9" s="1" t="s">
        <v>257</v>
      </c>
      <c r="H9" s="1" t="s">
        <v>258</v>
      </c>
      <c r="I9" s="11">
        <f ca="1">COUNTIFS('05_PSA_1000'!$K$2:$K$1001,"&gt;0",'05_PSA_1000'!$N$2:$N$1001,"&lt;0")</f>
        <v>0</v>
      </c>
      <c r="J9" s="31">
        <f ca="1">I9/1000</f>
        <v>0</v>
      </c>
      <c r="K9" s="1"/>
      <c r="L9" s="1"/>
      <c r="M9" s="1"/>
      <c r="N9" s="1"/>
    </row>
    <row r="10" spans="1:14" ht="13.9">
      <c r="A10" s="29" t="e">
        <f ca="1">'05_PSA_1000'!N6</f>
        <v>#NAME?</v>
      </c>
      <c r="B10" s="27" t="e">
        <f ca="1">'05_PSA_1000'!K6</f>
        <v>#NAME?</v>
      </c>
      <c r="C10" s="1"/>
      <c r="D10" s="27">
        <v>200000000</v>
      </c>
      <c r="E10" s="30" t="e">
        <f ca="1">SUMPRODUCT(--((D10*'05_PSA_1000'!$N$2:$N$1001-'05_PSA_1000'!$K$2:$K$1001)&gt;0))/1000</f>
        <v>#NAME?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13.9">
      <c r="A11" s="29" t="e">
        <f ca="1">'05_PSA_1000'!N7</f>
        <v>#NAME?</v>
      </c>
      <c r="B11" s="27" t="e">
        <f ca="1">'05_PSA_1000'!K7</f>
        <v>#NAME?</v>
      </c>
      <c r="C11" s="1"/>
      <c r="D11" s="27">
        <v>250000000</v>
      </c>
      <c r="E11" s="30" t="e">
        <f ca="1">SUMPRODUCT(--((D11*'05_PSA_1000'!$N$2:$N$1001-'05_PSA_1000'!$K$2:$K$1001)&gt;0))/1000</f>
        <v>#NAME?</v>
      </c>
      <c r="F11" s="1"/>
      <c r="G11" s="41" t="s">
        <v>259</v>
      </c>
      <c r="H11" s="41"/>
      <c r="I11" s="41"/>
      <c r="J11" s="41"/>
      <c r="K11" s="1"/>
      <c r="L11" s="1"/>
      <c r="M11" s="1"/>
      <c r="N11" s="1"/>
    </row>
    <row r="12" spans="1:14" ht="13.9">
      <c r="A12" s="29" t="e">
        <f ca="1">'05_PSA_1000'!N8</f>
        <v>#NAME?</v>
      </c>
      <c r="B12" s="27" t="e">
        <f ca="1">'05_PSA_1000'!K8</f>
        <v>#NAME?</v>
      </c>
      <c r="C12" s="1"/>
      <c r="D12" s="27">
        <v>300000000</v>
      </c>
      <c r="E12" s="30" t="e">
        <f ca="1">SUMPRODUCT(--((D12*'05_PSA_1000'!$N$2:$N$1001-'05_PSA_1000'!$K$2:$K$1001)&gt;0))/1000</f>
        <v>#NAME?</v>
      </c>
      <c r="F12" s="1"/>
      <c r="G12" s="41" t="s">
        <v>260</v>
      </c>
      <c r="H12" s="41"/>
      <c r="I12" s="41"/>
      <c r="J12" s="41"/>
      <c r="K12" s="1"/>
      <c r="L12" s="1"/>
      <c r="M12" s="1"/>
      <c r="N12" s="1"/>
    </row>
    <row r="13" spans="1:14" ht="13.9">
      <c r="A13" s="29" t="e">
        <f ca="1">'05_PSA_1000'!N9</f>
        <v>#NAME?</v>
      </c>
      <c r="B13" s="27" t="e">
        <f ca="1">'05_PSA_1000'!K9</f>
        <v>#NAME?</v>
      </c>
      <c r="C13" s="1"/>
      <c r="D13" s="27">
        <v>350000000</v>
      </c>
      <c r="E13" s="30" t="e">
        <f ca="1">SUMPRODUCT(--((D13*'05_PSA_1000'!$N$2:$N$1001-'05_PSA_1000'!$K$2:$K$1001)&gt;0))/1000</f>
        <v>#NAME?</v>
      </c>
      <c r="F13" s="1"/>
      <c r="G13" s="41" t="str">
        <f>'01_INPUTS'!B28</f>
        <v>Dynamic fixed-seed</v>
      </c>
      <c r="H13" s="41"/>
      <c r="I13" s="41"/>
      <c r="J13" s="41"/>
      <c r="K13" s="1"/>
      <c r="L13" s="1"/>
      <c r="M13" s="1"/>
      <c r="N13" s="1"/>
    </row>
    <row r="14" spans="1:14" ht="13.9">
      <c r="A14" s="29" t="e">
        <f ca="1">'05_PSA_1000'!N10</f>
        <v>#NAME?</v>
      </c>
      <c r="B14" s="27" t="e">
        <f ca="1">'05_PSA_1000'!K10</f>
        <v>#NAME?</v>
      </c>
      <c r="C14" s="1"/>
      <c r="D14" s="27">
        <v>400000000</v>
      </c>
      <c r="E14" s="30" t="e">
        <f ca="1">SUMPRODUCT(--((D14*'05_PSA_1000'!$N$2:$N$1001-'05_PSA_1000'!$K$2:$K$1001)&gt;0))/1000</f>
        <v>#NAME?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3.9">
      <c r="A15" s="29" t="e">
        <f ca="1">'05_PSA_1000'!N11</f>
        <v>#NAME?</v>
      </c>
      <c r="B15" s="27" t="e">
        <f ca="1">'05_PSA_1000'!K11</f>
        <v>#NAME?</v>
      </c>
      <c r="C15" s="1"/>
      <c r="D15" s="27">
        <v>450000000</v>
      </c>
      <c r="E15" s="30" t="e">
        <f ca="1">SUMPRODUCT(--((D15*'05_PSA_1000'!$N$2:$N$1001-'05_PSA_1000'!$K$2:$K$1001)&gt;0))/1000</f>
        <v>#NAME?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3.9">
      <c r="A16" s="29" t="e">
        <f ca="1">'05_PSA_1000'!N12</f>
        <v>#NAME?</v>
      </c>
      <c r="B16" s="27" t="e">
        <f ca="1">'05_PSA_1000'!K12</f>
        <v>#NAME?</v>
      </c>
      <c r="C16" s="1"/>
      <c r="D16" s="27">
        <v>500000000</v>
      </c>
      <c r="E16" s="30" t="e">
        <f ca="1">SUMPRODUCT(--((D16*'05_PSA_1000'!$N$2:$N$1001-'05_PSA_1000'!$K$2:$K$1001)&gt;0))/1000</f>
        <v>#NAME?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3.9">
      <c r="A17" s="29" t="e">
        <f ca="1">'05_PSA_1000'!N13</f>
        <v>#NAME?</v>
      </c>
      <c r="B17" s="27" t="e">
        <f ca="1">'05_PSA_1000'!K13</f>
        <v>#NAME?</v>
      </c>
      <c r="C17" s="1"/>
      <c r="D17" s="27">
        <v>550000000</v>
      </c>
      <c r="E17" s="30" t="e">
        <f ca="1">SUMPRODUCT(--((D17*'05_PSA_1000'!$N$2:$N$1001-'05_PSA_1000'!$K$2:$K$1001)&gt;0))/1000</f>
        <v>#NAME?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3.9">
      <c r="A18" s="29" t="e">
        <f ca="1">'05_PSA_1000'!N14</f>
        <v>#NAME?</v>
      </c>
      <c r="B18" s="27" t="e">
        <f ca="1">'05_PSA_1000'!K14</f>
        <v>#NAME?</v>
      </c>
      <c r="C18" s="1"/>
      <c r="D18" s="27">
        <v>600000000</v>
      </c>
      <c r="E18" s="30" t="e">
        <f ca="1">SUMPRODUCT(--((D18*'05_PSA_1000'!$N$2:$N$1001-'05_PSA_1000'!$K$2:$K$1001)&gt;0))/1000</f>
        <v>#NAME?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ht="13.9">
      <c r="A19" s="29" t="e">
        <f ca="1">'05_PSA_1000'!N15</f>
        <v>#NAME?</v>
      </c>
      <c r="B19" s="27" t="e">
        <f ca="1">'05_PSA_1000'!K15</f>
        <v>#NAME?</v>
      </c>
      <c r="C19" s="1"/>
      <c r="D19" s="27">
        <v>650000000</v>
      </c>
      <c r="E19" s="30" t="e">
        <f ca="1">SUMPRODUCT(--((D19*'05_PSA_1000'!$N$2:$N$1001-'05_PSA_1000'!$K$2:$K$1001)&gt;0))/1000</f>
        <v>#NAME?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3.9">
      <c r="A20" s="29" t="e">
        <f ca="1">'05_PSA_1000'!N16</f>
        <v>#NAME?</v>
      </c>
      <c r="B20" s="27" t="e">
        <f ca="1">'05_PSA_1000'!K16</f>
        <v>#NAME?</v>
      </c>
      <c r="C20" s="1"/>
      <c r="D20" s="27">
        <v>700000000</v>
      </c>
      <c r="E20" s="30" t="e">
        <f ca="1">SUMPRODUCT(--((D20*'05_PSA_1000'!$N$2:$N$1001-'05_PSA_1000'!$K$2:$K$1001)&gt;0))/1000</f>
        <v>#NAME?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13.9">
      <c r="A21" s="29" t="e">
        <f ca="1">'05_PSA_1000'!N17</f>
        <v>#NAME?</v>
      </c>
      <c r="B21" s="27" t="e">
        <f ca="1">'05_PSA_1000'!K17</f>
        <v>#NAME?</v>
      </c>
      <c r="C21" s="1"/>
      <c r="D21" s="27">
        <v>750000000</v>
      </c>
      <c r="E21" s="30" t="e">
        <f ca="1">SUMPRODUCT(--((D21*'05_PSA_1000'!$N$2:$N$1001-'05_PSA_1000'!$K$2:$K$1001)&gt;0))/1000</f>
        <v>#NAME?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ht="13.9">
      <c r="A22" s="29" t="e">
        <f ca="1">'05_PSA_1000'!N18</f>
        <v>#NAME?</v>
      </c>
      <c r="B22" s="27" t="e">
        <f ca="1">'05_PSA_1000'!K18</f>
        <v>#NAME?</v>
      </c>
      <c r="C22" s="1"/>
      <c r="D22" s="27">
        <v>800000000</v>
      </c>
      <c r="E22" s="30" t="e">
        <f ca="1">SUMPRODUCT(--((D22*'05_PSA_1000'!$N$2:$N$1001-'05_PSA_1000'!$K$2:$K$1001)&gt;0))/1000</f>
        <v>#NAME?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13.9">
      <c r="A23" s="29" t="e">
        <f ca="1">'05_PSA_1000'!N19</f>
        <v>#NAME?</v>
      </c>
      <c r="B23" s="27" t="e">
        <f ca="1">'05_PSA_1000'!K19</f>
        <v>#NAME?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3.9">
      <c r="A24" s="29" t="e">
        <f ca="1">'05_PSA_1000'!N20</f>
        <v>#NAME?</v>
      </c>
      <c r="B24" s="27" t="e">
        <f ca="1">'05_PSA_1000'!K20</f>
        <v>#NAME?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3.9">
      <c r="A25" s="29" t="e">
        <f ca="1">'05_PSA_1000'!N21</f>
        <v>#NAME?</v>
      </c>
      <c r="B25" s="27" t="e">
        <f ca="1">'05_PSA_1000'!K21</f>
        <v>#NAME?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3.9">
      <c r="A26" s="29" t="e">
        <f ca="1">'05_PSA_1000'!N22</f>
        <v>#NAME?</v>
      </c>
      <c r="B26" s="27" t="e">
        <f ca="1">'05_PSA_1000'!K22</f>
        <v>#NAME?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3.9">
      <c r="A27" s="29" t="e">
        <f ca="1">'05_PSA_1000'!N23</f>
        <v>#NAME?</v>
      </c>
      <c r="B27" s="27" t="e">
        <f ca="1">'05_PSA_1000'!K23</f>
        <v>#NAME?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3.9">
      <c r="A28" s="29" t="e">
        <f ca="1">'05_PSA_1000'!N24</f>
        <v>#NAME?</v>
      </c>
      <c r="B28" s="27" t="e">
        <f ca="1">'05_PSA_1000'!K24</f>
        <v>#NAME?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3.9">
      <c r="A29" s="29" t="e">
        <f ca="1">'05_PSA_1000'!N25</f>
        <v>#NAME?</v>
      </c>
      <c r="B29" s="27" t="e">
        <f ca="1">'05_PSA_1000'!K25</f>
        <v>#NAME?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3.9">
      <c r="A30" s="29" t="e">
        <f ca="1">'05_PSA_1000'!N26</f>
        <v>#NAME?</v>
      </c>
      <c r="B30" s="27" t="e">
        <f ca="1">'05_PSA_1000'!K26</f>
        <v>#NAME?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3.9">
      <c r="A31" s="29" t="e">
        <f ca="1">'05_PSA_1000'!N27</f>
        <v>#NAME?</v>
      </c>
      <c r="B31" s="27" t="e">
        <f ca="1">'05_PSA_1000'!K27</f>
        <v>#NAME?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3.9">
      <c r="A32" s="29" t="e">
        <f ca="1">'05_PSA_1000'!N28</f>
        <v>#NAME?</v>
      </c>
      <c r="B32" s="27" t="e">
        <f ca="1">'05_PSA_1000'!K28</f>
        <v>#NAME?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3.9">
      <c r="A33" s="29" t="e">
        <f ca="1">'05_PSA_1000'!N29</f>
        <v>#NAME?</v>
      </c>
      <c r="B33" s="27" t="e">
        <f ca="1">'05_PSA_1000'!K29</f>
        <v>#NAME?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3.9">
      <c r="A34" s="29" t="e">
        <f ca="1">'05_PSA_1000'!N30</f>
        <v>#NAME?</v>
      </c>
      <c r="B34" s="27" t="e">
        <f ca="1">'05_PSA_1000'!K30</f>
        <v>#NAME?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3.9">
      <c r="A35" s="29" t="e">
        <f ca="1">'05_PSA_1000'!N31</f>
        <v>#NAME?</v>
      </c>
      <c r="B35" s="27" t="e">
        <f ca="1">'05_PSA_1000'!K31</f>
        <v>#NAME?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3.9">
      <c r="A36" s="29" t="e">
        <f ca="1">'05_PSA_1000'!N32</f>
        <v>#NAME?</v>
      </c>
      <c r="B36" s="27" t="e">
        <f ca="1">'05_PSA_1000'!K32</f>
        <v>#NAME?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3.9">
      <c r="A37" s="29" t="e">
        <f ca="1">'05_PSA_1000'!N33</f>
        <v>#NAME?</v>
      </c>
      <c r="B37" s="27" t="e">
        <f ca="1">'05_PSA_1000'!K33</f>
        <v>#NAME?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3.9">
      <c r="A38" s="29" t="e">
        <f ca="1">'05_PSA_1000'!N34</f>
        <v>#NAME?</v>
      </c>
      <c r="B38" s="27" t="e">
        <f ca="1">'05_PSA_1000'!K34</f>
        <v>#NAME?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3.9">
      <c r="A39" s="29" t="e">
        <f ca="1">'05_PSA_1000'!N35</f>
        <v>#NAME?</v>
      </c>
      <c r="B39" s="27" t="e">
        <f ca="1">'05_PSA_1000'!K35</f>
        <v>#NAME?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3.9">
      <c r="A40" s="29" t="e">
        <f ca="1">'05_PSA_1000'!N36</f>
        <v>#NAME?</v>
      </c>
      <c r="B40" s="27" t="e">
        <f ca="1">'05_PSA_1000'!K36</f>
        <v>#NAME?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3.9">
      <c r="A41" s="29" t="e">
        <f ca="1">'05_PSA_1000'!N37</f>
        <v>#NAME?</v>
      </c>
      <c r="B41" s="27" t="e">
        <f ca="1">'05_PSA_1000'!K37</f>
        <v>#NAME?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3.9">
      <c r="A42" s="29" t="e">
        <f ca="1">'05_PSA_1000'!N38</f>
        <v>#NAME?</v>
      </c>
      <c r="B42" s="27" t="e">
        <f ca="1">'05_PSA_1000'!K38</f>
        <v>#NAME?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3.9">
      <c r="A43" s="29" t="e">
        <f ca="1">'05_PSA_1000'!N39</f>
        <v>#NAME?</v>
      </c>
      <c r="B43" s="27" t="e">
        <f ca="1">'05_PSA_1000'!K39</f>
        <v>#NAME?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3.9">
      <c r="A44" s="29" t="e">
        <f ca="1">'05_PSA_1000'!N40</f>
        <v>#NAME?</v>
      </c>
      <c r="B44" s="27" t="e">
        <f ca="1">'05_PSA_1000'!K40</f>
        <v>#NAME?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3.9">
      <c r="A45" s="29" t="e">
        <f ca="1">'05_PSA_1000'!N41</f>
        <v>#NAME?</v>
      </c>
      <c r="B45" s="27" t="e">
        <f ca="1">'05_PSA_1000'!K41</f>
        <v>#NAME?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3.9">
      <c r="A46" s="29" t="e">
        <f ca="1">'05_PSA_1000'!N42</f>
        <v>#NAME?</v>
      </c>
      <c r="B46" s="27" t="e">
        <f ca="1">'05_PSA_1000'!K42</f>
        <v>#NAME?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3.9">
      <c r="A47" s="29" t="e">
        <f ca="1">'05_PSA_1000'!N43</f>
        <v>#NAME?</v>
      </c>
      <c r="B47" s="27" t="e">
        <f ca="1">'05_PSA_1000'!K43</f>
        <v>#NAME?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3.9">
      <c r="A48" s="29" t="e">
        <f ca="1">'05_PSA_1000'!N44</f>
        <v>#NAME?</v>
      </c>
      <c r="B48" s="27" t="e">
        <f ca="1">'05_PSA_1000'!K44</f>
        <v>#NAME?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3.9">
      <c r="A49" s="29" t="e">
        <f ca="1">'05_PSA_1000'!N45</f>
        <v>#NAME?</v>
      </c>
      <c r="B49" s="27" t="e">
        <f ca="1">'05_PSA_1000'!K45</f>
        <v>#NAME?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3.9">
      <c r="A50" s="29" t="e">
        <f ca="1">'05_PSA_1000'!N46</f>
        <v>#NAME?</v>
      </c>
      <c r="B50" s="27" t="e">
        <f ca="1">'05_PSA_1000'!K46</f>
        <v>#NAME?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3.9">
      <c r="A51" s="29" t="e">
        <f ca="1">'05_PSA_1000'!N47</f>
        <v>#NAME?</v>
      </c>
      <c r="B51" s="27" t="e">
        <f ca="1">'05_PSA_1000'!K47</f>
        <v>#NAME?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3.9">
      <c r="A52" s="29" t="e">
        <f ca="1">'05_PSA_1000'!N48</f>
        <v>#NAME?</v>
      </c>
      <c r="B52" s="27" t="e">
        <f ca="1">'05_PSA_1000'!K48</f>
        <v>#NAME?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3.9">
      <c r="A53" s="29" t="e">
        <f ca="1">'05_PSA_1000'!N49</f>
        <v>#NAME?</v>
      </c>
      <c r="B53" s="27" t="e">
        <f ca="1">'05_PSA_1000'!K49</f>
        <v>#NAME?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3.9">
      <c r="A54" s="29" t="e">
        <f ca="1">'05_PSA_1000'!N50</f>
        <v>#NAME?</v>
      </c>
      <c r="B54" s="27" t="e">
        <f ca="1">'05_PSA_1000'!K50</f>
        <v>#NAME?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3.9">
      <c r="A55" s="29" t="e">
        <f ca="1">'05_PSA_1000'!N51</f>
        <v>#NAME?</v>
      </c>
      <c r="B55" s="27" t="e">
        <f ca="1">'05_PSA_1000'!K51</f>
        <v>#NAME?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3.9">
      <c r="A56" s="29" t="e">
        <f ca="1">'05_PSA_1000'!N52</f>
        <v>#NAME?</v>
      </c>
      <c r="B56" s="27" t="e">
        <f ca="1">'05_PSA_1000'!K52</f>
        <v>#NAME?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3.9">
      <c r="A57" s="29" t="e">
        <f ca="1">'05_PSA_1000'!N53</f>
        <v>#NAME?</v>
      </c>
      <c r="B57" s="27" t="e">
        <f ca="1">'05_PSA_1000'!K53</f>
        <v>#NAME?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3.9">
      <c r="A58" s="29" t="e">
        <f ca="1">'05_PSA_1000'!N54</f>
        <v>#NAME?</v>
      </c>
      <c r="B58" s="27" t="e">
        <f ca="1">'05_PSA_1000'!K54</f>
        <v>#NAME?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3.9">
      <c r="A59" s="29" t="e">
        <f ca="1">'05_PSA_1000'!N55</f>
        <v>#NAME?</v>
      </c>
      <c r="B59" s="27" t="e">
        <f ca="1">'05_PSA_1000'!K55</f>
        <v>#NAME?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3.9">
      <c r="A60" s="29" t="e">
        <f ca="1">'05_PSA_1000'!N56</f>
        <v>#NAME?</v>
      </c>
      <c r="B60" s="27" t="e">
        <f ca="1">'05_PSA_1000'!K56</f>
        <v>#NAME?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3.9">
      <c r="A61" s="29" t="e">
        <f ca="1">'05_PSA_1000'!N57</f>
        <v>#NAME?</v>
      </c>
      <c r="B61" s="27" t="e">
        <f ca="1">'05_PSA_1000'!K57</f>
        <v>#NAME?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3.9">
      <c r="A62" s="29" t="e">
        <f ca="1">'05_PSA_1000'!N58</f>
        <v>#NAME?</v>
      </c>
      <c r="B62" s="27" t="e">
        <f ca="1">'05_PSA_1000'!K58</f>
        <v>#NAME?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3.9">
      <c r="A63" s="29" t="e">
        <f ca="1">'05_PSA_1000'!N59</f>
        <v>#NAME?</v>
      </c>
      <c r="B63" s="27" t="e">
        <f ca="1">'05_PSA_1000'!K59</f>
        <v>#NAME?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3.9">
      <c r="A64" s="29" t="e">
        <f ca="1">'05_PSA_1000'!N60</f>
        <v>#NAME?</v>
      </c>
      <c r="B64" s="27" t="e">
        <f ca="1">'05_PSA_1000'!K60</f>
        <v>#NAME?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3.9">
      <c r="A65" s="29" t="e">
        <f ca="1">'05_PSA_1000'!N61</f>
        <v>#NAME?</v>
      </c>
      <c r="B65" s="27" t="e">
        <f ca="1">'05_PSA_1000'!K61</f>
        <v>#NAME?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3.9">
      <c r="A66" s="29" t="e">
        <f ca="1">'05_PSA_1000'!N62</f>
        <v>#NAME?</v>
      </c>
      <c r="B66" s="27" t="e">
        <f ca="1">'05_PSA_1000'!K62</f>
        <v>#NAME?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3.9">
      <c r="A67" s="29" t="e">
        <f ca="1">'05_PSA_1000'!N63</f>
        <v>#NAME?</v>
      </c>
      <c r="B67" s="27" t="e">
        <f ca="1">'05_PSA_1000'!K63</f>
        <v>#NAME?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3.9">
      <c r="A68" s="29" t="e">
        <f ca="1">'05_PSA_1000'!N64</f>
        <v>#NAME?</v>
      </c>
      <c r="B68" s="27" t="e">
        <f ca="1">'05_PSA_1000'!K64</f>
        <v>#NAME?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3.9">
      <c r="A69" s="29" t="e">
        <f ca="1">'05_PSA_1000'!N65</f>
        <v>#NAME?</v>
      </c>
      <c r="B69" s="27" t="e">
        <f ca="1">'05_PSA_1000'!K65</f>
        <v>#NAME?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3.9">
      <c r="A70" s="29" t="e">
        <f ca="1">'05_PSA_1000'!N66</f>
        <v>#NAME?</v>
      </c>
      <c r="B70" s="27" t="e">
        <f ca="1">'05_PSA_1000'!K66</f>
        <v>#NAME?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3.9">
      <c r="A71" s="29" t="e">
        <f ca="1">'05_PSA_1000'!N67</f>
        <v>#NAME?</v>
      </c>
      <c r="B71" s="27" t="e">
        <f ca="1">'05_PSA_1000'!K67</f>
        <v>#NAME?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3.9">
      <c r="A72" s="29" t="e">
        <f ca="1">'05_PSA_1000'!N68</f>
        <v>#NAME?</v>
      </c>
      <c r="B72" s="27" t="e">
        <f ca="1">'05_PSA_1000'!K68</f>
        <v>#NAME?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3.9">
      <c r="A73" s="29" t="e">
        <f ca="1">'05_PSA_1000'!N69</f>
        <v>#NAME?</v>
      </c>
      <c r="B73" s="27" t="e">
        <f ca="1">'05_PSA_1000'!K69</f>
        <v>#NAME?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3.9">
      <c r="A74" s="29" t="e">
        <f ca="1">'05_PSA_1000'!N70</f>
        <v>#NAME?</v>
      </c>
      <c r="B74" s="27" t="e">
        <f ca="1">'05_PSA_1000'!K70</f>
        <v>#NAME?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3.9">
      <c r="A75" s="29" t="e">
        <f ca="1">'05_PSA_1000'!N71</f>
        <v>#NAME?</v>
      </c>
      <c r="B75" s="27" t="e">
        <f ca="1">'05_PSA_1000'!K71</f>
        <v>#NAME?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3.9">
      <c r="A76" s="29" t="e">
        <f ca="1">'05_PSA_1000'!N72</f>
        <v>#NAME?</v>
      </c>
      <c r="B76" s="27" t="e">
        <f ca="1">'05_PSA_1000'!K72</f>
        <v>#NAME?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3.9">
      <c r="A77" s="29" t="e">
        <f ca="1">'05_PSA_1000'!N73</f>
        <v>#NAME?</v>
      </c>
      <c r="B77" s="27" t="e">
        <f ca="1">'05_PSA_1000'!K73</f>
        <v>#NAME?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3.9">
      <c r="A78" s="29" t="e">
        <f ca="1">'05_PSA_1000'!N74</f>
        <v>#NAME?</v>
      </c>
      <c r="B78" s="27" t="e">
        <f ca="1">'05_PSA_1000'!K74</f>
        <v>#NAME?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3.9">
      <c r="A79" s="29" t="e">
        <f ca="1">'05_PSA_1000'!N75</f>
        <v>#NAME?</v>
      </c>
      <c r="B79" s="27" t="e">
        <f ca="1">'05_PSA_1000'!K75</f>
        <v>#NAME?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3.9">
      <c r="A80" s="29" t="e">
        <f ca="1">'05_PSA_1000'!N76</f>
        <v>#NAME?</v>
      </c>
      <c r="B80" s="27" t="e">
        <f ca="1">'05_PSA_1000'!K76</f>
        <v>#NAME?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3.9">
      <c r="A81" s="29" t="e">
        <f ca="1">'05_PSA_1000'!N77</f>
        <v>#NAME?</v>
      </c>
      <c r="B81" s="27" t="e">
        <f ca="1">'05_PSA_1000'!K77</f>
        <v>#NAME?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3.9">
      <c r="A82" s="29" t="e">
        <f ca="1">'05_PSA_1000'!N78</f>
        <v>#NAME?</v>
      </c>
      <c r="B82" s="27" t="e">
        <f ca="1">'05_PSA_1000'!K78</f>
        <v>#NAME?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3.9">
      <c r="A83" s="29" t="e">
        <f ca="1">'05_PSA_1000'!N79</f>
        <v>#NAME?</v>
      </c>
      <c r="B83" s="27" t="e">
        <f ca="1">'05_PSA_1000'!K79</f>
        <v>#NAME?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3.9">
      <c r="A84" s="29" t="e">
        <f ca="1">'05_PSA_1000'!N80</f>
        <v>#NAME?</v>
      </c>
      <c r="B84" s="27" t="e">
        <f ca="1">'05_PSA_1000'!K80</f>
        <v>#NAME?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3.9">
      <c r="A85" s="29" t="e">
        <f ca="1">'05_PSA_1000'!N81</f>
        <v>#NAME?</v>
      </c>
      <c r="B85" s="27" t="e">
        <f ca="1">'05_PSA_1000'!K81</f>
        <v>#NAME?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3.9">
      <c r="A86" s="29" t="e">
        <f ca="1">'05_PSA_1000'!N82</f>
        <v>#NAME?</v>
      </c>
      <c r="B86" s="27" t="e">
        <f ca="1">'05_PSA_1000'!K82</f>
        <v>#NAME?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3.9">
      <c r="A87" s="29" t="e">
        <f ca="1">'05_PSA_1000'!N83</f>
        <v>#NAME?</v>
      </c>
      <c r="B87" s="27" t="e">
        <f ca="1">'05_PSA_1000'!K83</f>
        <v>#NAME?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3.9">
      <c r="A88" s="29" t="e">
        <f ca="1">'05_PSA_1000'!N84</f>
        <v>#NAME?</v>
      </c>
      <c r="B88" s="27" t="e">
        <f ca="1">'05_PSA_1000'!K84</f>
        <v>#NAME?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3.9">
      <c r="A89" s="29" t="e">
        <f ca="1">'05_PSA_1000'!N85</f>
        <v>#NAME?</v>
      </c>
      <c r="B89" s="27" t="e">
        <f ca="1">'05_PSA_1000'!K85</f>
        <v>#NAME?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3.9">
      <c r="A90" s="29" t="e">
        <f ca="1">'05_PSA_1000'!N86</f>
        <v>#NAME?</v>
      </c>
      <c r="B90" s="27" t="e">
        <f ca="1">'05_PSA_1000'!K86</f>
        <v>#NAME?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3.9">
      <c r="A91" s="29" t="e">
        <f ca="1">'05_PSA_1000'!N87</f>
        <v>#NAME?</v>
      </c>
      <c r="B91" s="27" t="e">
        <f ca="1">'05_PSA_1000'!K87</f>
        <v>#NAME?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3.9">
      <c r="A92" s="29" t="e">
        <f ca="1">'05_PSA_1000'!N88</f>
        <v>#NAME?</v>
      </c>
      <c r="B92" s="27" t="e">
        <f ca="1">'05_PSA_1000'!K88</f>
        <v>#NAME?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3.9">
      <c r="A93" s="29" t="e">
        <f ca="1">'05_PSA_1000'!N89</f>
        <v>#NAME?</v>
      </c>
      <c r="B93" s="27" t="e">
        <f ca="1">'05_PSA_1000'!K89</f>
        <v>#NAME?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3.9">
      <c r="A94" s="29" t="e">
        <f ca="1">'05_PSA_1000'!N90</f>
        <v>#NAME?</v>
      </c>
      <c r="B94" s="27" t="e">
        <f ca="1">'05_PSA_1000'!K90</f>
        <v>#NAME?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3.9">
      <c r="A95" s="29" t="e">
        <f ca="1">'05_PSA_1000'!N91</f>
        <v>#NAME?</v>
      </c>
      <c r="B95" s="27" t="e">
        <f ca="1">'05_PSA_1000'!K91</f>
        <v>#NAME?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3.9">
      <c r="A96" s="29" t="e">
        <f ca="1">'05_PSA_1000'!N92</f>
        <v>#NAME?</v>
      </c>
      <c r="B96" s="27" t="e">
        <f ca="1">'05_PSA_1000'!K92</f>
        <v>#NAME?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3.9">
      <c r="A97" s="29" t="e">
        <f ca="1">'05_PSA_1000'!N93</f>
        <v>#NAME?</v>
      </c>
      <c r="B97" s="27" t="e">
        <f ca="1">'05_PSA_1000'!K93</f>
        <v>#NAME?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3.9">
      <c r="A98" s="29" t="e">
        <f ca="1">'05_PSA_1000'!N94</f>
        <v>#NAME?</v>
      </c>
      <c r="B98" s="27" t="e">
        <f ca="1">'05_PSA_1000'!K94</f>
        <v>#NAME?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3.9">
      <c r="A99" s="29" t="e">
        <f ca="1">'05_PSA_1000'!N95</f>
        <v>#NAME?</v>
      </c>
      <c r="B99" s="27" t="e">
        <f ca="1">'05_PSA_1000'!K95</f>
        <v>#NAME?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3.9">
      <c r="A100" s="29" t="e">
        <f ca="1">'05_PSA_1000'!N96</f>
        <v>#NAME?</v>
      </c>
      <c r="B100" s="27" t="e">
        <f ca="1">'05_PSA_1000'!K96</f>
        <v>#NAME?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3.9">
      <c r="A101" s="29" t="e">
        <f ca="1">'05_PSA_1000'!N97</f>
        <v>#NAME?</v>
      </c>
      <c r="B101" s="27" t="e">
        <f ca="1">'05_PSA_1000'!K97</f>
        <v>#NAME?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3.9">
      <c r="A102" s="29" t="e">
        <f ca="1">'05_PSA_1000'!N98</f>
        <v>#NAME?</v>
      </c>
      <c r="B102" s="27" t="e">
        <f ca="1">'05_PSA_1000'!K98</f>
        <v>#NAME?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3.9">
      <c r="A103" s="29" t="e">
        <f ca="1">'05_PSA_1000'!N99</f>
        <v>#NAME?</v>
      </c>
      <c r="B103" s="27" t="e">
        <f ca="1">'05_PSA_1000'!K99</f>
        <v>#NAME?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3.9">
      <c r="A104" s="29" t="e">
        <f ca="1">'05_PSA_1000'!N100</f>
        <v>#NAME?</v>
      </c>
      <c r="B104" s="27" t="e">
        <f ca="1">'05_PSA_1000'!K100</f>
        <v>#NAME?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3.9">
      <c r="A105" s="29" t="e">
        <f ca="1">'05_PSA_1000'!N101</f>
        <v>#NAME?</v>
      </c>
      <c r="B105" s="27" t="e">
        <f ca="1">'05_PSA_1000'!K101</f>
        <v>#NAME?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3.9">
      <c r="A106" s="29" t="e">
        <f ca="1">'05_PSA_1000'!N102</f>
        <v>#NAME?</v>
      </c>
      <c r="B106" s="27" t="e">
        <f ca="1">'05_PSA_1000'!K102</f>
        <v>#NAME?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3.9">
      <c r="A107" s="29" t="e">
        <f ca="1">'05_PSA_1000'!N103</f>
        <v>#NAME?</v>
      </c>
      <c r="B107" s="27" t="e">
        <f ca="1">'05_PSA_1000'!K103</f>
        <v>#NAME?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3.9">
      <c r="A108" s="29" t="e">
        <f ca="1">'05_PSA_1000'!N104</f>
        <v>#NAME?</v>
      </c>
      <c r="B108" s="27" t="e">
        <f ca="1">'05_PSA_1000'!K104</f>
        <v>#NAME?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3.9">
      <c r="A109" s="29" t="e">
        <f ca="1">'05_PSA_1000'!N105</f>
        <v>#NAME?</v>
      </c>
      <c r="B109" s="27" t="e">
        <f ca="1">'05_PSA_1000'!K105</f>
        <v>#NAME?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3.9">
      <c r="A110" s="29" t="e">
        <f ca="1">'05_PSA_1000'!N106</f>
        <v>#NAME?</v>
      </c>
      <c r="B110" s="27" t="e">
        <f ca="1">'05_PSA_1000'!K106</f>
        <v>#NAME?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3.9">
      <c r="A111" s="29" t="e">
        <f ca="1">'05_PSA_1000'!N107</f>
        <v>#NAME?</v>
      </c>
      <c r="B111" s="27" t="e">
        <f ca="1">'05_PSA_1000'!K107</f>
        <v>#NAME?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3.9">
      <c r="A112" s="29" t="e">
        <f ca="1">'05_PSA_1000'!N108</f>
        <v>#NAME?</v>
      </c>
      <c r="B112" s="27" t="e">
        <f ca="1">'05_PSA_1000'!K108</f>
        <v>#NAME?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3.9">
      <c r="A113" s="29" t="e">
        <f ca="1">'05_PSA_1000'!N109</f>
        <v>#NAME?</v>
      </c>
      <c r="B113" s="27" t="e">
        <f ca="1">'05_PSA_1000'!K109</f>
        <v>#NAME?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3.9">
      <c r="A114" s="29" t="e">
        <f ca="1">'05_PSA_1000'!N110</f>
        <v>#NAME?</v>
      </c>
      <c r="B114" s="27" t="e">
        <f ca="1">'05_PSA_1000'!K110</f>
        <v>#NAME?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3.9">
      <c r="A115" s="29" t="e">
        <f ca="1">'05_PSA_1000'!N111</f>
        <v>#NAME?</v>
      </c>
      <c r="B115" s="27" t="e">
        <f ca="1">'05_PSA_1000'!K111</f>
        <v>#NAME?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3.9">
      <c r="A116" s="29" t="e">
        <f ca="1">'05_PSA_1000'!N112</f>
        <v>#NAME?</v>
      </c>
      <c r="B116" s="27" t="e">
        <f ca="1">'05_PSA_1000'!K112</f>
        <v>#NAME?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3.9">
      <c r="A117" s="29" t="e">
        <f ca="1">'05_PSA_1000'!N113</f>
        <v>#NAME?</v>
      </c>
      <c r="B117" s="27" t="e">
        <f ca="1">'05_PSA_1000'!K113</f>
        <v>#NAME?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3.9">
      <c r="A118" s="29" t="e">
        <f ca="1">'05_PSA_1000'!N114</f>
        <v>#NAME?</v>
      </c>
      <c r="B118" s="27" t="e">
        <f ca="1">'05_PSA_1000'!K114</f>
        <v>#NAME?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3.9">
      <c r="A119" s="29" t="e">
        <f ca="1">'05_PSA_1000'!N115</f>
        <v>#NAME?</v>
      </c>
      <c r="B119" s="27" t="e">
        <f ca="1">'05_PSA_1000'!K115</f>
        <v>#NAME?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3.9">
      <c r="A120" s="29" t="e">
        <f ca="1">'05_PSA_1000'!N116</f>
        <v>#NAME?</v>
      </c>
      <c r="B120" s="27" t="e">
        <f ca="1">'05_PSA_1000'!K116</f>
        <v>#NAME?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3.9">
      <c r="A121" s="29" t="e">
        <f ca="1">'05_PSA_1000'!N117</f>
        <v>#NAME?</v>
      </c>
      <c r="B121" s="27" t="e">
        <f ca="1">'05_PSA_1000'!K117</f>
        <v>#NAME?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3.9">
      <c r="A122" s="29" t="e">
        <f ca="1">'05_PSA_1000'!N118</f>
        <v>#NAME?</v>
      </c>
      <c r="B122" s="27" t="e">
        <f ca="1">'05_PSA_1000'!K118</f>
        <v>#NAME?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3.9">
      <c r="A123" s="29" t="e">
        <f ca="1">'05_PSA_1000'!N119</f>
        <v>#NAME?</v>
      </c>
      <c r="B123" s="27" t="e">
        <f ca="1">'05_PSA_1000'!K119</f>
        <v>#NAME?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3.9">
      <c r="A124" s="29" t="e">
        <f ca="1">'05_PSA_1000'!N120</f>
        <v>#NAME?</v>
      </c>
      <c r="B124" s="27" t="e">
        <f ca="1">'05_PSA_1000'!K120</f>
        <v>#NAME?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3.9">
      <c r="A125" s="29" t="e">
        <f ca="1">'05_PSA_1000'!N121</f>
        <v>#NAME?</v>
      </c>
      <c r="B125" s="27" t="e">
        <f ca="1">'05_PSA_1000'!K121</f>
        <v>#NAME?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3.9">
      <c r="A126" s="29" t="e">
        <f ca="1">'05_PSA_1000'!N122</f>
        <v>#NAME?</v>
      </c>
      <c r="B126" s="27" t="e">
        <f ca="1">'05_PSA_1000'!K122</f>
        <v>#NAME?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3.9">
      <c r="A127" s="29" t="e">
        <f ca="1">'05_PSA_1000'!N123</f>
        <v>#NAME?</v>
      </c>
      <c r="B127" s="27" t="e">
        <f ca="1">'05_PSA_1000'!K123</f>
        <v>#NAME?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3.9">
      <c r="A128" s="29" t="e">
        <f ca="1">'05_PSA_1000'!N124</f>
        <v>#NAME?</v>
      </c>
      <c r="B128" s="27" t="e">
        <f ca="1">'05_PSA_1000'!K124</f>
        <v>#NAME?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3.9">
      <c r="A129" s="29" t="e">
        <f ca="1">'05_PSA_1000'!N125</f>
        <v>#NAME?</v>
      </c>
      <c r="B129" s="27" t="e">
        <f ca="1">'05_PSA_1000'!K125</f>
        <v>#NAME?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3.9">
      <c r="A130" s="29" t="e">
        <f ca="1">'05_PSA_1000'!N126</f>
        <v>#NAME?</v>
      </c>
      <c r="B130" s="27" t="e">
        <f ca="1">'05_PSA_1000'!K126</f>
        <v>#NAME?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3.9">
      <c r="A131" s="29" t="e">
        <f ca="1">'05_PSA_1000'!N127</f>
        <v>#NAME?</v>
      </c>
      <c r="B131" s="27" t="e">
        <f ca="1">'05_PSA_1000'!K127</f>
        <v>#NAME?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3.9">
      <c r="A132" s="29" t="e">
        <f ca="1">'05_PSA_1000'!N128</f>
        <v>#NAME?</v>
      </c>
      <c r="B132" s="27" t="e">
        <f ca="1">'05_PSA_1000'!K128</f>
        <v>#NAME?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3.9">
      <c r="A133" s="29" t="e">
        <f ca="1">'05_PSA_1000'!N129</f>
        <v>#NAME?</v>
      </c>
      <c r="B133" s="27" t="e">
        <f ca="1">'05_PSA_1000'!K129</f>
        <v>#NAME?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3.9">
      <c r="A134" s="29" t="e">
        <f ca="1">'05_PSA_1000'!N130</f>
        <v>#NAME?</v>
      </c>
      <c r="B134" s="27" t="e">
        <f ca="1">'05_PSA_1000'!K130</f>
        <v>#NAME?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3.9">
      <c r="A135" s="29" t="e">
        <f ca="1">'05_PSA_1000'!N131</f>
        <v>#NAME?</v>
      </c>
      <c r="B135" s="27" t="e">
        <f ca="1">'05_PSA_1000'!K131</f>
        <v>#NAME?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3.9">
      <c r="A136" s="29" t="e">
        <f ca="1">'05_PSA_1000'!N132</f>
        <v>#NAME?</v>
      </c>
      <c r="B136" s="27" t="e">
        <f ca="1">'05_PSA_1000'!K132</f>
        <v>#NAME?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3.9">
      <c r="A137" s="29" t="e">
        <f ca="1">'05_PSA_1000'!N133</f>
        <v>#NAME?</v>
      </c>
      <c r="B137" s="27" t="e">
        <f ca="1">'05_PSA_1000'!K133</f>
        <v>#NAME?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3.9">
      <c r="A138" s="29" t="e">
        <f ca="1">'05_PSA_1000'!N134</f>
        <v>#NAME?</v>
      </c>
      <c r="B138" s="27" t="e">
        <f ca="1">'05_PSA_1000'!K134</f>
        <v>#NAME?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3.9">
      <c r="A139" s="29" t="e">
        <f ca="1">'05_PSA_1000'!N135</f>
        <v>#NAME?</v>
      </c>
      <c r="B139" s="27" t="e">
        <f ca="1">'05_PSA_1000'!K135</f>
        <v>#NAME?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3.9">
      <c r="A140" s="29" t="e">
        <f ca="1">'05_PSA_1000'!N136</f>
        <v>#NAME?</v>
      </c>
      <c r="B140" s="27" t="e">
        <f ca="1">'05_PSA_1000'!K136</f>
        <v>#NAME?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3.9">
      <c r="A141" s="29" t="e">
        <f ca="1">'05_PSA_1000'!N137</f>
        <v>#NAME?</v>
      </c>
      <c r="B141" s="27" t="e">
        <f ca="1">'05_PSA_1000'!K137</f>
        <v>#NAME?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3.9">
      <c r="A142" s="29" t="e">
        <f ca="1">'05_PSA_1000'!N138</f>
        <v>#NAME?</v>
      </c>
      <c r="B142" s="27" t="e">
        <f ca="1">'05_PSA_1000'!K138</f>
        <v>#NAME?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3.9">
      <c r="A143" s="29" t="e">
        <f ca="1">'05_PSA_1000'!N139</f>
        <v>#NAME?</v>
      </c>
      <c r="B143" s="27" t="e">
        <f ca="1">'05_PSA_1000'!K139</f>
        <v>#NAME?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3.9">
      <c r="A144" s="29" t="e">
        <f ca="1">'05_PSA_1000'!N140</f>
        <v>#NAME?</v>
      </c>
      <c r="B144" s="27" t="e">
        <f ca="1">'05_PSA_1000'!K140</f>
        <v>#NAME?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3.9">
      <c r="A145" s="29" t="e">
        <f ca="1">'05_PSA_1000'!N141</f>
        <v>#NAME?</v>
      </c>
      <c r="B145" s="27" t="e">
        <f ca="1">'05_PSA_1000'!K141</f>
        <v>#NAME?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3.9">
      <c r="A146" s="29" t="e">
        <f ca="1">'05_PSA_1000'!N142</f>
        <v>#NAME?</v>
      </c>
      <c r="B146" s="27" t="e">
        <f ca="1">'05_PSA_1000'!K142</f>
        <v>#NAME?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3.9">
      <c r="A147" s="29" t="e">
        <f ca="1">'05_PSA_1000'!N143</f>
        <v>#NAME?</v>
      </c>
      <c r="B147" s="27" t="e">
        <f ca="1">'05_PSA_1000'!K143</f>
        <v>#NAME?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3.9">
      <c r="A148" s="29" t="e">
        <f ca="1">'05_PSA_1000'!N144</f>
        <v>#NAME?</v>
      </c>
      <c r="B148" s="27" t="e">
        <f ca="1">'05_PSA_1000'!K144</f>
        <v>#NAME?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3.9">
      <c r="A149" s="29" t="e">
        <f ca="1">'05_PSA_1000'!N145</f>
        <v>#NAME?</v>
      </c>
      <c r="B149" s="27" t="e">
        <f ca="1">'05_PSA_1000'!K145</f>
        <v>#NAME?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3.9">
      <c r="A150" s="29" t="e">
        <f ca="1">'05_PSA_1000'!N146</f>
        <v>#NAME?</v>
      </c>
      <c r="B150" s="27" t="e">
        <f ca="1">'05_PSA_1000'!K146</f>
        <v>#NAME?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3.9">
      <c r="A151" s="29" t="e">
        <f ca="1">'05_PSA_1000'!N147</f>
        <v>#NAME?</v>
      </c>
      <c r="B151" s="27" t="e">
        <f ca="1">'05_PSA_1000'!K147</f>
        <v>#NAME?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3.9">
      <c r="A152" s="29" t="e">
        <f ca="1">'05_PSA_1000'!N148</f>
        <v>#NAME?</v>
      </c>
      <c r="B152" s="27" t="e">
        <f ca="1">'05_PSA_1000'!K148</f>
        <v>#NAME?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3.9">
      <c r="A153" s="29" t="e">
        <f ca="1">'05_PSA_1000'!N149</f>
        <v>#NAME?</v>
      </c>
      <c r="B153" s="27" t="e">
        <f ca="1">'05_PSA_1000'!K149</f>
        <v>#NAME?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3.9">
      <c r="A154" s="29" t="e">
        <f ca="1">'05_PSA_1000'!N150</f>
        <v>#NAME?</v>
      </c>
      <c r="B154" s="27" t="e">
        <f ca="1">'05_PSA_1000'!K150</f>
        <v>#NAME?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3.9">
      <c r="A155" s="29" t="e">
        <f ca="1">'05_PSA_1000'!N151</f>
        <v>#NAME?</v>
      </c>
      <c r="B155" s="27" t="e">
        <f ca="1">'05_PSA_1000'!K151</f>
        <v>#NAME?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3.9">
      <c r="A156" s="29" t="e">
        <f ca="1">'05_PSA_1000'!N152</f>
        <v>#NAME?</v>
      </c>
      <c r="B156" s="27" t="e">
        <f ca="1">'05_PSA_1000'!K152</f>
        <v>#NAME?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3.9">
      <c r="A157" s="29" t="e">
        <f ca="1">'05_PSA_1000'!N153</f>
        <v>#NAME?</v>
      </c>
      <c r="B157" s="27" t="e">
        <f ca="1">'05_PSA_1000'!K153</f>
        <v>#NAME?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3.9">
      <c r="A158" s="29" t="e">
        <f ca="1">'05_PSA_1000'!N154</f>
        <v>#NAME?</v>
      </c>
      <c r="B158" s="27" t="e">
        <f ca="1">'05_PSA_1000'!K154</f>
        <v>#NAME?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3.9">
      <c r="A159" s="29" t="e">
        <f ca="1">'05_PSA_1000'!N155</f>
        <v>#NAME?</v>
      </c>
      <c r="B159" s="27" t="e">
        <f ca="1">'05_PSA_1000'!K155</f>
        <v>#NAME?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3.9">
      <c r="A160" s="29" t="e">
        <f ca="1">'05_PSA_1000'!N156</f>
        <v>#NAME?</v>
      </c>
      <c r="B160" s="27" t="e">
        <f ca="1">'05_PSA_1000'!K156</f>
        <v>#NAME?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3.9">
      <c r="A161" s="29" t="e">
        <f ca="1">'05_PSA_1000'!N157</f>
        <v>#NAME?</v>
      </c>
      <c r="B161" s="27" t="e">
        <f ca="1">'05_PSA_1000'!K157</f>
        <v>#NAME?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3.9">
      <c r="A162" s="29" t="e">
        <f ca="1">'05_PSA_1000'!N158</f>
        <v>#NAME?</v>
      </c>
      <c r="B162" s="27" t="e">
        <f ca="1">'05_PSA_1000'!K158</f>
        <v>#NAME?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3.9">
      <c r="A163" s="29" t="e">
        <f ca="1">'05_PSA_1000'!N159</f>
        <v>#NAME?</v>
      </c>
      <c r="B163" s="27" t="e">
        <f ca="1">'05_PSA_1000'!K159</f>
        <v>#NAME?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3.9">
      <c r="A164" s="29" t="e">
        <f ca="1">'05_PSA_1000'!N160</f>
        <v>#NAME?</v>
      </c>
      <c r="B164" s="27" t="e">
        <f ca="1">'05_PSA_1000'!K160</f>
        <v>#NAME?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3.9">
      <c r="A165" s="29" t="e">
        <f ca="1">'05_PSA_1000'!N161</f>
        <v>#NAME?</v>
      </c>
      <c r="B165" s="27" t="e">
        <f ca="1">'05_PSA_1000'!K161</f>
        <v>#NAME?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3.9">
      <c r="A166" s="29" t="e">
        <f ca="1">'05_PSA_1000'!N162</f>
        <v>#NAME?</v>
      </c>
      <c r="B166" s="27" t="e">
        <f ca="1">'05_PSA_1000'!K162</f>
        <v>#NAME?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3.9">
      <c r="A167" s="29" t="e">
        <f ca="1">'05_PSA_1000'!N163</f>
        <v>#NAME?</v>
      </c>
      <c r="B167" s="27" t="e">
        <f ca="1">'05_PSA_1000'!K163</f>
        <v>#NAME?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3.9">
      <c r="A168" s="29" t="e">
        <f ca="1">'05_PSA_1000'!N164</f>
        <v>#NAME?</v>
      </c>
      <c r="B168" s="27" t="e">
        <f ca="1">'05_PSA_1000'!K164</f>
        <v>#NAME?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3.9">
      <c r="A169" s="29" t="e">
        <f ca="1">'05_PSA_1000'!N165</f>
        <v>#NAME?</v>
      </c>
      <c r="B169" s="27" t="e">
        <f ca="1">'05_PSA_1000'!K165</f>
        <v>#NAME?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3.9">
      <c r="A170" s="29" t="e">
        <f ca="1">'05_PSA_1000'!N166</f>
        <v>#NAME?</v>
      </c>
      <c r="B170" s="27" t="e">
        <f ca="1">'05_PSA_1000'!K166</f>
        <v>#NAME?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3.9">
      <c r="A171" s="29" t="e">
        <f ca="1">'05_PSA_1000'!N167</f>
        <v>#NAME?</v>
      </c>
      <c r="B171" s="27" t="e">
        <f ca="1">'05_PSA_1000'!K167</f>
        <v>#NAME?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3.9">
      <c r="A172" s="29" t="e">
        <f ca="1">'05_PSA_1000'!N168</f>
        <v>#NAME?</v>
      </c>
      <c r="B172" s="27" t="e">
        <f ca="1">'05_PSA_1000'!K168</f>
        <v>#NAME?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3.9">
      <c r="A173" s="29" t="e">
        <f ca="1">'05_PSA_1000'!N169</f>
        <v>#NAME?</v>
      </c>
      <c r="B173" s="27" t="e">
        <f ca="1">'05_PSA_1000'!K169</f>
        <v>#NAME?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3.9">
      <c r="A174" s="29" t="e">
        <f ca="1">'05_PSA_1000'!N170</f>
        <v>#NAME?</v>
      </c>
      <c r="B174" s="27" t="e">
        <f ca="1">'05_PSA_1000'!K170</f>
        <v>#NAME?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3.9">
      <c r="A175" s="29" t="e">
        <f ca="1">'05_PSA_1000'!N171</f>
        <v>#NAME?</v>
      </c>
      <c r="B175" s="27" t="e">
        <f ca="1">'05_PSA_1000'!K171</f>
        <v>#NAME?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3.9">
      <c r="A176" s="29" t="e">
        <f ca="1">'05_PSA_1000'!N172</f>
        <v>#NAME?</v>
      </c>
      <c r="B176" s="27" t="e">
        <f ca="1">'05_PSA_1000'!K172</f>
        <v>#NAME?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3.9">
      <c r="A177" s="29" t="e">
        <f ca="1">'05_PSA_1000'!N173</f>
        <v>#NAME?</v>
      </c>
      <c r="B177" s="27" t="e">
        <f ca="1">'05_PSA_1000'!K173</f>
        <v>#NAME?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3.9">
      <c r="A178" s="29" t="e">
        <f ca="1">'05_PSA_1000'!N174</f>
        <v>#NAME?</v>
      </c>
      <c r="B178" s="27" t="e">
        <f ca="1">'05_PSA_1000'!K174</f>
        <v>#NAME?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3.9">
      <c r="A179" s="29" t="e">
        <f ca="1">'05_PSA_1000'!N175</f>
        <v>#NAME?</v>
      </c>
      <c r="B179" s="27" t="e">
        <f ca="1">'05_PSA_1000'!K175</f>
        <v>#NAME?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3.9">
      <c r="A180" s="29" t="e">
        <f ca="1">'05_PSA_1000'!N176</f>
        <v>#NAME?</v>
      </c>
      <c r="B180" s="27" t="e">
        <f ca="1">'05_PSA_1000'!K176</f>
        <v>#NAME?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3.9">
      <c r="A181" s="29" t="e">
        <f ca="1">'05_PSA_1000'!N177</f>
        <v>#NAME?</v>
      </c>
      <c r="B181" s="27" t="e">
        <f ca="1">'05_PSA_1000'!K177</f>
        <v>#NAME?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3.9">
      <c r="A182" s="29" t="e">
        <f ca="1">'05_PSA_1000'!N178</f>
        <v>#NAME?</v>
      </c>
      <c r="B182" s="27" t="e">
        <f ca="1">'05_PSA_1000'!K178</f>
        <v>#NAME?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3.9">
      <c r="A183" s="29" t="e">
        <f ca="1">'05_PSA_1000'!N179</f>
        <v>#NAME?</v>
      </c>
      <c r="B183" s="27" t="e">
        <f ca="1">'05_PSA_1000'!K179</f>
        <v>#NAME?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3.9">
      <c r="A184" s="29" t="e">
        <f ca="1">'05_PSA_1000'!N180</f>
        <v>#NAME?</v>
      </c>
      <c r="B184" s="27" t="e">
        <f ca="1">'05_PSA_1000'!K180</f>
        <v>#NAME?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3.9">
      <c r="A185" s="29" t="e">
        <f ca="1">'05_PSA_1000'!N181</f>
        <v>#NAME?</v>
      </c>
      <c r="B185" s="27" t="e">
        <f ca="1">'05_PSA_1000'!K181</f>
        <v>#NAME?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3.9">
      <c r="A186" s="29" t="e">
        <f ca="1">'05_PSA_1000'!N182</f>
        <v>#NAME?</v>
      </c>
      <c r="B186" s="27" t="e">
        <f ca="1">'05_PSA_1000'!K182</f>
        <v>#NAME?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3.9">
      <c r="A187" s="29" t="e">
        <f ca="1">'05_PSA_1000'!N183</f>
        <v>#NAME?</v>
      </c>
      <c r="B187" s="27" t="e">
        <f ca="1">'05_PSA_1000'!K183</f>
        <v>#NAME?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3.9">
      <c r="A188" s="29" t="e">
        <f ca="1">'05_PSA_1000'!N184</f>
        <v>#NAME?</v>
      </c>
      <c r="B188" s="27" t="e">
        <f ca="1">'05_PSA_1000'!K184</f>
        <v>#NAME?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3.9">
      <c r="A189" s="29" t="e">
        <f ca="1">'05_PSA_1000'!N185</f>
        <v>#NAME?</v>
      </c>
      <c r="B189" s="27" t="e">
        <f ca="1">'05_PSA_1000'!K185</f>
        <v>#NAME?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3.9">
      <c r="A190" s="29" t="e">
        <f ca="1">'05_PSA_1000'!N186</f>
        <v>#NAME?</v>
      </c>
      <c r="B190" s="27" t="e">
        <f ca="1">'05_PSA_1000'!K186</f>
        <v>#NAME?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3.9">
      <c r="A191" s="29" t="e">
        <f ca="1">'05_PSA_1000'!N187</f>
        <v>#NAME?</v>
      </c>
      <c r="B191" s="27" t="e">
        <f ca="1">'05_PSA_1000'!K187</f>
        <v>#NAME?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3.9">
      <c r="A192" s="29" t="e">
        <f ca="1">'05_PSA_1000'!N188</f>
        <v>#NAME?</v>
      </c>
      <c r="B192" s="27" t="e">
        <f ca="1">'05_PSA_1000'!K188</f>
        <v>#NAME?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3.9">
      <c r="A193" s="29" t="e">
        <f ca="1">'05_PSA_1000'!N189</f>
        <v>#NAME?</v>
      </c>
      <c r="B193" s="27" t="e">
        <f ca="1">'05_PSA_1000'!K189</f>
        <v>#NAME?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3.9">
      <c r="A194" s="29" t="e">
        <f ca="1">'05_PSA_1000'!N190</f>
        <v>#NAME?</v>
      </c>
      <c r="B194" s="27" t="e">
        <f ca="1">'05_PSA_1000'!K190</f>
        <v>#NAME?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3.9">
      <c r="A195" s="29" t="e">
        <f ca="1">'05_PSA_1000'!N191</f>
        <v>#NAME?</v>
      </c>
      <c r="B195" s="27" t="e">
        <f ca="1">'05_PSA_1000'!K191</f>
        <v>#NAME?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3.9">
      <c r="A196" s="29" t="e">
        <f ca="1">'05_PSA_1000'!N192</f>
        <v>#NAME?</v>
      </c>
      <c r="B196" s="27" t="e">
        <f ca="1">'05_PSA_1000'!K192</f>
        <v>#NAME?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3.9">
      <c r="A197" s="29" t="e">
        <f ca="1">'05_PSA_1000'!N193</f>
        <v>#NAME?</v>
      </c>
      <c r="B197" s="27" t="e">
        <f ca="1">'05_PSA_1000'!K193</f>
        <v>#NAME?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3.9">
      <c r="A198" s="29" t="e">
        <f ca="1">'05_PSA_1000'!N194</f>
        <v>#NAME?</v>
      </c>
      <c r="B198" s="27" t="e">
        <f ca="1">'05_PSA_1000'!K194</f>
        <v>#NAME?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3.9">
      <c r="A199" s="29" t="e">
        <f ca="1">'05_PSA_1000'!N195</f>
        <v>#NAME?</v>
      </c>
      <c r="B199" s="27" t="e">
        <f ca="1">'05_PSA_1000'!K195</f>
        <v>#NAME?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3.9">
      <c r="A200" s="29" t="e">
        <f ca="1">'05_PSA_1000'!N196</f>
        <v>#NAME?</v>
      </c>
      <c r="B200" s="27" t="e">
        <f ca="1">'05_PSA_1000'!K196</f>
        <v>#NAME?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3.9">
      <c r="A201" s="29" t="e">
        <f ca="1">'05_PSA_1000'!N197</f>
        <v>#NAME?</v>
      </c>
      <c r="B201" s="27" t="e">
        <f ca="1">'05_PSA_1000'!K197</f>
        <v>#NAME?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3.9">
      <c r="A202" s="29" t="e">
        <f ca="1">'05_PSA_1000'!N198</f>
        <v>#NAME?</v>
      </c>
      <c r="B202" s="27" t="e">
        <f ca="1">'05_PSA_1000'!K198</f>
        <v>#NAME?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3.9">
      <c r="A203" s="29" t="e">
        <f ca="1">'05_PSA_1000'!N199</f>
        <v>#NAME?</v>
      </c>
      <c r="B203" s="27" t="e">
        <f ca="1">'05_PSA_1000'!K199</f>
        <v>#NAME?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3.9">
      <c r="A204" s="29" t="e">
        <f ca="1">'05_PSA_1000'!N200</f>
        <v>#NAME?</v>
      </c>
      <c r="B204" s="27" t="e">
        <f ca="1">'05_PSA_1000'!K200</f>
        <v>#NAME?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3.9">
      <c r="A205" s="29" t="e">
        <f ca="1">'05_PSA_1000'!N201</f>
        <v>#NAME?</v>
      </c>
      <c r="B205" s="27" t="e">
        <f ca="1">'05_PSA_1000'!K201</f>
        <v>#NAME?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3.9">
      <c r="A206" s="29" t="e">
        <f ca="1">'05_PSA_1000'!N202</f>
        <v>#NAME?</v>
      </c>
      <c r="B206" s="27" t="e">
        <f ca="1">'05_PSA_1000'!K202</f>
        <v>#NAME?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3.9">
      <c r="A207" s="29" t="e">
        <f ca="1">'05_PSA_1000'!N203</f>
        <v>#NAME?</v>
      </c>
      <c r="B207" s="27" t="e">
        <f ca="1">'05_PSA_1000'!K203</f>
        <v>#NAME?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3.9">
      <c r="A208" s="29" t="e">
        <f ca="1">'05_PSA_1000'!N204</f>
        <v>#NAME?</v>
      </c>
      <c r="B208" s="27" t="e">
        <f ca="1">'05_PSA_1000'!K204</f>
        <v>#NAME?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3.9">
      <c r="A209" s="29" t="e">
        <f ca="1">'05_PSA_1000'!N205</f>
        <v>#NAME?</v>
      </c>
      <c r="B209" s="27" t="e">
        <f ca="1">'05_PSA_1000'!K205</f>
        <v>#NAME?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3.9">
      <c r="A210" s="29" t="e">
        <f ca="1">'05_PSA_1000'!N206</f>
        <v>#NAME?</v>
      </c>
      <c r="B210" s="27" t="e">
        <f ca="1">'05_PSA_1000'!K206</f>
        <v>#NAME?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3.9">
      <c r="A211" s="29" t="e">
        <f ca="1">'05_PSA_1000'!N207</f>
        <v>#NAME?</v>
      </c>
      <c r="B211" s="27" t="e">
        <f ca="1">'05_PSA_1000'!K207</f>
        <v>#NAME?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3.9">
      <c r="A212" s="29" t="e">
        <f ca="1">'05_PSA_1000'!N208</f>
        <v>#NAME?</v>
      </c>
      <c r="B212" s="27" t="e">
        <f ca="1">'05_PSA_1000'!K208</f>
        <v>#NAME?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3.9">
      <c r="A213" s="29" t="e">
        <f ca="1">'05_PSA_1000'!N209</f>
        <v>#NAME?</v>
      </c>
      <c r="B213" s="27" t="e">
        <f ca="1">'05_PSA_1000'!K209</f>
        <v>#NAME?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3.9">
      <c r="A214" s="29" t="e">
        <f ca="1">'05_PSA_1000'!N210</f>
        <v>#NAME?</v>
      </c>
      <c r="B214" s="27" t="e">
        <f ca="1">'05_PSA_1000'!K210</f>
        <v>#NAME?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3.9">
      <c r="A215" s="29" t="e">
        <f ca="1">'05_PSA_1000'!N211</f>
        <v>#NAME?</v>
      </c>
      <c r="B215" s="27" t="e">
        <f ca="1">'05_PSA_1000'!K211</f>
        <v>#NAME?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3.9">
      <c r="A216" s="29" t="e">
        <f ca="1">'05_PSA_1000'!N212</f>
        <v>#NAME?</v>
      </c>
      <c r="B216" s="27" t="e">
        <f ca="1">'05_PSA_1000'!K212</f>
        <v>#NAME?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3.9">
      <c r="A217" s="29" t="e">
        <f ca="1">'05_PSA_1000'!N213</f>
        <v>#NAME?</v>
      </c>
      <c r="B217" s="27" t="e">
        <f ca="1">'05_PSA_1000'!K213</f>
        <v>#NAME?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3.9">
      <c r="A218" s="29" t="e">
        <f ca="1">'05_PSA_1000'!N214</f>
        <v>#NAME?</v>
      </c>
      <c r="B218" s="27" t="e">
        <f ca="1">'05_PSA_1000'!K214</f>
        <v>#NAME?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3.9">
      <c r="A219" s="29" t="e">
        <f ca="1">'05_PSA_1000'!N215</f>
        <v>#NAME?</v>
      </c>
      <c r="B219" s="27" t="e">
        <f ca="1">'05_PSA_1000'!K215</f>
        <v>#NAME?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3.9">
      <c r="A220" s="29" t="e">
        <f ca="1">'05_PSA_1000'!N216</f>
        <v>#NAME?</v>
      </c>
      <c r="B220" s="27" t="e">
        <f ca="1">'05_PSA_1000'!K216</f>
        <v>#NAME?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3.9">
      <c r="A221" s="29" t="e">
        <f ca="1">'05_PSA_1000'!N217</f>
        <v>#NAME?</v>
      </c>
      <c r="B221" s="27" t="e">
        <f ca="1">'05_PSA_1000'!K217</f>
        <v>#NAME?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3.9">
      <c r="A222" s="29" t="e">
        <f ca="1">'05_PSA_1000'!N218</f>
        <v>#NAME?</v>
      </c>
      <c r="B222" s="27" t="e">
        <f ca="1">'05_PSA_1000'!K218</f>
        <v>#NAME?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3.9">
      <c r="A223" s="29" t="e">
        <f ca="1">'05_PSA_1000'!N219</f>
        <v>#NAME?</v>
      </c>
      <c r="B223" s="27" t="e">
        <f ca="1">'05_PSA_1000'!K219</f>
        <v>#NAME?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3.9">
      <c r="A224" s="29" t="e">
        <f ca="1">'05_PSA_1000'!N220</f>
        <v>#NAME?</v>
      </c>
      <c r="B224" s="27" t="e">
        <f ca="1">'05_PSA_1000'!K220</f>
        <v>#NAME?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3.9">
      <c r="A225" s="29" t="e">
        <f ca="1">'05_PSA_1000'!N221</f>
        <v>#NAME?</v>
      </c>
      <c r="B225" s="27" t="e">
        <f ca="1">'05_PSA_1000'!K221</f>
        <v>#NAME?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3.9">
      <c r="A226" s="29" t="e">
        <f ca="1">'05_PSA_1000'!N222</f>
        <v>#NAME?</v>
      </c>
      <c r="B226" s="27" t="e">
        <f ca="1">'05_PSA_1000'!K222</f>
        <v>#NAME?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3.9">
      <c r="A227" s="29" t="e">
        <f ca="1">'05_PSA_1000'!N223</f>
        <v>#NAME?</v>
      </c>
      <c r="B227" s="27" t="e">
        <f ca="1">'05_PSA_1000'!K223</f>
        <v>#NAME?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3.9">
      <c r="A228" s="29" t="e">
        <f ca="1">'05_PSA_1000'!N224</f>
        <v>#NAME?</v>
      </c>
      <c r="B228" s="27" t="e">
        <f ca="1">'05_PSA_1000'!K224</f>
        <v>#NAME?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3.9">
      <c r="A229" s="29" t="e">
        <f ca="1">'05_PSA_1000'!N225</f>
        <v>#NAME?</v>
      </c>
      <c r="B229" s="27" t="e">
        <f ca="1">'05_PSA_1000'!K225</f>
        <v>#NAME?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3.9">
      <c r="A230" s="29" t="e">
        <f ca="1">'05_PSA_1000'!N226</f>
        <v>#NAME?</v>
      </c>
      <c r="B230" s="27" t="e">
        <f ca="1">'05_PSA_1000'!K226</f>
        <v>#NAME?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3.9">
      <c r="A231" s="29" t="e">
        <f ca="1">'05_PSA_1000'!N227</f>
        <v>#NAME?</v>
      </c>
      <c r="B231" s="27" t="e">
        <f ca="1">'05_PSA_1000'!K227</f>
        <v>#NAME?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3.9">
      <c r="A232" s="29" t="e">
        <f ca="1">'05_PSA_1000'!N228</f>
        <v>#NAME?</v>
      </c>
      <c r="B232" s="27" t="e">
        <f ca="1">'05_PSA_1000'!K228</f>
        <v>#NAME?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3.9">
      <c r="A233" s="29" t="e">
        <f ca="1">'05_PSA_1000'!N229</f>
        <v>#NAME?</v>
      </c>
      <c r="B233" s="27" t="e">
        <f ca="1">'05_PSA_1000'!K229</f>
        <v>#NAME?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3.9">
      <c r="A234" s="29" t="e">
        <f ca="1">'05_PSA_1000'!N230</f>
        <v>#NAME?</v>
      </c>
      <c r="B234" s="27" t="e">
        <f ca="1">'05_PSA_1000'!K230</f>
        <v>#NAME?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3.9">
      <c r="A235" s="29" t="e">
        <f ca="1">'05_PSA_1000'!N231</f>
        <v>#NAME?</v>
      </c>
      <c r="B235" s="27" t="e">
        <f ca="1">'05_PSA_1000'!K231</f>
        <v>#NAME?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3.9">
      <c r="A236" s="29" t="e">
        <f ca="1">'05_PSA_1000'!N232</f>
        <v>#NAME?</v>
      </c>
      <c r="B236" s="27" t="e">
        <f ca="1">'05_PSA_1000'!K232</f>
        <v>#NAME?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3.9">
      <c r="A237" s="29" t="e">
        <f ca="1">'05_PSA_1000'!N233</f>
        <v>#NAME?</v>
      </c>
      <c r="B237" s="27" t="e">
        <f ca="1">'05_PSA_1000'!K233</f>
        <v>#NAME?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3.9">
      <c r="A238" s="29" t="e">
        <f ca="1">'05_PSA_1000'!N234</f>
        <v>#NAME?</v>
      </c>
      <c r="B238" s="27" t="e">
        <f ca="1">'05_PSA_1000'!K234</f>
        <v>#NAME?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3.9">
      <c r="A239" s="29" t="e">
        <f ca="1">'05_PSA_1000'!N235</f>
        <v>#NAME?</v>
      </c>
      <c r="B239" s="27" t="e">
        <f ca="1">'05_PSA_1000'!K235</f>
        <v>#NAME?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3.9">
      <c r="A240" s="29" t="e">
        <f ca="1">'05_PSA_1000'!N236</f>
        <v>#NAME?</v>
      </c>
      <c r="B240" s="27" t="e">
        <f ca="1">'05_PSA_1000'!K236</f>
        <v>#NAME?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3.9">
      <c r="A241" s="29" t="e">
        <f ca="1">'05_PSA_1000'!N237</f>
        <v>#NAME?</v>
      </c>
      <c r="B241" s="27" t="e">
        <f ca="1">'05_PSA_1000'!K237</f>
        <v>#NAME?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3.9">
      <c r="A242" s="29" t="e">
        <f ca="1">'05_PSA_1000'!N238</f>
        <v>#NAME?</v>
      </c>
      <c r="B242" s="27" t="e">
        <f ca="1">'05_PSA_1000'!K238</f>
        <v>#NAME?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3.9">
      <c r="A243" s="29" t="e">
        <f ca="1">'05_PSA_1000'!N239</f>
        <v>#NAME?</v>
      </c>
      <c r="B243" s="27" t="e">
        <f ca="1">'05_PSA_1000'!K239</f>
        <v>#NAME?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3.9">
      <c r="A244" s="29" t="e">
        <f ca="1">'05_PSA_1000'!N240</f>
        <v>#NAME?</v>
      </c>
      <c r="B244" s="27" t="e">
        <f ca="1">'05_PSA_1000'!K240</f>
        <v>#NAME?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3.9">
      <c r="A245" s="29" t="e">
        <f ca="1">'05_PSA_1000'!N241</f>
        <v>#NAME?</v>
      </c>
      <c r="B245" s="27" t="e">
        <f ca="1">'05_PSA_1000'!K241</f>
        <v>#NAME?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3.9">
      <c r="A246" s="29" t="e">
        <f ca="1">'05_PSA_1000'!N242</f>
        <v>#NAME?</v>
      </c>
      <c r="B246" s="27" t="e">
        <f ca="1">'05_PSA_1000'!K242</f>
        <v>#NAME?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3.9">
      <c r="A247" s="29" t="e">
        <f ca="1">'05_PSA_1000'!N243</f>
        <v>#NAME?</v>
      </c>
      <c r="B247" s="27" t="e">
        <f ca="1">'05_PSA_1000'!K243</f>
        <v>#NAME?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3.9">
      <c r="A248" s="29" t="e">
        <f ca="1">'05_PSA_1000'!N244</f>
        <v>#NAME?</v>
      </c>
      <c r="B248" s="27" t="e">
        <f ca="1">'05_PSA_1000'!K244</f>
        <v>#NAME?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3.9">
      <c r="A249" s="29" t="e">
        <f ca="1">'05_PSA_1000'!N245</f>
        <v>#NAME?</v>
      </c>
      <c r="B249" s="27" t="e">
        <f ca="1">'05_PSA_1000'!K245</f>
        <v>#NAME?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3.9">
      <c r="A250" s="29" t="e">
        <f ca="1">'05_PSA_1000'!N246</f>
        <v>#NAME?</v>
      </c>
      <c r="B250" s="27" t="e">
        <f ca="1">'05_PSA_1000'!K246</f>
        <v>#NAME?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3.9">
      <c r="A251" s="29" t="e">
        <f ca="1">'05_PSA_1000'!N247</f>
        <v>#NAME?</v>
      </c>
      <c r="B251" s="27" t="e">
        <f ca="1">'05_PSA_1000'!K247</f>
        <v>#NAME?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3.9">
      <c r="A252" s="29" t="e">
        <f ca="1">'05_PSA_1000'!N248</f>
        <v>#NAME?</v>
      </c>
      <c r="B252" s="27" t="e">
        <f ca="1">'05_PSA_1000'!K248</f>
        <v>#NAME?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3.9">
      <c r="A253" s="29" t="e">
        <f ca="1">'05_PSA_1000'!N249</f>
        <v>#NAME?</v>
      </c>
      <c r="B253" s="27" t="e">
        <f ca="1">'05_PSA_1000'!K249</f>
        <v>#NAME?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3.9">
      <c r="A254" s="29" t="e">
        <f ca="1">'05_PSA_1000'!N250</f>
        <v>#NAME?</v>
      </c>
      <c r="B254" s="27" t="e">
        <f ca="1">'05_PSA_1000'!K250</f>
        <v>#NAME?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3.9">
      <c r="A255" s="29" t="e">
        <f ca="1">'05_PSA_1000'!N251</f>
        <v>#NAME?</v>
      </c>
      <c r="B255" s="27" t="e">
        <f ca="1">'05_PSA_1000'!K251</f>
        <v>#NAME?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3.9">
      <c r="A256" s="29" t="e">
        <f ca="1">'05_PSA_1000'!N252</f>
        <v>#NAME?</v>
      </c>
      <c r="B256" s="27" t="e">
        <f ca="1">'05_PSA_1000'!K252</f>
        <v>#NAME?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3.9">
      <c r="A257" s="29" t="e">
        <f ca="1">'05_PSA_1000'!N253</f>
        <v>#NAME?</v>
      </c>
      <c r="B257" s="27" t="e">
        <f ca="1">'05_PSA_1000'!K253</f>
        <v>#NAME?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3.9">
      <c r="A258" s="29" t="e">
        <f ca="1">'05_PSA_1000'!N254</f>
        <v>#NAME?</v>
      </c>
      <c r="B258" s="27" t="e">
        <f ca="1">'05_PSA_1000'!K254</f>
        <v>#NAME?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3.9">
      <c r="A259" s="29" t="e">
        <f ca="1">'05_PSA_1000'!N255</f>
        <v>#NAME?</v>
      </c>
      <c r="B259" s="27" t="e">
        <f ca="1">'05_PSA_1000'!K255</f>
        <v>#NAME?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3.9">
      <c r="A260" s="29" t="e">
        <f ca="1">'05_PSA_1000'!N256</f>
        <v>#NAME?</v>
      </c>
      <c r="B260" s="27" t="e">
        <f ca="1">'05_PSA_1000'!K256</f>
        <v>#NAME?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3.9">
      <c r="A261" s="29" t="e">
        <f ca="1">'05_PSA_1000'!N257</f>
        <v>#NAME?</v>
      </c>
      <c r="B261" s="27" t="e">
        <f ca="1">'05_PSA_1000'!K257</f>
        <v>#NAME?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3.9">
      <c r="A262" s="29" t="e">
        <f ca="1">'05_PSA_1000'!N258</f>
        <v>#NAME?</v>
      </c>
      <c r="B262" s="27" t="e">
        <f ca="1">'05_PSA_1000'!K258</f>
        <v>#NAME?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3.9">
      <c r="A263" s="29" t="e">
        <f ca="1">'05_PSA_1000'!N259</f>
        <v>#NAME?</v>
      </c>
      <c r="B263" s="27" t="e">
        <f ca="1">'05_PSA_1000'!K259</f>
        <v>#NAME?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3.9">
      <c r="A264" s="29" t="e">
        <f ca="1">'05_PSA_1000'!N260</f>
        <v>#NAME?</v>
      </c>
      <c r="B264" s="27" t="e">
        <f ca="1">'05_PSA_1000'!K260</f>
        <v>#NAME?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3.9">
      <c r="A265" s="29" t="e">
        <f ca="1">'05_PSA_1000'!N261</f>
        <v>#NAME?</v>
      </c>
      <c r="B265" s="27" t="e">
        <f ca="1">'05_PSA_1000'!K261</f>
        <v>#NAME?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3.9">
      <c r="A266" s="29" t="e">
        <f ca="1">'05_PSA_1000'!N262</f>
        <v>#NAME?</v>
      </c>
      <c r="B266" s="27" t="e">
        <f ca="1">'05_PSA_1000'!K262</f>
        <v>#NAME?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3.9">
      <c r="A267" s="29" t="e">
        <f ca="1">'05_PSA_1000'!N263</f>
        <v>#NAME?</v>
      </c>
      <c r="B267" s="27" t="e">
        <f ca="1">'05_PSA_1000'!K263</f>
        <v>#NAME?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3.9">
      <c r="A268" s="29" t="e">
        <f ca="1">'05_PSA_1000'!N264</f>
        <v>#NAME?</v>
      </c>
      <c r="B268" s="27" t="e">
        <f ca="1">'05_PSA_1000'!K264</f>
        <v>#NAME?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3.9">
      <c r="A269" s="29" t="e">
        <f ca="1">'05_PSA_1000'!N265</f>
        <v>#NAME?</v>
      </c>
      <c r="B269" s="27" t="e">
        <f ca="1">'05_PSA_1000'!K265</f>
        <v>#NAME?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3.9">
      <c r="A270" s="29" t="e">
        <f ca="1">'05_PSA_1000'!N266</f>
        <v>#NAME?</v>
      </c>
      <c r="B270" s="27" t="e">
        <f ca="1">'05_PSA_1000'!K266</f>
        <v>#NAME?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3.9">
      <c r="A271" s="29" t="e">
        <f ca="1">'05_PSA_1000'!N267</f>
        <v>#NAME?</v>
      </c>
      <c r="B271" s="27" t="e">
        <f ca="1">'05_PSA_1000'!K267</f>
        <v>#NAME?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3.9">
      <c r="A272" s="29" t="e">
        <f ca="1">'05_PSA_1000'!N268</f>
        <v>#NAME?</v>
      </c>
      <c r="B272" s="27" t="e">
        <f ca="1">'05_PSA_1000'!K268</f>
        <v>#NAME?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3.9">
      <c r="A273" s="29" t="e">
        <f ca="1">'05_PSA_1000'!N269</f>
        <v>#NAME?</v>
      </c>
      <c r="B273" s="27" t="e">
        <f ca="1">'05_PSA_1000'!K269</f>
        <v>#NAME?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3.9">
      <c r="A274" s="29" t="e">
        <f ca="1">'05_PSA_1000'!N270</f>
        <v>#NAME?</v>
      </c>
      <c r="B274" s="27" t="e">
        <f ca="1">'05_PSA_1000'!K270</f>
        <v>#NAME?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3.9">
      <c r="A275" s="29" t="e">
        <f ca="1">'05_PSA_1000'!N271</f>
        <v>#NAME?</v>
      </c>
      <c r="B275" s="27" t="e">
        <f ca="1">'05_PSA_1000'!K271</f>
        <v>#NAME?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3.9">
      <c r="A276" s="29" t="e">
        <f ca="1">'05_PSA_1000'!N272</f>
        <v>#NAME?</v>
      </c>
      <c r="B276" s="27" t="e">
        <f ca="1">'05_PSA_1000'!K272</f>
        <v>#NAME?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3.9">
      <c r="A277" s="29" t="e">
        <f ca="1">'05_PSA_1000'!N273</f>
        <v>#NAME?</v>
      </c>
      <c r="B277" s="27" t="e">
        <f ca="1">'05_PSA_1000'!K273</f>
        <v>#NAME?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3.9">
      <c r="A278" s="29" t="e">
        <f ca="1">'05_PSA_1000'!N274</f>
        <v>#NAME?</v>
      </c>
      <c r="B278" s="27" t="e">
        <f ca="1">'05_PSA_1000'!K274</f>
        <v>#NAME?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3.9">
      <c r="A279" s="29" t="e">
        <f ca="1">'05_PSA_1000'!N275</f>
        <v>#NAME?</v>
      </c>
      <c r="B279" s="27" t="e">
        <f ca="1">'05_PSA_1000'!K275</f>
        <v>#NAME?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3.9">
      <c r="A280" s="29" t="e">
        <f ca="1">'05_PSA_1000'!N276</f>
        <v>#NAME?</v>
      </c>
      <c r="B280" s="27" t="e">
        <f ca="1">'05_PSA_1000'!K276</f>
        <v>#NAME?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3.9">
      <c r="A281" s="29" t="e">
        <f ca="1">'05_PSA_1000'!N277</f>
        <v>#NAME?</v>
      </c>
      <c r="B281" s="27" t="e">
        <f ca="1">'05_PSA_1000'!K277</f>
        <v>#NAME?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3.9">
      <c r="A282" s="29" t="e">
        <f ca="1">'05_PSA_1000'!N278</f>
        <v>#NAME?</v>
      </c>
      <c r="B282" s="27" t="e">
        <f ca="1">'05_PSA_1000'!K278</f>
        <v>#NAME?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3.9">
      <c r="A283" s="29" t="e">
        <f ca="1">'05_PSA_1000'!N279</f>
        <v>#NAME?</v>
      </c>
      <c r="B283" s="27" t="e">
        <f ca="1">'05_PSA_1000'!K279</f>
        <v>#NAME?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3.9">
      <c r="A284" s="29" t="e">
        <f ca="1">'05_PSA_1000'!N280</f>
        <v>#NAME?</v>
      </c>
      <c r="B284" s="27" t="e">
        <f ca="1">'05_PSA_1000'!K280</f>
        <v>#NAME?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3.9">
      <c r="A285" s="29" t="e">
        <f ca="1">'05_PSA_1000'!N281</f>
        <v>#NAME?</v>
      </c>
      <c r="B285" s="27" t="e">
        <f ca="1">'05_PSA_1000'!K281</f>
        <v>#NAME?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3.9">
      <c r="A286" s="29" t="e">
        <f ca="1">'05_PSA_1000'!N282</f>
        <v>#NAME?</v>
      </c>
      <c r="B286" s="27" t="e">
        <f ca="1">'05_PSA_1000'!K282</f>
        <v>#NAME?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3.9">
      <c r="A287" s="29" t="e">
        <f ca="1">'05_PSA_1000'!N283</f>
        <v>#NAME?</v>
      </c>
      <c r="B287" s="27" t="e">
        <f ca="1">'05_PSA_1000'!K283</f>
        <v>#NAME?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3.9">
      <c r="A288" s="29" t="e">
        <f ca="1">'05_PSA_1000'!N284</f>
        <v>#NAME?</v>
      </c>
      <c r="B288" s="27" t="e">
        <f ca="1">'05_PSA_1000'!K284</f>
        <v>#NAME?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3.9">
      <c r="A289" s="29" t="e">
        <f ca="1">'05_PSA_1000'!N285</f>
        <v>#NAME?</v>
      </c>
      <c r="B289" s="27" t="e">
        <f ca="1">'05_PSA_1000'!K285</f>
        <v>#NAME?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3.9">
      <c r="A290" s="29" t="e">
        <f ca="1">'05_PSA_1000'!N286</f>
        <v>#NAME?</v>
      </c>
      <c r="B290" s="27" t="e">
        <f ca="1">'05_PSA_1000'!K286</f>
        <v>#NAME?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3.9">
      <c r="A291" s="29" t="e">
        <f ca="1">'05_PSA_1000'!N287</f>
        <v>#NAME?</v>
      </c>
      <c r="B291" s="27" t="e">
        <f ca="1">'05_PSA_1000'!K287</f>
        <v>#NAME?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3.9">
      <c r="A292" s="29" t="e">
        <f ca="1">'05_PSA_1000'!N288</f>
        <v>#NAME?</v>
      </c>
      <c r="B292" s="27" t="e">
        <f ca="1">'05_PSA_1000'!K288</f>
        <v>#NAME?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3.9">
      <c r="A293" s="29" t="e">
        <f ca="1">'05_PSA_1000'!N289</f>
        <v>#NAME?</v>
      </c>
      <c r="B293" s="27" t="e">
        <f ca="1">'05_PSA_1000'!K289</f>
        <v>#NAME?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3.9">
      <c r="A294" s="29" t="e">
        <f ca="1">'05_PSA_1000'!N290</f>
        <v>#NAME?</v>
      </c>
      <c r="B294" s="27" t="e">
        <f ca="1">'05_PSA_1000'!K290</f>
        <v>#NAME?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3.9">
      <c r="A295" s="29" t="e">
        <f ca="1">'05_PSA_1000'!N291</f>
        <v>#NAME?</v>
      </c>
      <c r="B295" s="27" t="e">
        <f ca="1">'05_PSA_1000'!K291</f>
        <v>#NAME?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3.9">
      <c r="A296" s="29" t="e">
        <f ca="1">'05_PSA_1000'!N292</f>
        <v>#NAME?</v>
      </c>
      <c r="B296" s="27" t="e">
        <f ca="1">'05_PSA_1000'!K292</f>
        <v>#NAME?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3.9">
      <c r="A297" s="29" t="e">
        <f ca="1">'05_PSA_1000'!N293</f>
        <v>#NAME?</v>
      </c>
      <c r="B297" s="27" t="e">
        <f ca="1">'05_PSA_1000'!K293</f>
        <v>#NAME?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3.9">
      <c r="A298" s="29" t="e">
        <f ca="1">'05_PSA_1000'!N294</f>
        <v>#NAME?</v>
      </c>
      <c r="B298" s="27" t="e">
        <f ca="1">'05_PSA_1000'!K294</f>
        <v>#NAME?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3.9">
      <c r="A299" s="29" t="e">
        <f ca="1">'05_PSA_1000'!N295</f>
        <v>#NAME?</v>
      </c>
      <c r="B299" s="27" t="e">
        <f ca="1">'05_PSA_1000'!K295</f>
        <v>#NAME?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3.9">
      <c r="A300" s="29" t="e">
        <f ca="1">'05_PSA_1000'!N296</f>
        <v>#NAME?</v>
      </c>
      <c r="B300" s="27" t="e">
        <f ca="1">'05_PSA_1000'!K296</f>
        <v>#NAME?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3.9">
      <c r="A301" s="29" t="e">
        <f ca="1">'05_PSA_1000'!N297</f>
        <v>#NAME?</v>
      </c>
      <c r="B301" s="27" t="e">
        <f ca="1">'05_PSA_1000'!K297</f>
        <v>#NAME?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3.9">
      <c r="A302" s="29" t="e">
        <f ca="1">'05_PSA_1000'!N298</f>
        <v>#NAME?</v>
      </c>
      <c r="B302" s="27" t="e">
        <f ca="1">'05_PSA_1000'!K298</f>
        <v>#NAME?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3.9">
      <c r="A303" s="29" t="e">
        <f ca="1">'05_PSA_1000'!N299</f>
        <v>#NAME?</v>
      </c>
      <c r="B303" s="27" t="e">
        <f ca="1">'05_PSA_1000'!K299</f>
        <v>#NAME?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3.9">
      <c r="A304" s="29" t="e">
        <f ca="1">'05_PSA_1000'!N300</f>
        <v>#NAME?</v>
      </c>
      <c r="B304" s="27" t="e">
        <f ca="1">'05_PSA_1000'!K300</f>
        <v>#NAME?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3.9">
      <c r="A305" s="29" t="e">
        <f ca="1">'05_PSA_1000'!N301</f>
        <v>#NAME?</v>
      </c>
      <c r="B305" s="27" t="e">
        <f ca="1">'05_PSA_1000'!K301</f>
        <v>#NAME?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3.9">
      <c r="A306" s="29" t="e">
        <f ca="1">'05_PSA_1000'!N302</f>
        <v>#NAME?</v>
      </c>
      <c r="B306" s="27" t="e">
        <f ca="1">'05_PSA_1000'!K302</f>
        <v>#NAME?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3.9">
      <c r="A307" s="29" t="e">
        <f ca="1">'05_PSA_1000'!N303</f>
        <v>#NAME?</v>
      </c>
      <c r="B307" s="27" t="e">
        <f ca="1">'05_PSA_1000'!K303</f>
        <v>#NAME?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3.9">
      <c r="A308" s="29" t="e">
        <f ca="1">'05_PSA_1000'!N304</f>
        <v>#NAME?</v>
      </c>
      <c r="B308" s="27" t="e">
        <f ca="1">'05_PSA_1000'!K304</f>
        <v>#NAME?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3.9">
      <c r="A309" s="29" t="e">
        <f ca="1">'05_PSA_1000'!N305</f>
        <v>#NAME?</v>
      </c>
      <c r="B309" s="27" t="e">
        <f ca="1">'05_PSA_1000'!K305</f>
        <v>#NAME?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3.9">
      <c r="A310" s="29" t="e">
        <f ca="1">'05_PSA_1000'!N306</f>
        <v>#NAME?</v>
      </c>
      <c r="B310" s="27" t="e">
        <f ca="1">'05_PSA_1000'!K306</f>
        <v>#NAME?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3.9">
      <c r="A311" s="29" t="e">
        <f ca="1">'05_PSA_1000'!N307</f>
        <v>#NAME?</v>
      </c>
      <c r="B311" s="27" t="e">
        <f ca="1">'05_PSA_1000'!K307</f>
        <v>#NAME?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3.9">
      <c r="A312" s="29" t="e">
        <f ca="1">'05_PSA_1000'!N308</f>
        <v>#NAME?</v>
      </c>
      <c r="B312" s="27" t="e">
        <f ca="1">'05_PSA_1000'!K308</f>
        <v>#NAME?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3.9">
      <c r="A313" s="29" t="e">
        <f ca="1">'05_PSA_1000'!N309</f>
        <v>#NAME?</v>
      </c>
      <c r="B313" s="27" t="e">
        <f ca="1">'05_PSA_1000'!K309</f>
        <v>#NAME?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3.9">
      <c r="A314" s="29" t="e">
        <f ca="1">'05_PSA_1000'!N310</f>
        <v>#NAME?</v>
      </c>
      <c r="B314" s="27" t="e">
        <f ca="1">'05_PSA_1000'!K310</f>
        <v>#NAME?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3.9">
      <c r="A315" s="29" t="e">
        <f ca="1">'05_PSA_1000'!N311</f>
        <v>#NAME?</v>
      </c>
      <c r="B315" s="27" t="e">
        <f ca="1">'05_PSA_1000'!K311</f>
        <v>#NAME?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3.9">
      <c r="A316" s="29" t="e">
        <f ca="1">'05_PSA_1000'!N312</f>
        <v>#NAME?</v>
      </c>
      <c r="B316" s="27" t="e">
        <f ca="1">'05_PSA_1000'!K312</f>
        <v>#NAME?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3.9">
      <c r="A317" s="29" t="e">
        <f ca="1">'05_PSA_1000'!N313</f>
        <v>#NAME?</v>
      </c>
      <c r="B317" s="27" t="e">
        <f ca="1">'05_PSA_1000'!K313</f>
        <v>#NAME?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3.9">
      <c r="A318" s="29" t="e">
        <f ca="1">'05_PSA_1000'!N314</f>
        <v>#NAME?</v>
      </c>
      <c r="B318" s="27" t="e">
        <f ca="1">'05_PSA_1000'!K314</f>
        <v>#NAME?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3.9">
      <c r="A319" s="29" t="e">
        <f ca="1">'05_PSA_1000'!N315</f>
        <v>#NAME?</v>
      </c>
      <c r="B319" s="27" t="e">
        <f ca="1">'05_PSA_1000'!K315</f>
        <v>#NAME?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3.9">
      <c r="A320" s="29" t="e">
        <f ca="1">'05_PSA_1000'!N316</f>
        <v>#NAME?</v>
      </c>
      <c r="B320" s="27" t="e">
        <f ca="1">'05_PSA_1000'!K316</f>
        <v>#NAME?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3.9">
      <c r="A321" s="29" t="e">
        <f ca="1">'05_PSA_1000'!N317</f>
        <v>#NAME?</v>
      </c>
      <c r="B321" s="27" t="e">
        <f ca="1">'05_PSA_1000'!K317</f>
        <v>#NAME?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3.9">
      <c r="A322" s="29" t="e">
        <f ca="1">'05_PSA_1000'!N318</f>
        <v>#NAME?</v>
      </c>
      <c r="B322" s="27" t="e">
        <f ca="1">'05_PSA_1000'!K318</f>
        <v>#NAME?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3.9">
      <c r="A323" s="29" t="e">
        <f ca="1">'05_PSA_1000'!N319</f>
        <v>#NAME?</v>
      </c>
      <c r="B323" s="27" t="e">
        <f ca="1">'05_PSA_1000'!K319</f>
        <v>#NAME?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3.9">
      <c r="A324" s="29" t="e">
        <f ca="1">'05_PSA_1000'!N320</f>
        <v>#NAME?</v>
      </c>
      <c r="B324" s="27" t="e">
        <f ca="1">'05_PSA_1000'!K320</f>
        <v>#NAME?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3.9">
      <c r="A325" s="29" t="e">
        <f ca="1">'05_PSA_1000'!N321</f>
        <v>#NAME?</v>
      </c>
      <c r="B325" s="27" t="e">
        <f ca="1">'05_PSA_1000'!K321</f>
        <v>#NAME?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3.9">
      <c r="A326" s="29" t="e">
        <f ca="1">'05_PSA_1000'!N322</f>
        <v>#NAME?</v>
      </c>
      <c r="B326" s="27" t="e">
        <f ca="1">'05_PSA_1000'!K322</f>
        <v>#NAME?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3.9">
      <c r="A327" s="29" t="e">
        <f ca="1">'05_PSA_1000'!N323</f>
        <v>#NAME?</v>
      </c>
      <c r="B327" s="27" t="e">
        <f ca="1">'05_PSA_1000'!K323</f>
        <v>#NAME?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3.9">
      <c r="A328" s="29" t="e">
        <f ca="1">'05_PSA_1000'!N324</f>
        <v>#NAME?</v>
      </c>
      <c r="B328" s="27" t="e">
        <f ca="1">'05_PSA_1000'!K324</f>
        <v>#NAME?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3.9">
      <c r="A329" s="29" t="e">
        <f ca="1">'05_PSA_1000'!N325</f>
        <v>#NAME?</v>
      </c>
      <c r="B329" s="27" t="e">
        <f ca="1">'05_PSA_1000'!K325</f>
        <v>#NAME?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3.9">
      <c r="A330" s="29" t="e">
        <f ca="1">'05_PSA_1000'!N326</f>
        <v>#NAME?</v>
      </c>
      <c r="B330" s="27" t="e">
        <f ca="1">'05_PSA_1000'!K326</f>
        <v>#NAME?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3.9">
      <c r="A331" s="29" t="e">
        <f ca="1">'05_PSA_1000'!N327</f>
        <v>#NAME?</v>
      </c>
      <c r="B331" s="27" t="e">
        <f ca="1">'05_PSA_1000'!K327</f>
        <v>#NAME?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3.9">
      <c r="A332" s="29" t="e">
        <f ca="1">'05_PSA_1000'!N328</f>
        <v>#NAME?</v>
      </c>
      <c r="B332" s="27" t="e">
        <f ca="1">'05_PSA_1000'!K328</f>
        <v>#NAME?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3.9">
      <c r="A333" s="29" t="e">
        <f ca="1">'05_PSA_1000'!N329</f>
        <v>#NAME?</v>
      </c>
      <c r="B333" s="27" t="e">
        <f ca="1">'05_PSA_1000'!K329</f>
        <v>#NAME?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3.9">
      <c r="A334" s="29" t="e">
        <f ca="1">'05_PSA_1000'!N330</f>
        <v>#NAME?</v>
      </c>
      <c r="B334" s="27" t="e">
        <f ca="1">'05_PSA_1000'!K330</f>
        <v>#NAME?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3.9">
      <c r="A335" s="29" t="e">
        <f ca="1">'05_PSA_1000'!N331</f>
        <v>#NAME?</v>
      </c>
      <c r="B335" s="27" t="e">
        <f ca="1">'05_PSA_1000'!K331</f>
        <v>#NAME?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3.9">
      <c r="A336" s="29" t="e">
        <f ca="1">'05_PSA_1000'!N332</f>
        <v>#NAME?</v>
      </c>
      <c r="B336" s="27" t="e">
        <f ca="1">'05_PSA_1000'!K332</f>
        <v>#NAME?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3.9">
      <c r="A337" s="29" t="e">
        <f ca="1">'05_PSA_1000'!N333</f>
        <v>#NAME?</v>
      </c>
      <c r="B337" s="27" t="e">
        <f ca="1">'05_PSA_1000'!K333</f>
        <v>#NAME?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3.9">
      <c r="A338" s="29" t="e">
        <f ca="1">'05_PSA_1000'!N334</f>
        <v>#NAME?</v>
      </c>
      <c r="B338" s="27" t="e">
        <f ca="1">'05_PSA_1000'!K334</f>
        <v>#NAME?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3.9">
      <c r="A339" s="29" t="e">
        <f ca="1">'05_PSA_1000'!N335</f>
        <v>#NAME?</v>
      </c>
      <c r="B339" s="27" t="e">
        <f ca="1">'05_PSA_1000'!K335</f>
        <v>#NAME?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3.9">
      <c r="A340" s="29" t="e">
        <f ca="1">'05_PSA_1000'!N336</f>
        <v>#NAME?</v>
      </c>
      <c r="B340" s="27" t="e">
        <f ca="1">'05_PSA_1000'!K336</f>
        <v>#NAME?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3.9">
      <c r="A341" s="29" t="e">
        <f ca="1">'05_PSA_1000'!N337</f>
        <v>#NAME?</v>
      </c>
      <c r="B341" s="27" t="e">
        <f ca="1">'05_PSA_1000'!K337</f>
        <v>#NAME?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3.9">
      <c r="A342" s="29" t="e">
        <f ca="1">'05_PSA_1000'!N338</f>
        <v>#NAME?</v>
      </c>
      <c r="B342" s="27" t="e">
        <f ca="1">'05_PSA_1000'!K338</f>
        <v>#NAME?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3.9">
      <c r="A343" s="29" t="e">
        <f ca="1">'05_PSA_1000'!N339</f>
        <v>#NAME?</v>
      </c>
      <c r="B343" s="27" t="e">
        <f ca="1">'05_PSA_1000'!K339</f>
        <v>#NAME?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3.9">
      <c r="A344" s="29" t="e">
        <f ca="1">'05_PSA_1000'!N340</f>
        <v>#NAME?</v>
      </c>
      <c r="B344" s="27" t="e">
        <f ca="1">'05_PSA_1000'!K340</f>
        <v>#NAME?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3.9">
      <c r="A345" s="29" t="e">
        <f ca="1">'05_PSA_1000'!N341</f>
        <v>#NAME?</v>
      </c>
      <c r="B345" s="27" t="e">
        <f ca="1">'05_PSA_1000'!K341</f>
        <v>#NAME?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3.9">
      <c r="A346" s="29" t="e">
        <f ca="1">'05_PSA_1000'!N342</f>
        <v>#NAME?</v>
      </c>
      <c r="B346" s="27" t="e">
        <f ca="1">'05_PSA_1000'!K342</f>
        <v>#NAME?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3.9">
      <c r="A347" s="29" t="e">
        <f ca="1">'05_PSA_1000'!N343</f>
        <v>#NAME?</v>
      </c>
      <c r="B347" s="27" t="e">
        <f ca="1">'05_PSA_1000'!K343</f>
        <v>#NAME?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3.9">
      <c r="A348" s="29" t="e">
        <f ca="1">'05_PSA_1000'!N344</f>
        <v>#NAME?</v>
      </c>
      <c r="B348" s="27" t="e">
        <f ca="1">'05_PSA_1000'!K344</f>
        <v>#NAME?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3.9">
      <c r="A349" s="29" t="e">
        <f ca="1">'05_PSA_1000'!N345</f>
        <v>#NAME?</v>
      </c>
      <c r="B349" s="27" t="e">
        <f ca="1">'05_PSA_1000'!K345</f>
        <v>#NAME?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3.9">
      <c r="A350" s="29" t="e">
        <f ca="1">'05_PSA_1000'!N346</f>
        <v>#NAME?</v>
      </c>
      <c r="B350" s="27" t="e">
        <f ca="1">'05_PSA_1000'!K346</f>
        <v>#NAME?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3.9">
      <c r="A351" s="29" t="e">
        <f ca="1">'05_PSA_1000'!N347</f>
        <v>#NAME?</v>
      </c>
      <c r="B351" s="27" t="e">
        <f ca="1">'05_PSA_1000'!K347</f>
        <v>#NAME?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3.9">
      <c r="A352" s="29" t="e">
        <f ca="1">'05_PSA_1000'!N348</f>
        <v>#NAME?</v>
      </c>
      <c r="B352" s="27" t="e">
        <f ca="1">'05_PSA_1000'!K348</f>
        <v>#NAME?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3.9">
      <c r="A353" s="29" t="e">
        <f ca="1">'05_PSA_1000'!N349</f>
        <v>#NAME?</v>
      </c>
      <c r="B353" s="27" t="e">
        <f ca="1">'05_PSA_1000'!K349</f>
        <v>#NAME?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3.9">
      <c r="A354" s="29" t="e">
        <f ca="1">'05_PSA_1000'!N350</f>
        <v>#NAME?</v>
      </c>
      <c r="B354" s="27" t="e">
        <f ca="1">'05_PSA_1000'!K350</f>
        <v>#NAME?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3.9">
      <c r="A355" s="29" t="e">
        <f ca="1">'05_PSA_1000'!N351</f>
        <v>#NAME?</v>
      </c>
      <c r="B355" s="27" t="e">
        <f ca="1">'05_PSA_1000'!K351</f>
        <v>#NAME?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3.9">
      <c r="A356" s="29" t="e">
        <f ca="1">'05_PSA_1000'!N352</f>
        <v>#NAME?</v>
      </c>
      <c r="B356" s="27" t="e">
        <f ca="1">'05_PSA_1000'!K352</f>
        <v>#NAME?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3.9">
      <c r="A357" s="29" t="e">
        <f ca="1">'05_PSA_1000'!N353</f>
        <v>#NAME?</v>
      </c>
      <c r="B357" s="27" t="e">
        <f ca="1">'05_PSA_1000'!K353</f>
        <v>#NAME?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3.9">
      <c r="A358" s="29" t="e">
        <f ca="1">'05_PSA_1000'!N354</f>
        <v>#NAME?</v>
      </c>
      <c r="B358" s="27" t="e">
        <f ca="1">'05_PSA_1000'!K354</f>
        <v>#NAME?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3.9">
      <c r="A359" s="29" t="e">
        <f ca="1">'05_PSA_1000'!N355</f>
        <v>#NAME?</v>
      </c>
      <c r="B359" s="27" t="e">
        <f ca="1">'05_PSA_1000'!K355</f>
        <v>#NAME?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3.9">
      <c r="A360" s="29" t="e">
        <f ca="1">'05_PSA_1000'!N356</f>
        <v>#NAME?</v>
      </c>
      <c r="B360" s="27" t="e">
        <f ca="1">'05_PSA_1000'!K356</f>
        <v>#NAME?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3.9">
      <c r="A361" s="29" t="e">
        <f ca="1">'05_PSA_1000'!N357</f>
        <v>#NAME?</v>
      </c>
      <c r="B361" s="27" t="e">
        <f ca="1">'05_PSA_1000'!K357</f>
        <v>#NAME?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3.9">
      <c r="A362" s="29" t="e">
        <f ca="1">'05_PSA_1000'!N358</f>
        <v>#NAME?</v>
      </c>
      <c r="B362" s="27" t="e">
        <f ca="1">'05_PSA_1000'!K358</f>
        <v>#NAME?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3.9">
      <c r="A363" s="29" t="e">
        <f ca="1">'05_PSA_1000'!N359</f>
        <v>#NAME?</v>
      </c>
      <c r="B363" s="27" t="e">
        <f ca="1">'05_PSA_1000'!K359</f>
        <v>#NAME?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3.9">
      <c r="A364" s="29" t="e">
        <f ca="1">'05_PSA_1000'!N360</f>
        <v>#NAME?</v>
      </c>
      <c r="B364" s="27" t="e">
        <f ca="1">'05_PSA_1000'!K360</f>
        <v>#NAME?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3.9">
      <c r="A365" s="29" t="e">
        <f ca="1">'05_PSA_1000'!N361</f>
        <v>#NAME?</v>
      </c>
      <c r="B365" s="27" t="e">
        <f ca="1">'05_PSA_1000'!K361</f>
        <v>#NAME?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3.9">
      <c r="A366" s="29" t="e">
        <f ca="1">'05_PSA_1000'!N362</f>
        <v>#NAME?</v>
      </c>
      <c r="B366" s="27" t="e">
        <f ca="1">'05_PSA_1000'!K362</f>
        <v>#NAME?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3.9">
      <c r="A367" s="29" t="e">
        <f ca="1">'05_PSA_1000'!N363</f>
        <v>#NAME?</v>
      </c>
      <c r="B367" s="27" t="e">
        <f ca="1">'05_PSA_1000'!K363</f>
        <v>#NAME?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3.9">
      <c r="A368" s="29" t="e">
        <f ca="1">'05_PSA_1000'!N364</f>
        <v>#NAME?</v>
      </c>
      <c r="B368" s="27" t="e">
        <f ca="1">'05_PSA_1000'!K364</f>
        <v>#NAME?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3.9">
      <c r="A369" s="29" t="e">
        <f ca="1">'05_PSA_1000'!N365</f>
        <v>#NAME?</v>
      </c>
      <c r="B369" s="27" t="e">
        <f ca="1">'05_PSA_1000'!K365</f>
        <v>#NAME?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3.9">
      <c r="A370" s="29" t="e">
        <f ca="1">'05_PSA_1000'!N366</f>
        <v>#NAME?</v>
      </c>
      <c r="B370" s="27" t="e">
        <f ca="1">'05_PSA_1000'!K366</f>
        <v>#NAME?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3.9">
      <c r="A371" s="29" t="e">
        <f ca="1">'05_PSA_1000'!N367</f>
        <v>#NAME?</v>
      </c>
      <c r="B371" s="27" t="e">
        <f ca="1">'05_PSA_1000'!K367</f>
        <v>#NAME?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3.9">
      <c r="A372" s="29" t="e">
        <f ca="1">'05_PSA_1000'!N368</f>
        <v>#NAME?</v>
      </c>
      <c r="B372" s="27" t="e">
        <f ca="1">'05_PSA_1000'!K368</f>
        <v>#NAME?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3.9">
      <c r="A373" s="29" t="e">
        <f ca="1">'05_PSA_1000'!N369</f>
        <v>#NAME?</v>
      </c>
      <c r="B373" s="27" t="e">
        <f ca="1">'05_PSA_1000'!K369</f>
        <v>#NAME?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3.9">
      <c r="A374" s="29" t="e">
        <f ca="1">'05_PSA_1000'!N370</f>
        <v>#NAME?</v>
      </c>
      <c r="B374" s="27" t="e">
        <f ca="1">'05_PSA_1000'!K370</f>
        <v>#NAME?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3.9">
      <c r="A375" s="29" t="e">
        <f ca="1">'05_PSA_1000'!N371</f>
        <v>#NAME?</v>
      </c>
      <c r="B375" s="27" t="e">
        <f ca="1">'05_PSA_1000'!K371</f>
        <v>#NAME?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3.9">
      <c r="A376" s="29" t="e">
        <f ca="1">'05_PSA_1000'!N372</f>
        <v>#NAME?</v>
      </c>
      <c r="B376" s="27" t="e">
        <f ca="1">'05_PSA_1000'!K372</f>
        <v>#NAME?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3.9">
      <c r="A377" s="29" t="e">
        <f ca="1">'05_PSA_1000'!N373</f>
        <v>#NAME?</v>
      </c>
      <c r="B377" s="27" t="e">
        <f ca="1">'05_PSA_1000'!K373</f>
        <v>#NAME?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3.9">
      <c r="A378" s="29" t="e">
        <f ca="1">'05_PSA_1000'!N374</f>
        <v>#NAME?</v>
      </c>
      <c r="B378" s="27" t="e">
        <f ca="1">'05_PSA_1000'!K374</f>
        <v>#NAME?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3.9">
      <c r="A379" s="29" t="e">
        <f ca="1">'05_PSA_1000'!N375</f>
        <v>#NAME?</v>
      </c>
      <c r="B379" s="27" t="e">
        <f ca="1">'05_PSA_1000'!K375</f>
        <v>#NAME?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3.9">
      <c r="A380" s="29" t="e">
        <f ca="1">'05_PSA_1000'!N376</f>
        <v>#NAME?</v>
      </c>
      <c r="B380" s="27" t="e">
        <f ca="1">'05_PSA_1000'!K376</f>
        <v>#NAME?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3.9">
      <c r="A381" s="29" t="e">
        <f ca="1">'05_PSA_1000'!N377</f>
        <v>#NAME?</v>
      </c>
      <c r="B381" s="27" t="e">
        <f ca="1">'05_PSA_1000'!K377</f>
        <v>#NAME?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3.9">
      <c r="A382" s="29" t="e">
        <f ca="1">'05_PSA_1000'!N378</f>
        <v>#NAME?</v>
      </c>
      <c r="B382" s="27" t="e">
        <f ca="1">'05_PSA_1000'!K378</f>
        <v>#NAME?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3.9">
      <c r="A383" s="29" t="e">
        <f ca="1">'05_PSA_1000'!N379</f>
        <v>#NAME?</v>
      </c>
      <c r="B383" s="27" t="e">
        <f ca="1">'05_PSA_1000'!K379</f>
        <v>#NAME?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3.9">
      <c r="A384" s="29" t="e">
        <f ca="1">'05_PSA_1000'!N380</f>
        <v>#NAME?</v>
      </c>
      <c r="B384" s="27" t="e">
        <f ca="1">'05_PSA_1000'!K380</f>
        <v>#NAME?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3.9">
      <c r="A385" s="29" t="e">
        <f ca="1">'05_PSA_1000'!N381</f>
        <v>#NAME?</v>
      </c>
      <c r="B385" s="27" t="e">
        <f ca="1">'05_PSA_1000'!K381</f>
        <v>#NAME?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3.9">
      <c r="A386" s="29" t="e">
        <f ca="1">'05_PSA_1000'!N382</f>
        <v>#NAME?</v>
      </c>
      <c r="B386" s="27" t="e">
        <f ca="1">'05_PSA_1000'!K382</f>
        <v>#NAME?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3.9">
      <c r="A387" s="29" t="e">
        <f ca="1">'05_PSA_1000'!N383</f>
        <v>#NAME?</v>
      </c>
      <c r="B387" s="27" t="e">
        <f ca="1">'05_PSA_1000'!K383</f>
        <v>#NAME?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3.9">
      <c r="A388" s="29" t="e">
        <f ca="1">'05_PSA_1000'!N384</f>
        <v>#NAME?</v>
      </c>
      <c r="B388" s="27" t="e">
        <f ca="1">'05_PSA_1000'!K384</f>
        <v>#NAME?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3.9">
      <c r="A389" s="29" t="e">
        <f ca="1">'05_PSA_1000'!N385</f>
        <v>#NAME?</v>
      </c>
      <c r="B389" s="27" t="e">
        <f ca="1">'05_PSA_1000'!K385</f>
        <v>#NAME?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3.9">
      <c r="A390" s="29" t="e">
        <f ca="1">'05_PSA_1000'!N386</f>
        <v>#NAME?</v>
      </c>
      <c r="B390" s="27" t="e">
        <f ca="1">'05_PSA_1000'!K386</f>
        <v>#NAME?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3.9">
      <c r="A391" s="29" t="e">
        <f ca="1">'05_PSA_1000'!N387</f>
        <v>#NAME?</v>
      </c>
      <c r="B391" s="27" t="e">
        <f ca="1">'05_PSA_1000'!K387</f>
        <v>#NAME?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3.9">
      <c r="A392" s="29" t="e">
        <f ca="1">'05_PSA_1000'!N388</f>
        <v>#NAME?</v>
      </c>
      <c r="B392" s="27" t="e">
        <f ca="1">'05_PSA_1000'!K388</f>
        <v>#NAME?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3.9">
      <c r="A393" s="29" t="e">
        <f ca="1">'05_PSA_1000'!N389</f>
        <v>#NAME?</v>
      </c>
      <c r="B393" s="27" t="e">
        <f ca="1">'05_PSA_1000'!K389</f>
        <v>#NAME?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3.9">
      <c r="A394" s="29" t="e">
        <f ca="1">'05_PSA_1000'!N390</f>
        <v>#NAME?</v>
      </c>
      <c r="B394" s="27" t="e">
        <f ca="1">'05_PSA_1000'!K390</f>
        <v>#NAME?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3.9">
      <c r="A395" s="29" t="e">
        <f ca="1">'05_PSA_1000'!N391</f>
        <v>#NAME?</v>
      </c>
      <c r="B395" s="27" t="e">
        <f ca="1">'05_PSA_1000'!K391</f>
        <v>#NAME?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3.9">
      <c r="A396" s="29" t="e">
        <f ca="1">'05_PSA_1000'!N392</f>
        <v>#NAME?</v>
      </c>
      <c r="B396" s="27" t="e">
        <f ca="1">'05_PSA_1000'!K392</f>
        <v>#NAME?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3.9">
      <c r="A397" s="29" t="e">
        <f ca="1">'05_PSA_1000'!N393</f>
        <v>#NAME?</v>
      </c>
      <c r="B397" s="27" t="e">
        <f ca="1">'05_PSA_1000'!K393</f>
        <v>#NAME?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3.9">
      <c r="A398" s="29" t="e">
        <f ca="1">'05_PSA_1000'!N394</f>
        <v>#NAME?</v>
      </c>
      <c r="B398" s="27" t="e">
        <f ca="1">'05_PSA_1000'!K394</f>
        <v>#NAME?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3.9">
      <c r="A399" s="29" t="e">
        <f ca="1">'05_PSA_1000'!N395</f>
        <v>#NAME?</v>
      </c>
      <c r="B399" s="27" t="e">
        <f ca="1">'05_PSA_1000'!K395</f>
        <v>#NAME?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3.9">
      <c r="A400" s="29" t="e">
        <f ca="1">'05_PSA_1000'!N396</f>
        <v>#NAME?</v>
      </c>
      <c r="B400" s="27" t="e">
        <f ca="1">'05_PSA_1000'!K396</f>
        <v>#NAME?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3.9">
      <c r="A401" s="29" t="e">
        <f ca="1">'05_PSA_1000'!N397</f>
        <v>#NAME?</v>
      </c>
      <c r="B401" s="27" t="e">
        <f ca="1">'05_PSA_1000'!K397</f>
        <v>#NAME?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3.9">
      <c r="A402" s="29" t="e">
        <f ca="1">'05_PSA_1000'!N398</f>
        <v>#NAME?</v>
      </c>
      <c r="B402" s="27" t="e">
        <f ca="1">'05_PSA_1000'!K398</f>
        <v>#NAME?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3.9">
      <c r="A403" s="29" t="e">
        <f ca="1">'05_PSA_1000'!N399</f>
        <v>#NAME?</v>
      </c>
      <c r="B403" s="27" t="e">
        <f ca="1">'05_PSA_1000'!K399</f>
        <v>#NAME?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3.9">
      <c r="A404" s="29" t="e">
        <f ca="1">'05_PSA_1000'!N400</f>
        <v>#NAME?</v>
      </c>
      <c r="B404" s="27" t="e">
        <f ca="1">'05_PSA_1000'!K400</f>
        <v>#NAME?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3.9">
      <c r="A405" s="29" t="e">
        <f ca="1">'05_PSA_1000'!N401</f>
        <v>#NAME?</v>
      </c>
      <c r="B405" s="27" t="e">
        <f ca="1">'05_PSA_1000'!K401</f>
        <v>#NAME?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3.9">
      <c r="A406" s="29" t="e">
        <f ca="1">'05_PSA_1000'!N402</f>
        <v>#NAME?</v>
      </c>
      <c r="B406" s="27" t="e">
        <f ca="1">'05_PSA_1000'!K402</f>
        <v>#NAME?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3.9">
      <c r="A407" s="29" t="e">
        <f ca="1">'05_PSA_1000'!N403</f>
        <v>#NAME?</v>
      </c>
      <c r="B407" s="27" t="e">
        <f ca="1">'05_PSA_1000'!K403</f>
        <v>#NAME?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3.9">
      <c r="A408" s="29" t="e">
        <f ca="1">'05_PSA_1000'!N404</f>
        <v>#NAME?</v>
      </c>
      <c r="B408" s="27" t="e">
        <f ca="1">'05_PSA_1000'!K404</f>
        <v>#NAME?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3.9">
      <c r="A409" s="29" t="e">
        <f ca="1">'05_PSA_1000'!N405</f>
        <v>#NAME?</v>
      </c>
      <c r="B409" s="27" t="e">
        <f ca="1">'05_PSA_1000'!K405</f>
        <v>#NAME?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3.9">
      <c r="A410" s="29" t="e">
        <f ca="1">'05_PSA_1000'!N406</f>
        <v>#NAME?</v>
      </c>
      <c r="B410" s="27" t="e">
        <f ca="1">'05_PSA_1000'!K406</f>
        <v>#NAME?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3.9">
      <c r="A411" s="29" t="e">
        <f ca="1">'05_PSA_1000'!N407</f>
        <v>#NAME?</v>
      </c>
      <c r="B411" s="27" t="e">
        <f ca="1">'05_PSA_1000'!K407</f>
        <v>#NAME?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3.9">
      <c r="A412" s="29" t="e">
        <f ca="1">'05_PSA_1000'!N408</f>
        <v>#NAME?</v>
      </c>
      <c r="B412" s="27" t="e">
        <f ca="1">'05_PSA_1000'!K408</f>
        <v>#NAME?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3.9">
      <c r="A413" s="29" t="e">
        <f ca="1">'05_PSA_1000'!N409</f>
        <v>#NAME?</v>
      </c>
      <c r="B413" s="27" t="e">
        <f ca="1">'05_PSA_1000'!K409</f>
        <v>#NAME?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3.9">
      <c r="A414" s="29" t="e">
        <f ca="1">'05_PSA_1000'!N410</f>
        <v>#NAME?</v>
      </c>
      <c r="B414" s="27" t="e">
        <f ca="1">'05_PSA_1000'!K410</f>
        <v>#NAME?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3.9">
      <c r="A415" s="29" t="e">
        <f ca="1">'05_PSA_1000'!N411</f>
        <v>#NAME?</v>
      </c>
      <c r="B415" s="27" t="e">
        <f ca="1">'05_PSA_1000'!K411</f>
        <v>#NAME?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3.9">
      <c r="A416" s="29" t="e">
        <f ca="1">'05_PSA_1000'!N412</f>
        <v>#NAME?</v>
      </c>
      <c r="B416" s="27" t="e">
        <f ca="1">'05_PSA_1000'!K412</f>
        <v>#NAME?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3.9">
      <c r="A417" s="29" t="e">
        <f ca="1">'05_PSA_1000'!N413</f>
        <v>#NAME?</v>
      </c>
      <c r="B417" s="27" t="e">
        <f ca="1">'05_PSA_1000'!K413</f>
        <v>#NAME?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3.9">
      <c r="A418" s="29" t="e">
        <f ca="1">'05_PSA_1000'!N414</f>
        <v>#NAME?</v>
      </c>
      <c r="B418" s="27" t="e">
        <f ca="1">'05_PSA_1000'!K414</f>
        <v>#NAME?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3.9">
      <c r="A419" s="29" t="e">
        <f ca="1">'05_PSA_1000'!N415</f>
        <v>#NAME?</v>
      </c>
      <c r="B419" s="27" t="e">
        <f ca="1">'05_PSA_1000'!K415</f>
        <v>#NAME?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3.9">
      <c r="A420" s="29" t="e">
        <f ca="1">'05_PSA_1000'!N416</f>
        <v>#NAME?</v>
      </c>
      <c r="B420" s="27" t="e">
        <f ca="1">'05_PSA_1000'!K416</f>
        <v>#NAME?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3.9">
      <c r="A421" s="29" t="e">
        <f ca="1">'05_PSA_1000'!N417</f>
        <v>#NAME?</v>
      </c>
      <c r="B421" s="27" t="e">
        <f ca="1">'05_PSA_1000'!K417</f>
        <v>#NAME?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3.9">
      <c r="A422" s="29" t="e">
        <f ca="1">'05_PSA_1000'!N418</f>
        <v>#NAME?</v>
      </c>
      <c r="B422" s="27" t="e">
        <f ca="1">'05_PSA_1000'!K418</f>
        <v>#NAME?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3.9">
      <c r="A423" s="29" t="e">
        <f ca="1">'05_PSA_1000'!N419</f>
        <v>#NAME?</v>
      </c>
      <c r="B423" s="27" t="e">
        <f ca="1">'05_PSA_1000'!K419</f>
        <v>#NAME?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3.9">
      <c r="A424" s="29" t="e">
        <f ca="1">'05_PSA_1000'!N420</f>
        <v>#NAME?</v>
      </c>
      <c r="B424" s="27" t="e">
        <f ca="1">'05_PSA_1000'!K420</f>
        <v>#NAME?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3.9">
      <c r="A425" s="29" t="e">
        <f ca="1">'05_PSA_1000'!N421</f>
        <v>#NAME?</v>
      </c>
      <c r="B425" s="27" t="e">
        <f ca="1">'05_PSA_1000'!K421</f>
        <v>#NAME?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3.9">
      <c r="A426" s="29" t="e">
        <f ca="1">'05_PSA_1000'!N422</f>
        <v>#NAME?</v>
      </c>
      <c r="B426" s="27" t="e">
        <f ca="1">'05_PSA_1000'!K422</f>
        <v>#NAME?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3.9">
      <c r="A427" s="29" t="e">
        <f ca="1">'05_PSA_1000'!N423</f>
        <v>#NAME?</v>
      </c>
      <c r="B427" s="27" t="e">
        <f ca="1">'05_PSA_1000'!K423</f>
        <v>#NAME?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3.9">
      <c r="A428" s="29" t="e">
        <f ca="1">'05_PSA_1000'!N424</f>
        <v>#NAME?</v>
      </c>
      <c r="B428" s="27" t="e">
        <f ca="1">'05_PSA_1000'!K424</f>
        <v>#NAME?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3.9">
      <c r="A429" s="29" t="e">
        <f ca="1">'05_PSA_1000'!N425</f>
        <v>#NAME?</v>
      </c>
      <c r="B429" s="27" t="e">
        <f ca="1">'05_PSA_1000'!K425</f>
        <v>#NAME?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3.9">
      <c r="A430" s="29" t="e">
        <f ca="1">'05_PSA_1000'!N426</f>
        <v>#NAME?</v>
      </c>
      <c r="B430" s="27" t="e">
        <f ca="1">'05_PSA_1000'!K426</f>
        <v>#NAME?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3.9">
      <c r="A431" s="29" t="e">
        <f ca="1">'05_PSA_1000'!N427</f>
        <v>#NAME?</v>
      </c>
      <c r="B431" s="27" t="e">
        <f ca="1">'05_PSA_1000'!K427</f>
        <v>#NAME?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3.9">
      <c r="A432" s="29" t="e">
        <f ca="1">'05_PSA_1000'!N428</f>
        <v>#NAME?</v>
      </c>
      <c r="B432" s="27" t="e">
        <f ca="1">'05_PSA_1000'!K428</f>
        <v>#NAME?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3.9">
      <c r="A433" s="29" t="e">
        <f ca="1">'05_PSA_1000'!N429</f>
        <v>#NAME?</v>
      </c>
      <c r="B433" s="27" t="e">
        <f ca="1">'05_PSA_1000'!K429</f>
        <v>#NAME?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3.9">
      <c r="A434" s="29" t="e">
        <f ca="1">'05_PSA_1000'!N430</f>
        <v>#NAME?</v>
      </c>
      <c r="B434" s="27" t="e">
        <f ca="1">'05_PSA_1000'!K430</f>
        <v>#NAME?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3.9">
      <c r="A435" s="29" t="e">
        <f ca="1">'05_PSA_1000'!N431</f>
        <v>#NAME?</v>
      </c>
      <c r="B435" s="27" t="e">
        <f ca="1">'05_PSA_1000'!K431</f>
        <v>#NAME?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3.9">
      <c r="A436" s="29" t="e">
        <f ca="1">'05_PSA_1000'!N432</f>
        <v>#NAME?</v>
      </c>
      <c r="B436" s="27" t="e">
        <f ca="1">'05_PSA_1000'!K432</f>
        <v>#NAME?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3.9">
      <c r="A437" s="29" t="e">
        <f ca="1">'05_PSA_1000'!N433</f>
        <v>#NAME?</v>
      </c>
      <c r="B437" s="27" t="e">
        <f ca="1">'05_PSA_1000'!K433</f>
        <v>#NAME?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3.9">
      <c r="A438" s="29" t="e">
        <f ca="1">'05_PSA_1000'!N434</f>
        <v>#NAME?</v>
      </c>
      <c r="B438" s="27" t="e">
        <f ca="1">'05_PSA_1000'!K434</f>
        <v>#NAME?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3.9">
      <c r="A439" s="29" t="e">
        <f ca="1">'05_PSA_1000'!N435</f>
        <v>#NAME?</v>
      </c>
      <c r="B439" s="27" t="e">
        <f ca="1">'05_PSA_1000'!K435</f>
        <v>#NAME?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3.9">
      <c r="A440" s="29" t="e">
        <f ca="1">'05_PSA_1000'!N436</f>
        <v>#NAME?</v>
      </c>
      <c r="B440" s="27" t="e">
        <f ca="1">'05_PSA_1000'!K436</f>
        <v>#NAME?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3.9">
      <c r="A441" s="29" t="e">
        <f ca="1">'05_PSA_1000'!N437</f>
        <v>#NAME?</v>
      </c>
      <c r="B441" s="27" t="e">
        <f ca="1">'05_PSA_1000'!K437</f>
        <v>#NAME?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3.9">
      <c r="A442" s="29" t="e">
        <f ca="1">'05_PSA_1000'!N438</f>
        <v>#NAME?</v>
      </c>
      <c r="B442" s="27" t="e">
        <f ca="1">'05_PSA_1000'!K438</f>
        <v>#NAME?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3.9">
      <c r="A443" s="29" t="e">
        <f ca="1">'05_PSA_1000'!N439</f>
        <v>#NAME?</v>
      </c>
      <c r="B443" s="27" t="e">
        <f ca="1">'05_PSA_1000'!K439</f>
        <v>#NAME?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3.9">
      <c r="A444" s="29" t="e">
        <f ca="1">'05_PSA_1000'!N440</f>
        <v>#NAME?</v>
      </c>
      <c r="B444" s="27" t="e">
        <f ca="1">'05_PSA_1000'!K440</f>
        <v>#NAME?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3.9">
      <c r="A445" s="29" t="e">
        <f ca="1">'05_PSA_1000'!N441</f>
        <v>#NAME?</v>
      </c>
      <c r="B445" s="27" t="e">
        <f ca="1">'05_PSA_1000'!K441</f>
        <v>#NAME?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3.9">
      <c r="A446" s="29" t="e">
        <f ca="1">'05_PSA_1000'!N442</f>
        <v>#NAME?</v>
      </c>
      <c r="B446" s="27" t="e">
        <f ca="1">'05_PSA_1000'!K442</f>
        <v>#NAME?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3.9">
      <c r="A447" s="29" t="e">
        <f ca="1">'05_PSA_1000'!N443</f>
        <v>#NAME?</v>
      </c>
      <c r="B447" s="27" t="e">
        <f ca="1">'05_PSA_1000'!K443</f>
        <v>#NAME?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3.9">
      <c r="A448" s="29" t="e">
        <f ca="1">'05_PSA_1000'!N444</f>
        <v>#NAME?</v>
      </c>
      <c r="B448" s="27" t="e">
        <f ca="1">'05_PSA_1000'!K444</f>
        <v>#NAME?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3.9">
      <c r="A449" s="29" t="e">
        <f ca="1">'05_PSA_1000'!N445</f>
        <v>#NAME?</v>
      </c>
      <c r="B449" s="27" t="e">
        <f ca="1">'05_PSA_1000'!K445</f>
        <v>#NAME?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3.9">
      <c r="A450" s="29" t="e">
        <f ca="1">'05_PSA_1000'!N446</f>
        <v>#NAME?</v>
      </c>
      <c r="B450" s="27" t="e">
        <f ca="1">'05_PSA_1000'!K446</f>
        <v>#NAME?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3.9">
      <c r="A451" s="29" t="e">
        <f ca="1">'05_PSA_1000'!N447</f>
        <v>#NAME?</v>
      </c>
      <c r="B451" s="27" t="e">
        <f ca="1">'05_PSA_1000'!K447</f>
        <v>#NAME?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3.9">
      <c r="A452" s="29" t="e">
        <f ca="1">'05_PSA_1000'!N448</f>
        <v>#NAME?</v>
      </c>
      <c r="B452" s="27" t="e">
        <f ca="1">'05_PSA_1000'!K448</f>
        <v>#NAME?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3.9">
      <c r="A453" s="29" t="e">
        <f ca="1">'05_PSA_1000'!N449</f>
        <v>#NAME?</v>
      </c>
      <c r="B453" s="27" t="e">
        <f ca="1">'05_PSA_1000'!K449</f>
        <v>#NAME?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3.9">
      <c r="A454" s="29" t="e">
        <f ca="1">'05_PSA_1000'!N450</f>
        <v>#NAME?</v>
      </c>
      <c r="B454" s="27" t="e">
        <f ca="1">'05_PSA_1000'!K450</f>
        <v>#NAME?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3.9">
      <c r="A455" s="29" t="e">
        <f ca="1">'05_PSA_1000'!N451</f>
        <v>#NAME?</v>
      </c>
      <c r="B455" s="27" t="e">
        <f ca="1">'05_PSA_1000'!K451</f>
        <v>#NAME?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3.9">
      <c r="A456" s="29" t="e">
        <f ca="1">'05_PSA_1000'!N452</f>
        <v>#NAME?</v>
      </c>
      <c r="B456" s="27" t="e">
        <f ca="1">'05_PSA_1000'!K452</f>
        <v>#NAME?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3.9">
      <c r="A457" s="29" t="e">
        <f ca="1">'05_PSA_1000'!N453</f>
        <v>#NAME?</v>
      </c>
      <c r="B457" s="27" t="e">
        <f ca="1">'05_PSA_1000'!K453</f>
        <v>#NAME?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3.9">
      <c r="A458" s="29" t="e">
        <f ca="1">'05_PSA_1000'!N454</f>
        <v>#NAME?</v>
      </c>
      <c r="B458" s="27" t="e">
        <f ca="1">'05_PSA_1000'!K454</f>
        <v>#NAME?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3.9">
      <c r="A459" s="29" t="e">
        <f ca="1">'05_PSA_1000'!N455</f>
        <v>#NAME?</v>
      </c>
      <c r="B459" s="27" t="e">
        <f ca="1">'05_PSA_1000'!K455</f>
        <v>#NAME?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3.9">
      <c r="A460" s="29" t="e">
        <f ca="1">'05_PSA_1000'!N456</f>
        <v>#NAME?</v>
      </c>
      <c r="B460" s="27" t="e">
        <f ca="1">'05_PSA_1000'!K456</f>
        <v>#NAME?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3.9">
      <c r="A461" s="29" t="e">
        <f ca="1">'05_PSA_1000'!N457</f>
        <v>#NAME?</v>
      </c>
      <c r="B461" s="27" t="e">
        <f ca="1">'05_PSA_1000'!K457</f>
        <v>#NAME?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3.9">
      <c r="A462" s="29" t="e">
        <f ca="1">'05_PSA_1000'!N458</f>
        <v>#NAME?</v>
      </c>
      <c r="B462" s="27" t="e">
        <f ca="1">'05_PSA_1000'!K458</f>
        <v>#NAME?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3.9">
      <c r="A463" s="29" t="e">
        <f ca="1">'05_PSA_1000'!N459</f>
        <v>#NAME?</v>
      </c>
      <c r="B463" s="27" t="e">
        <f ca="1">'05_PSA_1000'!K459</f>
        <v>#NAME?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3.9">
      <c r="A464" s="29" t="e">
        <f ca="1">'05_PSA_1000'!N460</f>
        <v>#NAME?</v>
      </c>
      <c r="B464" s="27" t="e">
        <f ca="1">'05_PSA_1000'!K460</f>
        <v>#NAME?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3.9">
      <c r="A465" s="29" t="e">
        <f ca="1">'05_PSA_1000'!N461</f>
        <v>#NAME?</v>
      </c>
      <c r="B465" s="27" t="e">
        <f ca="1">'05_PSA_1000'!K461</f>
        <v>#NAME?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3.9">
      <c r="A466" s="29" t="e">
        <f ca="1">'05_PSA_1000'!N462</f>
        <v>#NAME?</v>
      </c>
      <c r="B466" s="27" t="e">
        <f ca="1">'05_PSA_1000'!K462</f>
        <v>#NAME?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3.9">
      <c r="A467" s="29" t="e">
        <f ca="1">'05_PSA_1000'!N463</f>
        <v>#NAME?</v>
      </c>
      <c r="B467" s="27" t="e">
        <f ca="1">'05_PSA_1000'!K463</f>
        <v>#NAME?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3.9">
      <c r="A468" s="29" t="e">
        <f ca="1">'05_PSA_1000'!N464</f>
        <v>#NAME?</v>
      </c>
      <c r="B468" s="27" t="e">
        <f ca="1">'05_PSA_1000'!K464</f>
        <v>#NAME?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3.9">
      <c r="A469" s="29" t="e">
        <f ca="1">'05_PSA_1000'!N465</f>
        <v>#NAME?</v>
      </c>
      <c r="B469" s="27" t="e">
        <f ca="1">'05_PSA_1000'!K465</f>
        <v>#NAME?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3.9">
      <c r="A470" s="29" t="e">
        <f ca="1">'05_PSA_1000'!N466</f>
        <v>#NAME?</v>
      </c>
      <c r="B470" s="27" t="e">
        <f ca="1">'05_PSA_1000'!K466</f>
        <v>#NAME?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3.9">
      <c r="A471" s="29" t="e">
        <f ca="1">'05_PSA_1000'!N467</f>
        <v>#NAME?</v>
      </c>
      <c r="B471" s="27" t="e">
        <f ca="1">'05_PSA_1000'!K467</f>
        <v>#NAME?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3.9">
      <c r="A472" s="29" t="e">
        <f ca="1">'05_PSA_1000'!N468</f>
        <v>#NAME?</v>
      </c>
      <c r="B472" s="27" t="e">
        <f ca="1">'05_PSA_1000'!K468</f>
        <v>#NAME?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3.9">
      <c r="A473" s="29" t="e">
        <f ca="1">'05_PSA_1000'!N469</f>
        <v>#NAME?</v>
      </c>
      <c r="B473" s="27" t="e">
        <f ca="1">'05_PSA_1000'!K469</f>
        <v>#NAME?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3.9">
      <c r="A474" s="29" t="e">
        <f ca="1">'05_PSA_1000'!N470</f>
        <v>#NAME?</v>
      </c>
      <c r="B474" s="27" t="e">
        <f ca="1">'05_PSA_1000'!K470</f>
        <v>#NAME?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3.9">
      <c r="A475" s="29" t="e">
        <f ca="1">'05_PSA_1000'!N471</f>
        <v>#NAME?</v>
      </c>
      <c r="B475" s="27" t="e">
        <f ca="1">'05_PSA_1000'!K471</f>
        <v>#NAME?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3.9">
      <c r="A476" s="29" t="e">
        <f ca="1">'05_PSA_1000'!N472</f>
        <v>#NAME?</v>
      </c>
      <c r="B476" s="27" t="e">
        <f ca="1">'05_PSA_1000'!K472</f>
        <v>#NAME?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3.9">
      <c r="A477" s="29" t="e">
        <f ca="1">'05_PSA_1000'!N473</f>
        <v>#NAME?</v>
      </c>
      <c r="B477" s="27" t="e">
        <f ca="1">'05_PSA_1000'!K473</f>
        <v>#NAME?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3.9">
      <c r="A478" s="29" t="e">
        <f ca="1">'05_PSA_1000'!N474</f>
        <v>#NAME?</v>
      </c>
      <c r="B478" s="27" t="e">
        <f ca="1">'05_PSA_1000'!K474</f>
        <v>#NAME?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3.9">
      <c r="A479" s="29" t="e">
        <f ca="1">'05_PSA_1000'!N475</f>
        <v>#NAME?</v>
      </c>
      <c r="B479" s="27" t="e">
        <f ca="1">'05_PSA_1000'!K475</f>
        <v>#NAME?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3.9">
      <c r="A480" s="29" t="e">
        <f ca="1">'05_PSA_1000'!N476</f>
        <v>#NAME?</v>
      </c>
      <c r="B480" s="27" t="e">
        <f ca="1">'05_PSA_1000'!K476</f>
        <v>#NAME?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3.9">
      <c r="A481" s="29" t="e">
        <f ca="1">'05_PSA_1000'!N477</f>
        <v>#NAME?</v>
      </c>
      <c r="B481" s="27" t="e">
        <f ca="1">'05_PSA_1000'!K477</f>
        <v>#NAME?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3.9">
      <c r="A482" s="29" t="e">
        <f ca="1">'05_PSA_1000'!N478</f>
        <v>#NAME?</v>
      </c>
      <c r="B482" s="27" t="e">
        <f ca="1">'05_PSA_1000'!K478</f>
        <v>#NAME?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3.9">
      <c r="A483" s="29" t="e">
        <f ca="1">'05_PSA_1000'!N479</f>
        <v>#NAME?</v>
      </c>
      <c r="B483" s="27" t="e">
        <f ca="1">'05_PSA_1000'!K479</f>
        <v>#NAME?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3.9">
      <c r="A484" s="29" t="e">
        <f ca="1">'05_PSA_1000'!N480</f>
        <v>#NAME?</v>
      </c>
      <c r="B484" s="27" t="e">
        <f ca="1">'05_PSA_1000'!K480</f>
        <v>#NAME?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3.9">
      <c r="A485" s="29" t="e">
        <f ca="1">'05_PSA_1000'!N481</f>
        <v>#NAME?</v>
      </c>
      <c r="B485" s="27" t="e">
        <f ca="1">'05_PSA_1000'!K481</f>
        <v>#NAME?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3.9">
      <c r="A486" s="29" t="e">
        <f ca="1">'05_PSA_1000'!N482</f>
        <v>#NAME?</v>
      </c>
      <c r="B486" s="27" t="e">
        <f ca="1">'05_PSA_1000'!K482</f>
        <v>#NAME?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3.9">
      <c r="A487" s="29" t="e">
        <f ca="1">'05_PSA_1000'!N483</f>
        <v>#NAME?</v>
      </c>
      <c r="B487" s="27" t="e">
        <f ca="1">'05_PSA_1000'!K483</f>
        <v>#NAME?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3.9">
      <c r="A488" s="29" t="e">
        <f ca="1">'05_PSA_1000'!N484</f>
        <v>#NAME?</v>
      </c>
      <c r="B488" s="27" t="e">
        <f ca="1">'05_PSA_1000'!K484</f>
        <v>#NAME?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3.9">
      <c r="A489" s="29" t="e">
        <f ca="1">'05_PSA_1000'!N485</f>
        <v>#NAME?</v>
      </c>
      <c r="B489" s="27" t="e">
        <f ca="1">'05_PSA_1000'!K485</f>
        <v>#NAME?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3.9">
      <c r="A490" s="29" t="e">
        <f ca="1">'05_PSA_1000'!N486</f>
        <v>#NAME?</v>
      </c>
      <c r="B490" s="27" t="e">
        <f ca="1">'05_PSA_1000'!K486</f>
        <v>#NAME?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3.9">
      <c r="A491" s="29" t="e">
        <f ca="1">'05_PSA_1000'!N487</f>
        <v>#NAME?</v>
      </c>
      <c r="B491" s="27" t="e">
        <f ca="1">'05_PSA_1000'!K487</f>
        <v>#NAME?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3.9">
      <c r="A492" s="29" t="e">
        <f ca="1">'05_PSA_1000'!N488</f>
        <v>#NAME?</v>
      </c>
      <c r="B492" s="27" t="e">
        <f ca="1">'05_PSA_1000'!K488</f>
        <v>#NAME?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3.9">
      <c r="A493" s="29" t="e">
        <f ca="1">'05_PSA_1000'!N489</f>
        <v>#NAME?</v>
      </c>
      <c r="B493" s="27" t="e">
        <f ca="1">'05_PSA_1000'!K489</f>
        <v>#NAME?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3.9">
      <c r="A494" s="29" t="e">
        <f ca="1">'05_PSA_1000'!N490</f>
        <v>#NAME?</v>
      </c>
      <c r="B494" s="27" t="e">
        <f ca="1">'05_PSA_1000'!K490</f>
        <v>#NAME?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3.9">
      <c r="A495" s="29" t="e">
        <f ca="1">'05_PSA_1000'!N491</f>
        <v>#NAME?</v>
      </c>
      <c r="B495" s="27" t="e">
        <f ca="1">'05_PSA_1000'!K491</f>
        <v>#NAME?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3.9">
      <c r="A496" s="29" t="e">
        <f ca="1">'05_PSA_1000'!N492</f>
        <v>#NAME?</v>
      </c>
      <c r="B496" s="27" t="e">
        <f ca="1">'05_PSA_1000'!K492</f>
        <v>#NAME?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3.9">
      <c r="A497" s="29" t="e">
        <f ca="1">'05_PSA_1000'!N493</f>
        <v>#NAME?</v>
      </c>
      <c r="B497" s="27" t="e">
        <f ca="1">'05_PSA_1000'!K493</f>
        <v>#NAME?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3.9">
      <c r="A498" s="29" t="e">
        <f ca="1">'05_PSA_1000'!N494</f>
        <v>#NAME?</v>
      </c>
      <c r="B498" s="27" t="e">
        <f ca="1">'05_PSA_1000'!K494</f>
        <v>#NAME?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3.9">
      <c r="A499" s="29" t="e">
        <f ca="1">'05_PSA_1000'!N495</f>
        <v>#NAME?</v>
      </c>
      <c r="B499" s="27" t="e">
        <f ca="1">'05_PSA_1000'!K495</f>
        <v>#NAME?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3.9">
      <c r="A500" s="29" t="e">
        <f ca="1">'05_PSA_1000'!N496</f>
        <v>#NAME?</v>
      </c>
      <c r="B500" s="27" t="e">
        <f ca="1">'05_PSA_1000'!K496</f>
        <v>#NAME?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3.9">
      <c r="A501" s="29" t="e">
        <f ca="1">'05_PSA_1000'!N497</f>
        <v>#NAME?</v>
      </c>
      <c r="B501" s="27" t="e">
        <f ca="1">'05_PSA_1000'!K497</f>
        <v>#NAME?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3.9">
      <c r="A502" s="29" t="e">
        <f ca="1">'05_PSA_1000'!N498</f>
        <v>#NAME?</v>
      </c>
      <c r="B502" s="27" t="e">
        <f ca="1">'05_PSA_1000'!K498</f>
        <v>#NAME?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3.9">
      <c r="A503" s="29" t="e">
        <f ca="1">'05_PSA_1000'!N499</f>
        <v>#NAME?</v>
      </c>
      <c r="B503" s="27" t="e">
        <f ca="1">'05_PSA_1000'!K499</f>
        <v>#NAME?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3.9">
      <c r="A504" s="29" t="e">
        <f ca="1">'05_PSA_1000'!N500</f>
        <v>#NAME?</v>
      </c>
      <c r="B504" s="27" t="e">
        <f ca="1">'05_PSA_1000'!K500</f>
        <v>#NAME?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3.9">
      <c r="A505" s="29" t="e">
        <f ca="1">'05_PSA_1000'!N501</f>
        <v>#NAME?</v>
      </c>
      <c r="B505" s="27" t="e">
        <f ca="1">'05_PSA_1000'!K501</f>
        <v>#NAME?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3.9">
      <c r="A506" s="29" t="e">
        <f ca="1">'05_PSA_1000'!N502</f>
        <v>#NAME?</v>
      </c>
      <c r="B506" s="27" t="e">
        <f ca="1">'05_PSA_1000'!K502</f>
        <v>#NAME?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3.9">
      <c r="A507" s="29" t="e">
        <f ca="1">'05_PSA_1000'!N503</f>
        <v>#NAME?</v>
      </c>
      <c r="B507" s="27" t="e">
        <f ca="1">'05_PSA_1000'!K503</f>
        <v>#NAME?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3.9">
      <c r="A508" s="29" t="e">
        <f ca="1">'05_PSA_1000'!N504</f>
        <v>#NAME?</v>
      </c>
      <c r="B508" s="27" t="e">
        <f ca="1">'05_PSA_1000'!K504</f>
        <v>#NAME?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3.9">
      <c r="A509" s="29" t="e">
        <f ca="1">'05_PSA_1000'!N505</f>
        <v>#NAME?</v>
      </c>
      <c r="B509" s="27" t="e">
        <f ca="1">'05_PSA_1000'!K505</f>
        <v>#NAME?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3.9">
      <c r="A510" s="29" t="e">
        <f ca="1">'05_PSA_1000'!N506</f>
        <v>#NAME?</v>
      </c>
      <c r="B510" s="27" t="e">
        <f ca="1">'05_PSA_1000'!K506</f>
        <v>#NAME?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3.9">
      <c r="A511" s="29" t="e">
        <f ca="1">'05_PSA_1000'!N507</f>
        <v>#NAME?</v>
      </c>
      <c r="B511" s="27" t="e">
        <f ca="1">'05_PSA_1000'!K507</f>
        <v>#NAME?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3.9">
      <c r="A512" s="29" t="e">
        <f ca="1">'05_PSA_1000'!N508</f>
        <v>#NAME?</v>
      </c>
      <c r="B512" s="27" t="e">
        <f ca="1">'05_PSA_1000'!K508</f>
        <v>#NAME?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3.9">
      <c r="A513" s="29" t="e">
        <f ca="1">'05_PSA_1000'!N509</f>
        <v>#NAME?</v>
      </c>
      <c r="B513" s="27" t="e">
        <f ca="1">'05_PSA_1000'!K509</f>
        <v>#NAME?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3.9">
      <c r="A514" s="29" t="e">
        <f ca="1">'05_PSA_1000'!N510</f>
        <v>#NAME?</v>
      </c>
      <c r="B514" s="27" t="e">
        <f ca="1">'05_PSA_1000'!K510</f>
        <v>#NAME?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3.9">
      <c r="A515" s="29" t="e">
        <f ca="1">'05_PSA_1000'!N511</f>
        <v>#NAME?</v>
      </c>
      <c r="B515" s="27" t="e">
        <f ca="1">'05_PSA_1000'!K511</f>
        <v>#NAME?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3.9">
      <c r="A516" s="29" t="e">
        <f ca="1">'05_PSA_1000'!N512</f>
        <v>#NAME?</v>
      </c>
      <c r="B516" s="27" t="e">
        <f ca="1">'05_PSA_1000'!K512</f>
        <v>#NAME?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3.9">
      <c r="A517" s="29" t="e">
        <f ca="1">'05_PSA_1000'!N513</f>
        <v>#NAME?</v>
      </c>
      <c r="B517" s="27" t="e">
        <f ca="1">'05_PSA_1000'!K513</f>
        <v>#NAME?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3.9">
      <c r="A518" s="29" t="e">
        <f ca="1">'05_PSA_1000'!N514</f>
        <v>#NAME?</v>
      </c>
      <c r="B518" s="27" t="e">
        <f ca="1">'05_PSA_1000'!K514</f>
        <v>#NAME?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3.9">
      <c r="A519" s="29" t="e">
        <f ca="1">'05_PSA_1000'!N515</f>
        <v>#NAME?</v>
      </c>
      <c r="B519" s="27" t="e">
        <f ca="1">'05_PSA_1000'!K515</f>
        <v>#NAME?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3.9">
      <c r="A520" s="29" t="e">
        <f ca="1">'05_PSA_1000'!N516</f>
        <v>#NAME?</v>
      </c>
      <c r="B520" s="27" t="e">
        <f ca="1">'05_PSA_1000'!K516</f>
        <v>#NAME?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3.9">
      <c r="A521" s="29" t="e">
        <f ca="1">'05_PSA_1000'!N517</f>
        <v>#NAME?</v>
      </c>
      <c r="B521" s="27" t="e">
        <f ca="1">'05_PSA_1000'!K517</f>
        <v>#NAME?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3.9">
      <c r="A522" s="29" t="e">
        <f ca="1">'05_PSA_1000'!N518</f>
        <v>#NAME?</v>
      </c>
      <c r="B522" s="27" t="e">
        <f ca="1">'05_PSA_1000'!K518</f>
        <v>#NAME?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3.9">
      <c r="A523" s="29" t="e">
        <f ca="1">'05_PSA_1000'!N519</f>
        <v>#NAME?</v>
      </c>
      <c r="B523" s="27" t="e">
        <f ca="1">'05_PSA_1000'!K519</f>
        <v>#NAME?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3.9">
      <c r="A524" s="29" t="e">
        <f ca="1">'05_PSA_1000'!N520</f>
        <v>#NAME?</v>
      </c>
      <c r="B524" s="27" t="e">
        <f ca="1">'05_PSA_1000'!K520</f>
        <v>#NAME?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3.9">
      <c r="A525" s="29" t="e">
        <f ca="1">'05_PSA_1000'!N521</f>
        <v>#NAME?</v>
      </c>
      <c r="B525" s="27" t="e">
        <f ca="1">'05_PSA_1000'!K521</f>
        <v>#NAME?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3.9">
      <c r="A526" s="29" t="e">
        <f ca="1">'05_PSA_1000'!N522</f>
        <v>#NAME?</v>
      </c>
      <c r="B526" s="27" t="e">
        <f ca="1">'05_PSA_1000'!K522</f>
        <v>#NAME?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3.9">
      <c r="A527" s="29" t="e">
        <f ca="1">'05_PSA_1000'!N523</f>
        <v>#NAME?</v>
      </c>
      <c r="B527" s="27" t="e">
        <f ca="1">'05_PSA_1000'!K523</f>
        <v>#NAME?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3.9">
      <c r="A528" s="29" t="e">
        <f ca="1">'05_PSA_1000'!N524</f>
        <v>#NAME?</v>
      </c>
      <c r="B528" s="27" t="e">
        <f ca="1">'05_PSA_1000'!K524</f>
        <v>#NAME?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3.9">
      <c r="A529" s="29" t="e">
        <f ca="1">'05_PSA_1000'!N525</f>
        <v>#NAME?</v>
      </c>
      <c r="B529" s="27" t="e">
        <f ca="1">'05_PSA_1000'!K525</f>
        <v>#NAME?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3.9">
      <c r="A530" s="29" t="e">
        <f ca="1">'05_PSA_1000'!N526</f>
        <v>#NAME?</v>
      </c>
      <c r="B530" s="27" t="e">
        <f ca="1">'05_PSA_1000'!K526</f>
        <v>#NAME?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3.9">
      <c r="A531" s="29" t="e">
        <f ca="1">'05_PSA_1000'!N527</f>
        <v>#NAME?</v>
      </c>
      <c r="B531" s="27" t="e">
        <f ca="1">'05_PSA_1000'!K527</f>
        <v>#NAME?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3.9">
      <c r="A532" s="29" t="e">
        <f ca="1">'05_PSA_1000'!N528</f>
        <v>#NAME?</v>
      </c>
      <c r="B532" s="27" t="e">
        <f ca="1">'05_PSA_1000'!K528</f>
        <v>#NAME?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3.9">
      <c r="A533" s="29" t="e">
        <f ca="1">'05_PSA_1000'!N529</f>
        <v>#NAME?</v>
      </c>
      <c r="B533" s="27" t="e">
        <f ca="1">'05_PSA_1000'!K529</f>
        <v>#NAME?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3.9">
      <c r="A534" s="29" t="e">
        <f ca="1">'05_PSA_1000'!N530</f>
        <v>#NAME?</v>
      </c>
      <c r="B534" s="27" t="e">
        <f ca="1">'05_PSA_1000'!K530</f>
        <v>#NAME?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3.9">
      <c r="A535" s="29" t="e">
        <f ca="1">'05_PSA_1000'!N531</f>
        <v>#NAME?</v>
      </c>
      <c r="B535" s="27" t="e">
        <f ca="1">'05_PSA_1000'!K531</f>
        <v>#NAME?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3.9">
      <c r="A536" s="29" t="e">
        <f ca="1">'05_PSA_1000'!N532</f>
        <v>#NAME?</v>
      </c>
      <c r="B536" s="27" t="e">
        <f ca="1">'05_PSA_1000'!K532</f>
        <v>#NAME?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3.9">
      <c r="A537" s="29" t="e">
        <f ca="1">'05_PSA_1000'!N533</f>
        <v>#NAME?</v>
      </c>
      <c r="B537" s="27" t="e">
        <f ca="1">'05_PSA_1000'!K533</f>
        <v>#NAME?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3.9">
      <c r="A538" s="29" t="e">
        <f ca="1">'05_PSA_1000'!N534</f>
        <v>#NAME?</v>
      </c>
      <c r="B538" s="27" t="e">
        <f ca="1">'05_PSA_1000'!K534</f>
        <v>#NAME?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3.9">
      <c r="A539" s="29" t="e">
        <f ca="1">'05_PSA_1000'!N535</f>
        <v>#NAME?</v>
      </c>
      <c r="B539" s="27" t="e">
        <f ca="1">'05_PSA_1000'!K535</f>
        <v>#NAME?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3.9">
      <c r="A540" s="29" t="e">
        <f ca="1">'05_PSA_1000'!N536</f>
        <v>#NAME?</v>
      </c>
      <c r="B540" s="27" t="e">
        <f ca="1">'05_PSA_1000'!K536</f>
        <v>#NAME?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3.9">
      <c r="A541" s="29" t="e">
        <f ca="1">'05_PSA_1000'!N537</f>
        <v>#NAME?</v>
      </c>
      <c r="B541" s="27" t="e">
        <f ca="1">'05_PSA_1000'!K537</f>
        <v>#NAME?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3.9">
      <c r="A542" s="29" t="e">
        <f ca="1">'05_PSA_1000'!N538</f>
        <v>#NAME?</v>
      </c>
      <c r="B542" s="27" t="e">
        <f ca="1">'05_PSA_1000'!K538</f>
        <v>#NAME?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3.9">
      <c r="A543" s="29" t="e">
        <f ca="1">'05_PSA_1000'!N539</f>
        <v>#NAME?</v>
      </c>
      <c r="B543" s="27" t="e">
        <f ca="1">'05_PSA_1000'!K539</f>
        <v>#NAME?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3.9">
      <c r="A544" s="29" t="e">
        <f ca="1">'05_PSA_1000'!N540</f>
        <v>#NAME?</v>
      </c>
      <c r="B544" s="27" t="e">
        <f ca="1">'05_PSA_1000'!K540</f>
        <v>#NAME?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3.9">
      <c r="A545" s="29" t="e">
        <f ca="1">'05_PSA_1000'!N541</f>
        <v>#NAME?</v>
      </c>
      <c r="B545" s="27" t="e">
        <f ca="1">'05_PSA_1000'!K541</f>
        <v>#NAME?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3.9">
      <c r="A546" s="29" t="e">
        <f ca="1">'05_PSA_1000'!N542</f>
        <v>#NAME?</v>
      </c>
      <c r="B546" s="27" t="e">
        <f ca="1">'05_PSA_1000'!K542</f>
        <v>#NAME?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3.9">
      <c r="A547" s="29" t="e">
        <f ca="1">'05_PSA_1000'!N543</f>
        <v>#NAME?</v>
      </c>
      <c r="B547" s="27" t="e">
        <f ca="1">'05_PSA_1000'!K543</f>
        <v>#NAME?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3.9">
      <c r="A548" s="29" t="e">
        <f ca="1">'05_PSA_1000'!N544</f>
        <v>#NAME?</v>
      </c>
      <c r="B548" s="27" t="e">
        <f ca="1">'05_PSA_1000'!K544</f>
        <v>#NAME?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3.9">
      <c r="A549" s="29" t="e">
        <f ca="1">'05_PSA_1000'!N545</f>
        <v>#NAME?</v>
      </c>
      <c r="B549" s="27" t="e">
        <f ca="1">'05_PSA_1000'!K545</f>
        <v>#NAME?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3.9">
      <c r="A550" s="29" t="e">
        <f ca="1">'05_PSA_1000'!N546</f>
        <v>#NAME?</v>
      </c>
      <c r="B550" s="27" t="e">
        <f ca="1">'05_PSA_1000'!K546</f>
        <v>#NAME?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3.9">
      <c r="A551" s="29" t="e">
        <f ca="1">'05_PSA_1000'!N547</f>
        <v>#NAME?</v>
      </c>
      <c r="B551" s="27" t="e">
        <f ca="1">'05_PSA_1000'!K547</f>
        <v>#NAME?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3.9">
      <c r="A552" s="29" t="e">
        <f ca="1">'05_PSA_1000'!N548</f>
        <v>#NAME?</v>
      </c>
      <c r="B552" s="27" t="e">
        <f ca="1">'05_PSA_1000'!K548</f>
        <v>#NAME?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3.9">
      <c r="A553" s="29" t="e">
        <f ca="1">'05_PSA_1000'!N549</f>
        <v>#NAME?</v>
      </c>
      <c r="B553" s="27" t="e">
        <f ca="1">'05_PSA_1000'!K549</f>
        <v>#NAME?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3.9">
      <c r="A554" s="29" t="e">
        <f ca="1">'05_PSA_1000'!N550</f>
        <v>#NAME?</v>
      </c>
      <c r="B554" s="27" t="e">
        <f ca="1">'05_PSA_1000'!K550</f>
        <v>#NAME?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3.9">
      <c r="A555" s="29" t="e">
        <f ca="1">'05_PSA_1000'!N551</f>
        <v>#NAME?</v>
      </c>
      <c r="B555" s="27" t="e">
        <f ca="1">'05_PSA_1000'!K551</f>
        <v>#NAME?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3.9">
      <c r="A556" s="29" t="e">
        <f ca="1">'05_PSA_1000'!N552</f>
        <v>#NAME?</v>
      </c>
      <c r="B556" s="27" t="e">
        <f ca="1">'05_PSA_1000'!K552</f>
        <v>#NAME?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3.9">
      <c r="A557" s="29" t="e">
        <f ca="1">'05_PSA_1000'!N553</f>
        <v>#NAME?</v>
      </c>
      <c r="B557" s="27" t="e">
        <f ca="1">'05_PSA_1000'!K553</f>
        <v>#NAME?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3.9">
      <c r="A558" s="29" t="e">
        <f ca="1">'05_PSA_1000'!N554</f>
        <v>#NAME?</v>
      </c>
      <c r="B558" s="27" t="e">
        <f ca="1">'05_PSA_1000'!K554</f>
        <v>#NAME?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3.9">
      <c r="A559" s="29" t="e">
        <f ca="1">'05_PSA_1000'!N555</f>
        <v>#NAME?</v>
      </c>
      <c r="B559" s="27" t="e">
        <f ca="1">'05_PSA_1000'!K555</f>
        <v>#NAME?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3.9">
      <c r="A560" s="29" t="e">
        <f ca="1">'05_PSA_1000'!N556</f>
        <v>#NAME?</v>
      </c>
      <c r="B560" s="27" t="e">
        <f ca="1">'05_PSA_1000'!K556</f>
        <v>#NAME?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3.9">
      <c r="A561" s="29" t="e">
        <f ca="1">'05_PSA_1000'!N557</f>
        <v>#NAME?</v>
      </c>
      <c r="B561" s="27" t="e">
        <f ca="1">'05_PSA_1000'!K557</f>
        <v>#NAME?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3.9">
      <c r="A562" s="29" t="e">
        <f ca="1">'05_PSA_1000'!N558</f>
        <v>#NAME?</v>
      </c>
      <c r="B562" s="27" t="e">
        <f ca="1">'05_PSA_1000'!K558</f>
        <v>#NAME?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3.9">
      <c r="A563" s="29" t="e">
        <f ca="1">'05_PSA_1000'!N559</f>
        <v>#NAME?</v>
      </c>
      <c r="B563" s="27" t="e">
        <f ca="1">'05_PSA_1000'!K559</f>
        <v>#NAME?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3.9">
      <c r="A564" s="29" t="e">
        <f ca="1">'05_PSA_1000'!N560</f>
        <v>#NAME?</v>
      </c>
      <c r="B564" s="27" t="e">
        <f ca="1">'05_PSA_1000'!K560</f>
        <v>#NAME?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3.9">
      <c r="A565" s="29" t="e">
        <f ca="1">'05_PSA_1000'!N561</f>
        <v>#NAME?</v>
      </c>
      <c r="B565" s="27" t="e">
        <f ca="1">'05_PSA_1000'!K561</f>
        <v>#NAME?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3.9">
      <c r="A566" s="29" t="e">
        <f ca="1">'05_PSA_1000'!N562</f>
        <v>#NAME?</v>
      </c>
      <c r="B566" s="27" t="e">
        <f ca="1">'05_PSA_1000'!K562</f>
        <v>#NAME?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3.9">
      <c r="A567" s="29" t="e">
        <f ca="1">'05_PSA_1000'!N563</f>
        <v>#NAME?</v>
      </c>
      <c r="B567" s="27" t="e">
        <f ca="1">'05_PSA_1000'!K563</f>
        <v>#NAME?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3.9">
      <c r="A568" s="29" t="e">
        <f ca="1">'05_PSA_1000'!N564</f>
        <v>#NAME?</v>
      </c>
      <c r="B568" s="27" t="e">
        <f ca="1">'05_PSA_1000'!K564</f>
        <v>#NAME?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3.9">
      <c r="A569" s="29" t="e">
        <f ca="1">'05_PSA_1000'!N565</f>
        <v>#NAME?</v>
      </c>
      <c r="B569" s="27" t="e">
        <f ca="1">'05_PSA_1000'!K565</f>
        <v>#NAME?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3.9">
      <c r="A570" s="29" t="e">
        <f ca="1">'05_PSA_1000'!N566</f>
        <v>#NAME?</v>
      </c>
      <c r="B570" s="27" t="e">
        <f ca="1">'05_PSA_1000'!K566</f>
        <v>#NAME?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3.9">
      <c r="A571" s="29" t="e">
        <f ca="1">'05_PSA_1000'!N567</f>
        <v>#NAME?</v>
      </c>
      <c r="B571" s="27" t="e">
        <f ca="1">'05_PSA_1000'!K567</f>
        <v>#NAME?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3.9">
      <c r="A572" s="29" t="e">
        <f ca="1">'05_PSA_1000'!N568</f>
        <v>#NAME?</v>
      </c>
      <c r="B572" s="27" t="e">
        <f ca="1">'05_PSA_1000'!K568</f>
        <v>#NAME?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3.9">
      <c r="A573" s="29" t="e">
        <f ca="1">'05_PSA_1000'!N569</f>
        <v>#NAME?</v>
      </c>
      <c r="B573" s="27" t="e">
        <f ca="1">'05_PSA_1000'!K569</f>
        <v>#NAME?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3.9">
      <c r="A574" s="29" t="e">
        <f ca="1">'05_PSA_1000'!N570</f>
        <v>#NAME?</v>
      </c>
      <c r="B574" s="27" t="e">
        <f ca="1">'05_PSA_1000'!K570</f>
        <v>#NAME?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3.9">
      <c r="A575" s="29" t="e">
        <f ca="1">'05_PSA_1000'!N571</f>
        <v>#NAME?</v>
      </c>
      <c r="B575" s="27" t="e">
        <f ca="1">'05_PSA_1000'!K571</f>
        <v>#NAME?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3.9">
      <c r="A576" s="29" t="e">
        <f ca="1">'05_PSA_1000'!N572</f>
        <v>#NAME?</v>
      </c>
      <c r="B576" s="27" t="e">
        <f ca="1">'05_PSA_1000'!K572</f>
        <v>#NAME?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3.9">
      <c r="A577" s="29" t="e">
        <f ca="1">'05_PSA_1000'!N573</f>
        <v>#NAME?</v>
      </c>
      <c r="B577" s="27" t="e">
        <f ca="1">'05_PSA_1000'!K573</f>
        <v>#NAME?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3.9">
      <c r="A578" s="29" t="e">
        <f ca="1">'05_PSA_1000'!N574</f>
        <v>#NAME?</v>
      </c>
      <c r="B578" s="27" t="e">
        <f ca="1">'05_PSA_1000'!K574</f>
        <v>#NAME?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3.9">
      <c r="A579" s="29" t="e">
        <f ca="1">'05_PSA_1000'!N575</f>
        <v>#NAME?</v>
      </c>
      <c r="B579" s="27" t="e">
        <f ca="1">'05_PSA_1000'!K575</f>
        <v>#NAME?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3.9">
      <c r="A580" s="29" t="e">
        <f ca="1">'05_PSA_1000'!N576</f>
        <v>#NAME?</v>
      </c>
      <c r="B580" s="27" t="e">
        <f ca="1">'05_PSA_1000'!K576</f>
        <v>#NAME?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3.9">
      <c r="A581" s="29" t="e">
        <f ca="1">'05_PSA_1000'!N577</f>
        <v>#NAME?</v>
      </c>
      <c r="B581" s="27" t="e">
        <f ca="1">'05_PSA_1000'!K577</f>
        <v>#NAME?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3.9">
      <c r="A582" s="29" t="e">
        <f ca="1">'05_PSA_1000'!N578</f>
        <v>#NAME?</v>
      </c>
      <c r="B582" s="27" t="e">
        <f ca="1">'05_PSA_1000'!K578</f>
        <v>#NAME?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3.9">
      <c r="A583" s="29" t="e">
        <f ca="1">'05_PSA_1000'!N579</f>
        <v>#NAME?</v>
      </c>
      <c r="B583" s="27" t="e">
        <f ca="1">'05_PSA_1000'!K579</f>
        <v>#NAME?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3.9">
      <c r="A584" s="29" t="e">
        <f ca="1">'05_PSA_1000'!N580</f>
        <v>#NAME?</v>
      </c>
      <c r="B584" s="27" t="e">
        <f ca="1">'05_PSA_1000'!K580</f>
        <v>#NAME?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3.9">
      <c r="A585" s="29" t="e">
        <f ca="1">'05_PSA_1000'!N581</f>
        <v>#NAME?</v>
      </c>
      <c r="B585" s="27" t="e">
        <f ca="1">'05_PSA_1000'!K581</f>
        <v>#NAME?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3.9">
      <c r="A586" s="29" t="e">
        <f ca="1">'05_PSA_1000'!N582</f>
        <v>#NAME?</v>
      </c>
      <c r="B586" s="27" t="e">
        <f ca="1">'05_PSA_1000'!K582</f>
        <v>#NAME?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3.9">
      <c r="A587" s="29" t="e">
        <f ca="1">'05_PSA_1000'!N583</f>
        <v>#NAME?</v>
      </c>
      <c r="B587" s="27" t="e">
        <f ca="1">'05_PSA_1000'!K583</f>
        <v>#NAME?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3.9">
      <c r="A588" s="29" t="e">
        <f ca="1">'05_PSA_1000'!N584</f>
        <v>#NAME?</v>
      </c>
      <c r="B588" s="27" t="e">
        <f ca="1">'05_PSA_1000'!K584</f>
        <v>#NAME?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3.9">
      <c r="A589" s="29" t="e">
        <f ca="1">'05_PSA_1000'!N585</f>
        <v>#NAME?</v>
      </c>
      <c r="B589" s="27" t="e">
        <f ca="1">'05_PSA_1000'!K585</f>
        <v>#NAME?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3.9">
      <c r="A590" s="29" t="e">
        <f ca="1">'05_PSA_1000'!N586</f>
        <v>#NAME?</v>
      </c>
      <c r="B590" s="27" t="e">
        <f ca="1">'05_PSA_1000'!K586</f>
        <v>#NAME?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3.9">
      <c r="A591" s="29" t="e">
        <f ca="1">'05_PSA_1000'!N587</f>
        <v>#NAME?</v>
      </c>
      <c r="B591" s="27" t="e">
        <f ca="1">'05_PSA_1000'!K587</f>
        <v>#NAME?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3.9">
      <c r="A592" s="29" t="e">
        <f ca="1">'05_PSA_1000'!N588</f>
        <v>#NAME?</v>
      </c>
      <c r="B592" s="27" t="e">
        <f ca="1">'05_PSA_1000'!K588</f>
        <v>#NAME?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3.9">
      <c r="A593" s="29" t="e">
        <f ca="1">'05_PSA_1000'!N589</f>
        <v>#NAME?</v>
      </c>
      <c r="B593" s="27" t="e">
        <f ca="1">'05_PSA_1000'!K589</f>
        <v>#NAME?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3.9">
      <c r="A594" s="29" t="e">
        <f ca="1">'05_PSA_1000'!N590</f>
        <v>#NAME?</v>
      </c>
      <c r="B594" s="27" t="e">
        <f ca="1">'05_PSA_1000'!K590</f>
        <v>#NAME?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3.9">
      <c r="A595" s="29" t="e">
        <f ca="1">'05_PSA_1000'!N591</f>
        <v>#NAME?</v>
      </c>
      <c r="B595" s="27" t="e">
        <f ca="1">'05_PSA_1000'!K591</f>
        <v>#NAME?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3.9">
      <c r="A596" s="29" t="e">
        <f ca="1">'05_PSA_1000'!N592</f>
        <v>#NAME?</v>
      </c>
      <c r="B596" s="27" t="e">
        <f ca="1">'05_PSA_1000'!K592</f>
        <v>#NAME?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3.9">
      <c r="A597" s="29" t="e">
        <f ca="1">'05_PSA_1000'!N593</f>
        <v>#NAME?</v>
      </c>
      <c r="B597" s="27" t="e">
        <f ca="1">'05_PSA_1000'!K593</f>
        <v>#NAME?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3.9">
      <c r="A598" s="29" t="e">
        <f ca="1">'05_PSA_1000'!N594</f>
        <v>#NAME?</v>
      </c>
      <c r="B598" s="27" t="e">
        <f ca="1">'05_PSA_1000'!K594</f>
        <v>#NAME?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3.9">
      <c r="A599" s="29" t="e">
        <f ca="1">'05_PSA_1000'!N595</f>
        <v>#NAME?</v>
      </c>
      <c r="B599" s="27" t="e">
        <f ca="1">'05_PSA_1000'!K595</f>
        <v>#NAME?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3.9">
      <c r="A600" s="29" t="e">
        <f ca="1">'05_PSA_1000'!N596</f>
        <v>#NAME?</v>
      </c>
      <c r="B600" s="27" t="e">
        <f ca="1">'05_PSA_1000'!K596</f>
        <v>#NAME?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3.9">
      <c r="A601" s="29" t="e">
        <f ca="1">'05_PSA_1000'!N597</f>
        <v>#NAME?</v>
      </c>
      <c r="B601" s="27" t="e">
        <f ca="1">'05_PSA_1000'!K597</f>
        <v>#NAME?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3.9">
      <c r="A602" s="29" t="e">
        <f ca="1">'05_PSA_1000'!N598</f>
        <v>#NAME?</v>
      </c>
      <c r="B602" s="27" t="e">
        <f ca="1">'05_PSA_1000'!K598</f>
        <v>#NAME?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3.9">
      <c r="A603" s="29" t="e">
        <f ca="1">'05_PSA_1000'!N599</f>
        <v>#NAME?</v>
      </c>
      <c r="B603" s="27" t="e">
        <f ca="1">'05_PSA_1000'!K599</f>
        <v>#NAME?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3.9">
      <c r="A604" s="29" t="e">
        <f ca="1">'05_PSA_1000'!N600</f>
        <v>#NAME?</v>
      </c>
      <c r="B604" s="27" t="e">
        <f ca="1">'05_PSA_1000'!K600</f>
        <v>#NAME?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3.9">
      <c r="A605" s="29" t="e">
        <f ca="1">'05_PSA_1000'!N601</f>
        <v>#NAME?</v>
      </c>
      <c r="B605" s="27" t="e">
        <f ca="1">'05_PSA_1000'!K601</f>
        <v>#NAME?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3.9">
      <c r="A606" s="29" t="e">
        <f ca="1">'05_PSA_1000'!N602</f>
        <v>#NAME?</v>
      </c>
      <c r="B606" s="27" t="e">
        <f ca="1">'05_PSA_1000'!K602</f>
        <v>#NAME?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3.9">
      <c r="A607" s="29" t="e">
        <f ca="1">'05_PSA_1000'!N603</f>
        <v>#NAME?</v>
      </c>
      <c r="B607" s="27" t="e">
        <f ca="1">'05_PSA_1000'!K603</f>
        <v>#NAME?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3.9">
      <c r="A608" s="29" t="e">
        <f ca="1">'05_PSA_1000'!N604</f>
        <v>#NAME?</v>
      </c>
      <c r="B608" s="27" t="e">
        <f ca="1">'05_PSA_1000'!K604</f>
        <v>#NAME?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3.9">
      <c r="A609" s="29" t="e">
        <f ca="1">'05_PSA_1000'!N605</f>
        <v>#NAME?</v>
      </c>
      <c r="B609" s="27" t="e">
        <f ca="1">'05_PSA_1000'!K605</f>
        <v>#NAME?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3.9">
      <c r="A610" s="29" t="e">
        <f ca="1">'05_PSA_1000'!N606</f>
        <v>#NAME?</v>
      </c>
      <c r="B610" s="27" t="e">
        <f ca="1">'05_PSA_1000'!K606</f>
        <v>#NAME?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3.9">
      <c r="A611" s="29" t="e">
        <f ca="1">'05_PSA_1000'!N607</f>
        <v>#NAME?</v>
      </c>
      <c r="B611" s="27" t="e">
        <f ca="1">'05_PSA_1000'!K607</f>
        <v>#NAME?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3.9">
      <c r="A612" s="29" t="e">
        <f ca="1">'05_PSA_1000'!N608</f>
        <v>#NAME?</v>
      </c>
      <c r="B612" s="27" t="e">
        <f ca="1">'05_PSA_1000'!K608</f>
        <v>#NAME?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3.9">
      <c r="A613" s="29" t="e">
        <f ca="1">'05_PSA_1000'!N609</f>
        <v>#NAME?</v>
      </c>
      <c r="B613" s="27" t="e">
        <f ca="1">'05_PSA_1000'!K609</f>
        <v>#NAME?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3.9">
      <c r="A614" s="29" t="e">
        <f ca="1">'05_PSA_1000'!N610</f>
        <v>#NAME?</v>
      </c>
      <c r="B614" s="27" t="e">
        <f ca="1">'05_PSA_1000'!K610</f>
        <v>#NAME?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3.9">
      <c r="A615" s="29" t="e">
        <f ca="1">'05_PSA_1000'!N611</f>
        <v>#NAME?</v>
      </c>
      <c r="B615" s="27" t="e">
        <f ca="1">'05_PSA_1000'!K611</f>
        <v>#NAME?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3.9">
      <c r="A616" s="29" t="e">
        <f ca="1">'05_PSA_1000'!N612</f>
        <v>#NAME?</v>
      </c>
      <c r="B616" s="27" t="e">
        <f ca="1">'05_PSA_1000'!K612</f>
        <v>#NAME?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3.9">
      <c r="A617" s="29" t="e">
        <f ca="1">'05_PSA_1000'!N613</f>
        <v>#NAME?</v>
      </c>
      <c r="B617" s="27" t="e">
        <f ca="1">'05_PSA_1000'!K613</f>
        <v>#NAME?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3.9">
      <c r="A618" s="29" t="e">
        <f ca="1">'05_PSA_1000'!N614</f>
        <v>#NAME?</v>
      </c>
      <c r="B618" s="27" t="e">
        <f ca="1">'05_PSA_1000'!K614</f>
        <v>#NAME?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3.9">
      <c r="A619" s="29" t="e">
        <f ca="1">'05_PSA_1000'!N615</f>
        <v>#NAME?</v>
      </c>
      <c r="B619" s="27" t="e">
        <f ca="1">'05_PSA_1000'!K615</f>
        <v>#NAME?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3.9">
      <c r="A620" s="29" t="e">
        <f ca="1">'05_PSA_1000'!N616</f>
        <v>#NAME?</v>
      </c>
      <c r="B620" s="27" t="e">
        <f ca="1">'05_PSA_1000'!K616</f>
        <v>#NAME?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3.9">
      <c r="A621" s="29" t="e">
        <f ca="1">'05_PSA_1000'!N617</f>
        <v>#NAME?</v>
      </c>
      <c r="B621" s="27" t="e">
        <f ca="1">'05_PSA_1000'!K617</f>
        <v>#NAME?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3.9">
      <c r="A622" s="29" t="e">
        <f ca="1">'05_PSA_1000'!N618</f>
        <v>#NAME?</v>
      </c>
      <c r="B622" s="27" t="e">
        <f ca="1">'05_PSA_1000'!K618</f>
        <v>#NAME?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3.9">
      <c r="A623" s="29" t="e">
        <f ca="1">'05_PSA_1000'!N619</f>
        <v>#NAME?</v>
      </c>
      <c r="B623" s="27" t="e">
        <f ca="1">'05_PSA_1000'!K619</f>
        <v>#NAME?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3.9">
      <c r="A624" s="29" t="e">
        <f ca="1">'05_PSA_1000'!N620</f>
        <v>#NAME?</v>
      </c>
      <c r="B624" s="27" t="e">
        <f ca="1">'05_PSA_1000'!K620</f>
        <v>#NAME?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3.9">
      <c r="A625" s="29" t="e">
        <f ca="1">'05_PSA_1000'!N621</f>
        <v>#NAME?</v>
      </c>
      <c r="B625" s="27" t="e">
        <f ca="1">'05_PSA_1000'!K621</f>
        <v>#NAME?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3.9">
      <c r="A626" s="29" t="e">
        <f ca="1">'05_PSA_1000'!N622</f>
        <v>#NAME?</v>
      </c>
      <c r="B626" s="27" t="e">
        <f ca="1">'05_PSA_1000'!K622</f>
        <v>#NAME?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3.9">
      <c r="A627" s="29" t="e">
        <f ca="1">'05_PSA_1000'!N623</f>
        <v>#NAME?</v>
      </c>
      <c r="B627" s="27" t="e">
        <f ca="1">'05_PSA_1000'!K623</f>
        <v>#NAME?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3.9">
      <c r="A628" s="29" t="e">
        <f ca="1">'05_PSA_1000'!N624</f>
        <v>#NAME?</v>
      </c>
      <c r="B628" s="27" t="e">
        <f ca="1">'05_PSA_1000'!K624</f>
        <v>#NAME?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3.9">
      <c r="A629" s="29" t="e">
        <f ca="1">'05_PSA_1000'!N625</f>
        <v>#NAME?</v>
      </c>
      <c r="B629" s="27" t="e">
        <f ca="1">'05_PSA_1000'!K625</f>
        <v>#NAME?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3.9">
      <c r="A630" s="29" t="e">
        <f ca="1">'05_PSA_1000'!N626</f>
        <v>#NAME?</v>
      </c>
      <c r="B630" s="27" t="e">
        <f ca="1">'05_PSA_1000'!K626</f>
        <v>#NAME?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3.9">
      <c r="A631" s="29" t="e">
        <f ca="1">'05_PSA_1000'!N627</f>
        <v>#NAME?</v>
      </c>
      <c r="B631" s="27" t="e">
        <f ca="1">'05_PSA_1000'!K627</f>
        <v>#NAME?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3.9">
      <c r="A632" s="29" t="e">
        <f ca="1">'05_PSA_1000'!N628</f>
        <v>#NAME?</v>
      </c>
      <c r="B632" s="27" t="e">
        <f ca="1">'05_PSA_1000'!K628</f>
        <v>#NAME?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3.9">
      <c r="A633" s="29" t="e">
        <f ca="1">'05_PSA_1000'!N629</f>
        <v>#NAME?</v>
      </c>
      <c r="B633" s="27" t="e">
        <f ca="1">'05_PSA_1000'!K629</f>
        <v>#NAME?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3.9">
      <c r="A634" s="29" t="e">
        <f ca="1">'05_PSA_1000'!N630</f>
        <v>#NAME?</v>
      </c>
      <c r="B634" s="27" t="e">
        <f ca="1">'05_PSA_1000'!K630</f>
        <v>#NAME?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3.9">
      <c r="A635" s="29" t="e">
        <f ca="1">'05_PSA_1000'!N631</f>
        <v>#NAME?</v>
      </c>
      <c r="B635" s="27" t="e">
        <f ca="1">'05_PSA_1000'!K631</f>
        <v>#NAME?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3.9">
      <c r="A636" s="29" t="e">
        <f ca="1">'05_PSA_1000'!N632</f>
        <v>#NAME?</v>
      </c>
      <c r="B636" s="27" t="e">
        <f ca="1">'05_PSA_1000'!K632</f>
        <v>#NAME?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3.9">
      <c r="A637" s="29" t="e">
        <f ca="1">'05_PSA_1000'!N633</f>
        <v>#NAME?</v>
      </c>
      <c r="B637" s="27" t="e">
        <f ca="1">'05_PSA_1000'!K633</f>
        <v>#NAME?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3.9">
      <c r="A638" s="29" t="e">
        <f ca="1">'05_PSA_1000'!N634</f>
        <v>#NAME?</v>
      </c>
      <c r="B638" s="27" t="e">
        <f ca="1">'05_PSA_1000'!K634</f>
        <v>#NAME?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3.9">
      <c r="A639" s="29" t="e">
        <f ca="1">'05_PSA_1000'!N635</f>
        <v>#NAME?</v>
      </c>
      <c r="B639" s="27" t="e">
        <f ca="1">'05_PSA_1000'!K635</f>
        <v>#NAME?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3.9">
      <c r="A640" s="29" t="e">
        <f ca="1">'05_PSA_1000'!N636</f>
        <v>#NAME?</v>
      </c>
      <c r="B640" s="27" t="e">
        <f ca="1">'05_PSA_1000'!K636</f>
        <v>#NAME?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3.9">
      <c r="A641" s="29" t="e">
        <f ca="1">'05_PSA_1000'!N637</f>
        <v>#NAME?</v>
      </c>
      <c r="B641" s="27" t="e">
        <f ca="1">'05_PSA_1000'!K637</f>
        <v>#NAME?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3.9">
      <c r="A642" s="29" t="e">
        <f ca="1">'05_PSA_1000'!N638</f>
        <v>#NAME?</v>
      </c>
      <c r="B642" s="27" t="e">
        <f ca="1">'05_PSA_1000'!K638</f>
        <v>#NAME?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3.9">
      <c r="A643" s="29" t="e">
        <f ca="1">'05_PSA_1000'!N639</f>
        <v>#NAME?</v>
      </c>
      <c r="B643" s="27" t="e">
        <f ca="1">'05_PSA_1000'!K639</f>
        <v>#NAME?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3.9">
      <c r="A644" s="29" t="e">
        <f ca="1">'05_PSA_1000'!N640</f>
        <v>#NAME?</v>
      </c>
      <c r="B644" s="27" t="e">
        <f ca="1">'05_PSA_1000'!K640</f>
        <v>#NAME?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3.9">
      <c r="A645" s="29" t="e">
        <f ca="1">'05_PSA_1000'!N641</f>
        <v>#NAME?</v>
      </c>
      <c r="B645" s="27" t="e">
        <f ca="1">'05_PSA_1000'!K641</f>
        <v>#NAME?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3.9">
      <c r="A646" s="29" t="e">
        <f ca="1">'05_PSA_1000'!N642</f>
        <v>#NAME?</v>
      </c>
      <c r="B646" s="27" t="e">
        <f ca="1">'05_PSA_1000'!K642</f>
        <v>#NAME?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3.9">
      <c r="A647" s="29" t="e">
        <f ca="1">'05_PSA_1000'!N643</f>
        <v>#NAME?</v>
      </c>
      <c r="B647" s="27" t="e">
        <f ca="1">'05_PSA_1000'!K643</f>
        <v>#NAME?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3.9">
      <c r="A648" s="29" t="e">
        <f ca="1">'05_PSA_1000'!N644</f>
        <v>#NAME?</v>
      </c>
      <c r="B648" s="27" t="e">
        <f ca="1">'05_PSA_1000'!K644</f>
        <v>#NAME?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3.9">
      <c r="A649" s="29" t="e">
        <f ca="1">'05_PSA_1000'!N645</f>
        <v>#NAME?</v>
      </c>
      <c r="B649" s="27" t="e">
        <f ca="1">'05_PSA_1000'!K645</f>
        <v>#NAME?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3.9">
      <c r="A650" s="29" t="e">
        <f ca="1">'05_PSA_1000'!N646</f>
        <v>#NAME?</v>
      </c>
      <c r="B650" s="27" t="e">
        <f ca="1">'05_PSA_1000'!K646</f>
        <v>#NAME?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3.9">
      <c r="A651" s="29" t="e">
        <f ca="1">'05_PSA_1000'!N647</f>
        <v>#NAME?</v>
      </c>
      <c r="B651" s="27" t="e">
        <f ca="1">'05_PSA_1000'!K647</f>
        <v>#NAME?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3.9">
      <c r="A652" s="29" t="e">
        <f ca="1">'05_PSA_1000'!N648</f>
        <v>#NAME?</v>
      </c>
      <c r="B652" s="27" t="e">
        <f ca="1">'05_PSA_1000'!K648</f>
        <v>#NAME?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3.9">
      <c r="A653" s="29" t="e">
        <f ca="1">'05_PSA_1000'!N649</f>
        <v>#NAME?</v>
      </c>
      <c r="B653" s="27" t="e">
        <f ca="1">'05_PSA_1000'!K649</f>
        <v>#NAME?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3.9">
      <c r="A654" s="29" t="e">
        <f ca="1">'05_PSA_1000'!N650</f>
        <v>#NAME?</v>
      </c>
      <c r="B654" s="27" t="e">
        <f ca="1">'05_PSA_1000'!K650</f>
        <v>#NAME?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3.9">
      <c r="A655" s="29" t="e">
        <f ca="1">'05_PSA_1000'!N651</f>
        <v>#NAME?</v>
      </c>
      <c r="B655" s="27" t="e">
        <f ca="1">'05_PSA_1000'!K651</f>
        <v>#NAME?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3.9">
      <c r="A656" s="29" t="e">
        <f ca="1">'05_PSA_1000'!N652</f>
        <v>#NAME?</v>
      </c>
      <c r="B656" s="27" t="e">
        <f ca="1">'05_PSA_1000'!K652</f>
        <v>#NAME?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3.9">
      <c r="A657" s="29" t="e">
        <f ca="1">'05_PSA_1000'!N653</f>
        <v>#NAME?</v>
      </c>
      <c r="B657" s="27" t="e">
        <f ca="1">'05_PSA_1000'!K653</f>
        <v>#NAME?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3.9">
      <c r="A658" s="29" t="e">
        <f ca="1">'05_PSA_1000'!N654</f>
        <v>#NAME?</v>
      </c>
      <c r="B658" s="27" t="e">
        <f ca="1">'05_PSA_1000'!K654</f>
        <v>#NAME?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3.9">
      <c r="A659" s="29" t="e">
        <f ca="1">'05_PSA_1000'!N655</f>
        <v>#NAME?</v>
      </c>
      <c r="B659" s="27" t="e">
        <f ca="1">'05_PSA_1000'!K655</f>
        <v>#NAME?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3.9">
      <c r="A660" s="29" t="e">
        <f ca="1">'05_PSA_1000'!N656</f>
        <v>#NAME?</v>
      </c>
      <c r="B660" s="27" t="e">
        <f ca="1">'05_PSA_1000'!K656</f>
        <v>#NAME?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3.9">
      <c r="A661" s="29" t="e">
        <f ca="1">'05_PSA_1000'!N657</f>
        <v>#NAME?</v>
      </c>
      <c r="B661" s="27" t="e">
        <f ca="1">'05_PSA_1000'!K657</f>
        <v>#NAME?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3.9">
      <c r="A662" s="29" t="e">
        <f ca="1">'05_PSA_1000'!N658</f>
        <v>#NAME?</v>
      </c>
      <c r="B662" s="27" t="e">
        <f ca="1">'05_PSA_1000'!K658</f>
        <v>#NAME?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3.9">
      <c r="A663" s="29" t="e">
        <f ca="1">'05_PSA_1000'!N659</f>
        <v>#NAME?</v>
      </c>
      <c r="B663" s="27" t="e">
        <f ca="1">'05_PSA_1000'!K659</f>
        <v>#NAME?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3.9">
      <c r="A664" s="29" t="e">
        <f ca="1">'05_PSA_1000'!N660</f>
        <v>#NAME?</v>
      </c>
      <c r="B664" s="27" t="e">
        <f ca="1">'05_PSA_1000'!K660</f>
        <v>#NAME?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3.9">
      <c r="A665" s="29" t="e">
        <f ca="1">'05_PSA_1000'!N661</f>
        <v>#NAME?</v>
      </c>
      <c r="B665" s="27" t="e">
        <f ca="1">'05_PSA_1000'!K661</f>
        <v>#NAME?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3.9">
      <c r="A666" s="29" t="e">
        <f ca="1">'05_PSA_1000'!N662</f>
        <v>#NAME?</v>
      </c>
      <c r="B666" s="27" t="e">
        <f ca="1">'05_PSA_1000'!K662</f>
        <v>#NAME?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3.9">
      <c r="A667" s="29" t="e">
        <f ca="1">'05_PSA_1000'!N663</f>
        <v>#NAME?</v>
      </c>
      <c r="B667" s="27" t="e">
        <f ca="1">'05_PSA_1000'!K663</f>
        <v>#NAME?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3.9">
      <c r="A668" s="29" t="e">
        <f ca="1">'05_PSA_1000'!N664</f>
        <v>#NAME?</v>
      </c>
      <c r="B668" s="27" t="e">
        <f ca="1">'05_PSA_1000'!K664</f>
        <v>#NAME?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3.9">
      <c r="A669" s="29" t="e">
        <f ca="1">'05_PSA_1000'!N665</f>
        <v>#NAME?</v>
      </c>
      <c r="B669" s="27" t="e">
        <f ca="1">'05_PSA_1000'!K665</f>
        <v>#NAME?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3.9">
      <c r="A670" s="29" t="e">
        <f ca="1">'05_PSA_1000'!N666</f>
        <v>#NAME?</v>
      </c>
      <c r="B670" s="27" t="e">
        <f ca="1">'05_PSA_1000'!K666</f>
        <v>#NAME?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3.9">
      <c r="A671" s="29" t="e">
        <f ca="1">'05_PSA_1000'!N667</f>
        <v>#NAME?</v>
      </c>
      <c r="B671" s="27" t="e">
        <f ca="1">'05_PSA_1000'!K667</f>
        <v>#NAME?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3.9">
      <c r="A672" s="29" t="e">
        <f ca="1">'05_PSA_1000'!N668</f>
        <v>#NAME?</v>
      </c>
      <c r="B672" s="27" t="e">
        <f ca="1">'05_PSA_1000'!K668</f>
        <v>#NAME?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3.9">
      <c r="A673" s="29" t="e">
        <f ca="1">'05_PSA_1000'!N669</f>
        <v>#NAME?</v>
      </c>
      <c r="B673" s="27" t="e">
        <f ca="1">'05_PSA_1000'!K669</f>
        <v>#NAME?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3.9">
      <c r="A674" s="29" t="e">
        <f ca="1">'05_PSA_1000'!N670</f>
        <v>#NAME?</v>
      </c>
      <c r="B674" s="27" t="e">
        <f ca="1">'05_PSA_1000'!K670</f>
        <v>#NAME?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3.9">
      <c r="A675" s="29" t="e">
        <f ca="1">'05_PSA_1000'!N671</f>
        <v>#NAME?</v>
      </c>
      <c r="B675" s="27" t="e">
        <f ca="1">'05_PSA_1000'!K671</f>
        <v>#NAME?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3.9">
      <c r="A676" s="29" t="e">
        <f ca="1">'05_PSA_1000'!N672</f>
        <v>#NAME?</v>
      </c>
      <c r="B676" s="27" t="e">
        <f ca="1">'05_PSA_1000'!K672</f>
        <v>#NAME?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3.9">
      <c r="A677" s="29" t="e">
        <f ca="1">'05_PSA_1000'!N673</f>
        <v>#NAME?</v>
      </c>
      <c r="B677" s="27" t="e">
        <f ca="1">'05_PSA_1000'!K673</f>
        <v>#NAME?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3.9">
      <c r="A678" s="29" t="e">
        <f ca="1">'05_PSA_1000'!N674</f>
        <v>#NAME?</v>
      </c>
      <c r="B678" s="27" t="e">
        <f ca="1">'05_PSA_1000'!K674</f>
        <v>#NAME?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3.9">
      <c r="A679" s="29" t="e">
        <f ca="1">'05_PSA_1000'!N675</f>
        <v>#NAME?</v>
      </c>
      <c r="B679" s="27" t="e">
        <f ca="1">'05_PSA_1000'!K675</f>
        <v>#NAME?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3.9">
      <c r="A680" s="29" t="e">
        <f ca="1">'05_PSA_1000'!N676</f>
        <v>#NAME?</v>
      </c>
      <c r="B680" s="27" t="e">
        <f ca="1">'05_PSA_1000'!K676</f>
        <v>#NAME?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3.9">
      <c r="A681" s="29" t="e">
        <f ca="1">'05_PSA_1000'!N677</f>
        <v>#NAME?</v>
      </c>
      <c r="B681" s="27" t="e">
        <f ca="1">'05_PSA_1000'!K677</f>
        <v>#NAME?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3.9">
      <c r="A682" s="29" t="e">
        <f ca="1">'05_PSA_1000'!N678</f>
        <v>#NAME?</v>
      </c>
      <c r="B682" s="27" t="e">
        <f ca="1">'05_PSA_1000'!K678</f>
        <v>#NAME?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3.9">
      <c r="A683" s="29" t="e">
        <f ca="1">'05_PSA_1000'!N679</f>
        <v>#NAME?</v>
      </c>
      <c r="B683" s="27" t="e">
        <f ca="1">'05_PSA_1000'!K679</f>
        <v>#NAME?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3.9">
      <c r="A684" s="29" t="e">
        <f ca="1">'05_PSA_1000'!N680</f>
        <v>#NAME?</v>
      </c>
      <c r="B684" s="27" t="e">
        <f ca="1">'05_PSA_1000'!K680</f>
        <v>#NAME?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3.9">
      <c r="A685" s="29" t="e">
        <f ca="1">'05_PSA_1000'!N681</f>
        <v>#NAME?</v>
      </c>
      <c r="B685" s="27" t="e">
        <f ca="1">'05_PSA_1000'!K681</f>
        <v>#NAME?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3.9">
      <c r="A686" s="29" t="e">
        <f ca="1">'05_PSA_1000'!N682</f>
        <v>#NAME?</v>
      </c>
      <c r="B686" s="27" t="e">
        <f ca="1">'05_PSA_1000'!K682</f>
        <v>#NAME?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3.9">
      <c r="A687" s="29" t="e">
        <f ca="1">'05_PSA_1000'!N683</f>
        <v>#NAME?</v>
      </c>
      <c r="B687" s="27" t="e">
        <f ca="1">'05_PSA_1000'!K683</f>
        <v>#NAME?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3.9">
      <c r="A688" s="29" t="e">
        <f ca="1">'05_PSA_1000'!N684</f>
        <v>#NAME?</v>
      </c>
      <c r="B688" s="27" t="e">
        <f ca="1">'05_PSA_1000'!K684</f>
        <v>#NAME?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3.9">
      <c r="A689" s="29" t="e">
        <f ca="1">'05_PSA_1000'!N685</f>
        <v>#NAME?</v>
      </c>
      <c r="B689" s="27" t="e">
        <f ca="1">'05_PSA_1000'!K685</f>
        <v>#NAME?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3.9">
      <c r="A690" s="29" t="e">
        <f ca="1">'05_PSA_1000'!N686</f>
        <v>#NAME?</v>
      </c>
      <c r="B690" s="27" t="e">
        <f ca="1">'05_PSA_1000'!K686</f>
        <v>#NAME?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3.9">
      <c r="A691" s="29" t="e">
        <f ca="1">'05_PSA_1000'!N687</f>
        <v>#NAME?</v>
      </c>
      <c r="B691" s="27" t="e">
        <f ca="1">'05_PSA_1000'!K687</f>
        <v>#NAME?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3.9">
      <c r="A692" s="29" t="e">
        <f ca="1">'05_PSA_1000'!N688</f>
        <v>#NAME?</v>
      </c>
      <c r="B692" s="27" t="e">
        <f ca="1">'05_PSA_1000'!K688</f>
        <v>#NAME?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3.9">
      <c r="A693" s="29" t="e">
        <f ca="1">'05_PSA_1000'!N689</f>
        <v>#NAME?</v>
      </c>
      <c r="B693" s="27" t="e">
        <f ca="1">'05_PSA_1000'!K689</f>
        <v>#NAME?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3.9">
      <c r="A694" s="29" t="e">
        <f ca="1">'05_PSA_1000'!N690</f>
        <v>#NAME?</v>
      </c>
      <c r="B694" s="27" t="e">
        <f ca="1">'05_PSA_1000'!K690</f>
        <v>#NAME?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3.9">
      <c r="A695" s="29" t="e">
        <f ca="1">'05_PSA_1000'!N691</f>
        <v>#NAME?</v>
      </c>
      <c r="B695" s="27" t="e">
        <f ca="1">'05_PSA_1000'!K691</f>
        <v>#NAME?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3.9">
      <c r="A696" s="29" t="e">
        <f ca="1">'05_PSA_1000'!N692</f>
        <v>#NAME?</v>
      </c>
      <c r="B696" s="27" t="e">
        <f ca="1">'05_PSA_1000'!K692</f>
        <v>#NAME?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3.9">
      <c r="A697" s="29" t="e">
        <f ca="1">'05_PSA_1000'!N693</f>
        <v>#NAME?</v>
      </c>
      <c r="B697" s="27" t="e">
        <f ca="1">'05_PSA_1000'!K693</f>
        <v>#NAME?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3.9">
      <c r="A698" s="29" t="e">
        <f ca="1">'05_PSA_1000'!N694</f>
        <v>#NAME?</v>
      </c>
      <c r="B698" s="27" t="e">
        <f ca="1">'05_PSA_1000'!K694</f>
        <v>#NAME?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3.9">
      <c r="A699" s="29" t="e">
        <f ca="1">'05_PSA_1000'!N695</f>
        <v>#NAME?</v>
      </c>
      <c r="B699" s="27" t="e">
        <f ca="1">'05_PSA_1000'!K695</f>
        <v>#NAME?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3.9">
      <c r="A700" s="29" t="e">
        <f ca="1">'05_PSA_1000'!N696</f>
        <v>#NAME?</v>
      </c>
      <c r="B700" s="27" t="e">
        <f ca="1">'05_PSA_1000'!K696</f>
        <v>#NAME?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3.9">
      <c r="A701" s="29" t="e">
        <f ca="1">'05_PSA_1000'!N697</f>
        <v>#NAME?</v>
      </c>
      <c r="B701" s="27" t="e">
        <f ca="1">'05_PSA_1000'!K697</f>
        <v>#NAME?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3.9">
      <c r="A702" s="29" t="e">
        <f ca="1">'05_PSA_1000'!N698</f>
        <v>#NAME?</v>
      </c>
      <c r="B702" s="27" t="e">
        <f ca="1">'05_PSA_1000'!K698</f>
        <v>#NAME?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3.9">
      <c r="A703" s="29" t="e">
        <f ca="1">'05_PSA_1000'!N699</f>
        <v>#NAME?</v>
      </c>
      <c r="B703" s="27" t="e">
        <f ca="1">'05_PSA_1000'!K699</f>
        <v>#NAME?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3.9">
      <c r="A704" s="29" t="e">
        <f ca="1">'05_PSA_1000'!N700</f>
        <v>#NAME?</v>
      </c>
      <c r="B704" s="27" t="e">
        <f ca="1">'05_PSA_1000'!K700</f>
        <v>#NAME?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3.9">
      <c r="A705" s="29" t="e">
        <f ca="1">'05_PSA_1000'!N701</f>
        <v>#NAME?</v>
      </c>
      <c r="B705" s="27" t="e">
        <f ca="1">'05_PSA_1000'!K701</f>
        <v>#NAME?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3.9">
      <c r="A706" s="29" t="e">
        <f ca="1">'05_PSA_1000'!N702</f>
        <v>#NAME?</v>
      </c>
      <c r="B706" s="27" t="e">
        <f ca="1">'05_PSA_1000'!K702</f>
        <v>#NAME?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3.9">
      <c r="A707" s="29" t="e">
        <f ca="1">'05_PSA_1000'!N703</f>
        <v>#NAME?</v>
      </c>
      <c r="B707" s="27" t="e">
        <f ca="1">'05_PSA_1000'!K703</f>
        <v>#NAME?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3.9">
      <c r="A708" s="29" t="e">
        <f ca="1">'05_PSA_1000'!N704</f>
        <v>#NAME?</v>
      </c>
      <c r="B708" s="27" t="e">
        <f ca="1">'05_PSA_1000'!K704</f>
        <v>#NAME?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3.9">
      <c r="A709" s="29" t="e">
        <f ca="1">'05_PSA_1000'!N705</f>
        <v>#NAME?</v>
      </c>
      <c r="B709" s="27" t="e">
        <f ca="1">'05_PSA_1000'!K705</f>
        <v>#NAME?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3.9">
      <c r="A710" s="29" t="e">
        <f ca="1">'05_PSA_1000'!N706</f>
        <v>#NAME?</v>
      </c>
      <c r="B710" s="27" t="e">
        <f ca="1">'05_PSA_1000'!K706</f>
        <v>#NAME?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3.9">
      <c r="A711" s="29" t="e">
        <f ca="1">'05_PSA_1000'!N707</f>
        <v>#NAME?</v>
      </c>
      <c r="B711" s="27" t="e">
        <f ca="1">'05_PSA_1000'!K707</f>
        <v>#NAME?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3.9">
      <c r="A712" s="29" t="e">
        <f ca="1">'05_PSA_1000'!N708</f>
        <v>#NAME?</v>
      </c>
      <c r="B712" s="27" t="e">
        <f ca="1">'05_PSA_1000'!K708</f>
        <v>#NAME?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3.9">
      <c r="A713" s="29" t="e">
        <f ca="1">'05_PSA_1000'!N709</f>
        <v>#NAME?</v>
      </c>
      <c r="B713" s="27" t="e">
        <f ca="1">'05_PSA_1000'!K709</f>
        <v>#NAME?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3.9">
      <c r="A714" s="29" t="e">
        <f ca="1">'05_PSA_1000'!N710</f>
        <v>#NAME?</v>
      </c>
      <c r="B714" s="27" t="e">
        <f ca="1">'05_PSA_1000'!K710</f>
        <v>#NAME?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3.9">
      <c r="A715" s="29" t="e">
        <f ca="1">'05_PSA_1000'!N711</f>
        <v>#NAME?</v>
      </c>
      <c r="B715" s="27" t="e">
        <f ca="1">'05_PSA_1000'!K711</f>
        <v>#NAME?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3.9">
      <c r="A716" s="29" t="e">
        <f ca="1">'05_PSA_1000'!N712</f>
        <v>#NAME?</v>
      </c>
      <c r="B716" s="27" t="e">
        <f ca="1">'05_PSA_1000'!K712</f>
        <v>#NAME?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3.9">
      <c r="A717" s="29" t="e">
        <f ca="1">'05_PSA_1000'!N713</f>
        <v>#NAME?</v>
      </c>
      <c r="B717" s="27" t="e">
        <f ca="1">'05_PSA_1000'!K713</f>
        <v>#NAME?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3.9">
      <c r="A718" s="29" t="e">
        <f ca="1">'05_PSA_1000'!N714</f>
        <v>#NAME?</v>
      </c>
      <c r="B718" s="27" t="e">
        <f ca="1">'05_PSA_1000'!K714</f>
        <v>#NAME?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3.9">
      <c r="A719" s="29" t="e">
        <f ca="1">'05_PSA_1000'!N715</f>
        <v>#NAME?</v>
      </c>
      <c r="B719" s="27" t="e">
        <f ca="1">'05_PSA_1000'!K715</f>
        <v>#NAME?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3.9">
      <c r="A720" s="29" t="e">
        <f ca="1">'05_PSA_1000'!N716</f>
        <v>#NAME?</v>
      </c>
      <c r="B720" s="27" t="e">
        <f ca="1">'05_PSA_1000'!K716</f>
        <v>#NAME?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3.9">
      <c r="A721" s="29" t="e">
        <f ca="1">'05_PSA_1000'!N717</f>
        <v>#NAME?</v>
      </c>
      <c r="B721" s="27" t="e">
        <f ca="1">'05_PSA_1000'!K717</f>
        <v>#NAME?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3.9">
      <c r="A722" s="29" t="e">
        <f ca="1">'05_PSA_1000'!N718</f>
        <v>#NAME?</v>
      </c>
      <c r="B722" s="27" t="e">
        <f ca="1">'05_PSA_1000'!K718</f>
        <v>#NAME?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3.9">
      <c r="A723" s="29" t="e">
        <f ca="1">'05_PSA_1000'!N719</f>
        <v>#NAME?</v>
      </c>
      <c r="B723" s="27" t="e">
        <f ca="1">'05_PSA_1000'!K719</f>
        <v>#NAME?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3.9">
      <c r="A724" s="29" t="e">
        <f ca="1">'05_PSA_1000'!N720</f>
        <v>#NAME?</v>
      </c>
      <c r="B724" s="27" t="e">
        <f ca="1">'05_PSA_1000'!K720</f>
        <v>#NAME?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3.9">
      <c r="A725" s="29" t="e">
        <f ca="1">'05_PSA_1000'!N721</f>
        <v>#NAME?</v>
      </c>
      <c r="B725" s="27" t="e">
        <f ca="1">'05_PSA_1000'!K721</f>
        <v>#NAME?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3.9">
      <c r="A726" s="29" t="e">
        <f ca="1">'05_PSA_1000'!N722</f>
        <v>#NAME?</v>
      </c>
      <c r="B726" s="27" t="e">
        <f ca="1">'05_PSA_1000'!K722</f>
        <v>#NAME?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3.9">
      <c r="A727" s="29" t="e">
        <f ca="1">'05_PSA_1000'!N723</f>
        <v>#NAME?</v>
      </c>
      <c r="B727" s="27" t="e">
        <f ca="1">'05_PSA_1000'!K723</f>
        <v>#NAME?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3.9">
      <c r="A728" s="29" t="e">
        <f ca="1">'05_PSA_1000'!N724</f>
        <v>#NAME?</v>
      </c>
      <c r="B728" s="27" t="e">
        <f ca="1">'05_PSA_1000'!K724</f>
        <v>#NAME?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3.9">
      <c r="A729" s="29" t="e">
        <f ca="1">'05_PSA_1000'!N725</f>
        <v>#NAME?</v>
      </c>
      <c r="B729" s="27" t="e">
        <f ca="1">'05_PSA_1000'!K725</f>
        <v>#NAME?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3.9">
      <c r="A730" s="29" t="e">
        <f ca="1">'05_PSA_1000'!N726</f>
        <v>#NAME?</v>
      </c>
      <c r="B730" s="27" t="e">
        <f ca="1">'05_PSA_1000'!K726</f>
        <v>#NAME?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3.9">
      <c r="A731" s="29" t="e">
        <f ca="1">'05_PSA_1000'!N727</f>
        <v>#NAME?</v>
      </c>
      <c r="B731" s="27" t="e">
        <f ca="1">'05_PSA_1000'!K727</f>
        <v>#NAME?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3.9">
      <c r="A732" s="29" t="e">
        <f ca="1">'05_PSA_1000'!N728</f>
        <v>#NAME?</v>
      </c>
      <c r="B732" s="27" t="e">
        <f ca="1">'05_PSA_1000'!K728</f>
        <v>#NAME?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3.9">
      <c r="A733" s="29" t="e">
        <f ca="1">'05_PSA_1000'!N729</f>
        <v>#NAME?</v>
      </c>
      <c r="B733" s="27" t="e">
        <f ca="1">'05_PSA_1000'!K729</f>
        <v>#NAME?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3.9">
      <c r="A734" s="29" t="e">
        <f ca="1">'05_PSA_1000'!N730</f>
        <v>#NAME?</v>
      </c>
      <c r="B734" s="27" t="e">
        <f ca="1">'05_PSA_1000'!K730</f>
        <v>#NAME?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3.9">
      <c r="A735" s="29" t="e">
        <f ca="1">'05_PSA_1000'!N731</f>
        <v>#NAME?</v>
      </c>
      <c r="B735" s="27" t="e">
        <f ca="1">'05_PSA_1000'!K731</f>
        <v>#NAME?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3.9">
      <c r="A736" s="29" t="e">
        <f ca="1">'05_PSA_1000'!N732</f>
        <v>#NAME?</v>
      </c>
      <c r="B736" s="27" t="e">
        <f ca="1">'05_PSA_1000'!K732</f>
        <v>#NAME?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3.9">
      <c r="A737" s="29" t="e">
        <f ca="1">'05_PSA_1000'!N733</f>
        <v>#NAME?</v>
      </c>
      <c r="B737" s="27" t="e">
        <f ca="1">'05_PSA_1000'!K733</f>
        <v>#NAME?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3.9">
      <c r="A738" s="29" t="e">
        <f ca="1">'05_PSA_1000'!N734</f>
        <v>#NAME?</v>
      </c>
      <c r="B738" s="27" t="e">
        <f ca="1">'05_PSA_1000'!K734</f>
        <v>#NAME?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3.9">
      <c r="A739" s="29" t="e">
        <f ca="1">'05_PSA_1000'!N735</f>
        <v>#NAME?</v>
      </c>
      <c r="B739" s="27" t="e">
        <f ca="1">'05_PSA_1000'!K735</f>
        <v>#NAME?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3.9">
      <c r="A740" s="29" t="e">
        <f ca="1">'05_PSA_1000'!N736</f>
        <v>#NAME?</v>
      </c>
      <c r="B740" s="27" t="e">
        <f ca="1">'05_PSA_1000'!K736</f>
        <v>#NAME?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3.9">
      <c r="A741" s="29" t="e">
        <f ca="1">'05_PSA_1000'!N737</f>
        <v>#NAME?</v>
      </c>
      <c r="B741" s="27" t="e">
        <f ca="1">'05_PSA_1000'!K737</f>
        <v>#NAME?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3.9">
      <c r="A742" s="29" t="e">
        <f ca="1">'05_PSA_1000'!N738</f>
        <v>#NAME?</v>
      </c>
      <c r="B742" s="27" t="e">
        <f ca="1">'05_PSA_1000'!K738</f>
        <v>#NAME?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3.9">
      <c r="A743" s="29" t="e">
        <f ca="1">'05_PSA_1000'!N739</f>
        <v>#NAME?</v>
      </c>
      <c r="B743" s="27" t="e">
        <f ca="1">'05_PSA_1000'!K739</f>
        <v>#NAME?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3.9">
      <c r="A744" s="29" t="e">
        <f ca="1">'05_PSA_1000'!N740</f>
        <v>#NAME?</v>
      </c>
      <c r="B744" s="27" t="e">
        <f ca="1">'05_PSA_1000'!K740</f>
        <v>#NAME?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3.9">
      <c r="A745" s="29" t="e">
        <f ca="1">'05_PSA_1000'!N741</f>
        <v>#NAME?</v>
      </c>
      <c r="B745" s="27" t="e">
        <f ca="1">'05_PSA_1000'!K741</f>
        <v>#NAME?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3.9">
      <c r="A746" s="29" t="e">
        <f ca="1">'05_PSA_1000'!N742</f>
        <v>#NAME?</v>
      </c>
      <c r="B746" s="27" t="e">
        <f ca="1">'05_PSA_1000'!K742</f>
        <v>#NAME?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3.9">
      <c r="A747" s="29" t="e">
        <f ca="1">'05_PSA_1000'!N743</f>
        <v>#NAME?</v>
      </c>
      <c r="B747" s="27" t="e">
        <f ca="1">'05_PSA_1000'!K743</f>
        <v>#NAME?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3.9">
      <c r="A748" s="29" t="e">
        <f ca="1">'05_PSA_1000'!N744</f>
        <v>#NAME?</v>
      </c>
      <c r="B748" s="27" t="e">
        <f ca="1">'05_PSA_1000'!K744</f>
        <v>#NAME?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3.9">
      <c r="A749" s="29" t="e">
        <f ca="1">'05_PSA_1000'!N745</f>
        <v>#NAME?</v>
      </c>
      <c r="B749" s="27" t="e">
        <f ca="1">'05_PSA_1000'!K745</f>
        <v>#NAME?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3.9">
      <c r="A750" s="29" t="e">
        <f ca="1">'05_PSA_1000'!N746</f>
        <v>#NAME?</v>
      </c>
      <c r="B750" s="27" t="e">
        <f ca="1">'05_PSA_1000'!K746</f>
        <v>#NAME?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3.9">
      <c r="A751" s="29" t="e">
        <f ca="1">'05_PSA_1000'!N747</f>
        <v>#NAME?</v>
      </c>
      <c r="B751" s="27" t="e">
        <f ca="1">'05_PSA_1000'!K747</f>
        <v>#NAME?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3.9">
      <c r="A752" s="29" t="e">
        <f ca="1">'05_PSA_1000'!N748</f>
        <v>#NAME?</v>
      </c>
      <c r="B752" s="27" t="e">
        <f ca="1">'05_PSA_1000'!K748</f>
        <v>#NAME?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3.9">
      <c r="A753" s="29" t="e">
        <f ca="1">'05_PSA_1000'!N749</f>
        <v>#NAME?</v>
      </c>
      <c r="B753" s="27" t="e">
        <f ca="1">'05_PSA_1000'!K749</f>
        <v>#NAME?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3.9">
      <c r="A754" s="29" t="e">
        <f ca="1">'05_PSA_1000'!N750</f>
        <v>#NAME?</v>
      </c>
      <c r="B754" s="27" t="e">
        <f ca="1">'05_PSA_1000'!K750</f>
        <v>#NAME?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3.9">
      <c r="A755" s="29" t="e">
        <f ca="1">'05_PSA_1000'!N751</f>
        <v>#NAME?</v>
      </c>
      <c r="B755" s="27" t="e">
        <f ca="1">'05_PSA_1000'!K751</f>
        <v>#NAME?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3.9">
      <c r="A756" s="29" t="e">
        <f ca="1">'05_PSA_1000'!N752</f>
        <v>#NAME?</v>
      </c>
      <c r="B756" s="27" t="e">
        <f ca="1">'05_PSA_1000'!K752</f>
        <v>#NAME?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3.9">
      <c r="A757" s="29" t="e">
        <f ca="1">'05_PSA_1000'!N753</f>
        <v>#NAME?</v>
      </c>
      <c r="B757" s="27" t="e">
        <f ca="1">'05_PSA_1000'!K753</f>
        <v>#NAME?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3.9">
      <c r="A758" s="29" t="e">
        <f ca="1">'05_PSA_1000'!N754</f>
        <v>#NAME?</v>
      </c>
      <c r="B758" s="27" t="e">
        <f ca="1">'05_PSA_1000'!K754</f>
        <v>#NAME?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3.9">
      <c r="A759" s="29" t="e">
        <f ca="1">'05_PSA_1000'!N755</f>
        <v>#NAME?</v>
      </c>
      <c r="B759" s="27" t="e">
        <f ca="1">'05_PSA_1000'!K755</f>
        <v>#NAME?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3.9">
      <c r="A760" s="29" t="e">
        <f ca="1">'05_PSA_1000'!N756</f>
        <v>#NAME?</v>
      </c>
      <c r="B760" s="27" t="e">
        <f ca="1">'05_PSA_1000'!K756</f>
        <v>#NAME?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3.9">
      <c r="A761" s="29" t="e">
        <f ca="1">'05_PSA_1000'!N757</f>
        <v>#NAME?</v>
      </c>
      <c r="B761" s="27" t="e">
        <f ca="1">'05_PSA_1000'!K757</f>
        <v>#NAME?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3.9">
      <c r="A762" s="29" t="e">
        <f ca="1">'05_PSA_1000'!N758</f>
        <v>#NAME?</v>
      </c>
      <c r="B762" s="27" t="e">
        <f ca="1">'05_PSA_1000'!K758</f>
        <v>#NAME?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3.9">
      <c r="A763" s="29" t="e">
        <f ca="1">'05_PSA_1000'!N759</f>
        <v>#NAME?</v>
      </c>
      <c r="B763" s="27" t="e">
        <f ca="1">'05_PSA_1000'!K759</f>
        <v>#NAME?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3.9">
      <c r="A764" s="29" t="e">
        <f ca="1">'05_PSA_1000'!N760</f>
        <v>#NAME?</v>
      </c>
      <c r="B764" s="27" t="e">
        <f ca="1">'05_PSA_1000'!K760</f>
        <v>#NAME?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3.9">
      <c r="A765" s="29" t="e">
        <f ca="1">'05_PSA_1000'!N761</f>
        <v>#NAME?</v>
      </c>
      <c r="B765" s="27" t="e">
        <f ca="1">'05_PSA_1000'!K761</f>
        <v>#NAME?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3.9">
      <c r="A766" s="29" t="e">
        <f ca="1">'05_PSA_1000'!N762</f>
        <v>#NAME?</v>
      </c>
      <c r="B766" s="27" t="e">
        <f ca="1">'05_PSA_1000'!K762</f>
        <v>#NAME?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3.9">
      <c r="A767" s="29" t="e">
        <f ca="1">'05_PSA_1000'!N763</f>
        <v>#NAME?</v>
      </c>
      <c r="B767" s="27" t="e">
        <f ca="1">'05_PSA_1000'!K763</f>
        <v>#NAME?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3.9">
      <c r="A768" s="29" t="e">
        <f ca="1">'05_PSA_1000'!N764</f>
        <v>#NAME?</v>
      </c>
      <c r="B768" s="27" t="e">
        <f ca="1">'05_PSA_1000'!K764</f>
        <v>#NAME?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3.9">
      <c r="A769" s="29" t="e">
        <f ca="1">'05_PSA_1000'!N765</f>
        <v>#NAME?</v>
      </c>
      <c r="B769" s="27" t="e">
        <f ca="1">'05_PSA_1000'!K765</f>
        <v>#NAME?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3.9">
      <c r="A770" s="29" t="e">
        <f ca="1">'05_PSA_1000'!N766</f>
        <v>#NAME?</v>
      </c>
      <c r="B770" s="27" t="e">
        <f ca="1">'05_PSA_1000'!K766</f>
        <v>#NAME?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3.9">
      <c r="A771" s="29" t="e">
        <f ca="1">'05_PSA_1000'!N767</f>
        <v>#NAME?</v>
      </c>
      <c r="B771" s="27" t="e">
        <f ca="1">'05_PSA_1000'!K767</f>
        <v>#NAME?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3.9">
      <c r="A772" s="29" t="e">
        <f ca="1">'05_PSA_1000'!N768</f>
        <v>#NAME?</v>
      </c>
      <c r="B772" s="27" t="e">
        <f ca="1">'05_PSA_1000'!K768</f>
        <v>#NAME?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3.9">
      <c r="A773" s="29" t="e">
        <f ca="1">'05_PSA_1000'!N769</f>
        <v>#NAME?</v>
      </c>
      <c r="B773" s="27" t="e">
        <f ca="1">'05_PSA_1000'!K769</f>
        <v>#NAME?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3.9">
      <c r="A774" s="29" t="e">
        <f ca="1">'05_PSA_1000'!N770</f>
        <v>#NAME?</v>
      </c>
      <c r="B774" s="27" t="e">
        <f ca="1">'05_PSA_1000'!K770</f>
        <v>#NAME?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3.9">
      <c r="A775" s="29" t="e">
        <f ca="1">'05_PSA_1000'!N771</f>
        <v>#NAME?</v>
      </c>
      <c r="B775" s="27" t="e">
        <f ca="1">'05_PSA_1000'!K771</f>
        <v>#NAME?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3.9">
      <c r="A776" s="29" t="e">
        <f ca="1">'05_PSA_1000'!N772</f>
        <v>#NAME?</v>
      </c>
      <c r="B776" s="27" t="e">
        <f ca="1">'05_PSA_1000'!K772</f>
        <v>#NAME?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3.9">
      <c r="A777" s="29" t="e">
        <f ca="1">'05_PSA_1000'!N773</f>
        <v>#NAME?</v>
      </c>
      <c r="B777" s="27" t="e">
        <f ca="1">'05_PSA_1000'!K773</f>
        <v>#NAME?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3.9">
      <c r="A778" s="29" t="e">
        <f ca="1">'05_PSA_1000'!N774</f>
        <v>#NAME?</v>
      </c>
      <c r="B778" s="27" t="e">
        <f ca="1">'05_PSA_1000'!K774</f>
        <v>#NAME?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3.9">
      <c r="A779" s="29" t="e">
        <f ca="1">'05_PSA_1000'!N775</f>
        <v>#NAME?</v>
      </c>
      <c r="B779" s="27" t="e">
        <f ca="1">'05_PSA_1000'!K775</f>
        <v>#NAME?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3.9">
      <c r="A780" s="29" t="e">
        <f ca="1">'05_PSA_1000'!N776</f>
        <v>#NAME?</v>
      </c>
      <c r="B780" s="27" t="e">
        <f ca="1">'05_PSA_1000'!K776</f>
        <v>#NAME?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3.9">
      <c r="A781" s="29" t="e">
        <f ca="1">'05_PSA_1000'!N777</f>
        <v>#NAME?</v>
      </c>
      <c r="B781" s="27" t="e">
        <f ca="1">'05_PSA_1000'!K777</f>
        <v>#NAME?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3.9">
      <c r="A782" s="29" t="e">
        <f ca="1">'05_PSA_1000'!N778</f>
        <v>#NAME?</v>
      </c>
      <c r="B782" s="27" t="e">
        <f ca="1">'05_PSA_1000'!K778</f>
        <v>#NAME?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3.9">
      <c r="A783" s="29" t="e">
        <f ca="1">'05_PSA_1000'!N779</f>
        <v>#NAME?</v>
      </c>
      <c r="B783" s="27" t="e">
        <f ca="1">'05_PSA_1000'!K779</f>
        <v>#NAME?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3.9">
      <c r="A784" s="29" t="e">
        <f ca="1">'05_PSA_1000'!N780</f>
        <v>#NAME?</v>
      </c>
      <c r="B784" s="27" t="e">
        <f ca="1">'05_PSA_1000'!K780</f>
        <v>#NAME?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3.9">
      <c r="A785" s="29" t="e">
        <f ca="1">'05_PSA_1000'!N781</f>
        <v>#NAME?</v>
      </c>
      <c r="B785" s="27" t="e">
        <f ca="1">'05_PSA_1000'!K781</f>
        <v>#NAME?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3.9">
      <c r="A786" s="29" t="e">
        <f ca="1">'05_PSA_1000'!N782</f>
        <v>#NAME?</v>
      </c>
      <c r="B786" s="27" t="e">
        <f ca="1">'05_PSA_1000'!K782</f>
        <v>#NAME?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3.9">
      <c r="A787" s="29" t="e">
        <f ca="1">'05_PSA_1000'!N783</f>
        <v>#NAME?</v>
      </c>
      <c r="B787" s="27" t="e">
        <f ca="1">'05_PSA_1000'!K783</f>
        <v>#NAME?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3.9">
      <c r="A788" s="29" t="e">
        <f ca="1">'05_PSA_1000'!N784</f>
        <v>#NAME?</v>
      </c>
      <c r="B788" s="27" t="e">
        <f ca="1">'05_PSA_1000'!K784</f>
        <v>#NAME?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3.9">
      <c r="A789" s="29" t="e">
        <f ca="1">'05_PSA_1000'!N785</f>
        <v>#NAME?</v>
      </c>
      <c r="B789" s="27" t="e">
        <f ca="1">'05_PSA_1000'!K785</f>
        <v>#NAME?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3.9">
      <c r="A790" s="29" t="e">
        <f ca="1">'05_PSA_1000'!N786</f>
        <v>#NAME?</v>
      </c>
      <c r="B790" s="27" t="e">
        <f ca="1">'05_PSA_1000'!K786</f>
        <v>#NAME?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3.9">
      <c r="A791" s="29" t="e">
        <f ca="1">'05_PSA_1000'!N787</f>
        <v>#NAME?</v>
      </c>
      <c r="B791" s="27" t="e">
        <f ca="1">'05_PSA_1000'!K787</f>
        <v>#NAME?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3.9">
      <c r="A792" s="29" t="e">
        <f ca="1">'05_PSA_1000'!N788</f>
        <v>#NAME?</v>
      </c>
      <c r="B792" s="27" t="e">
        <f ca="1">'05_PSA_1000'!K788</f>
        <v>#NAME?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3.9">
      <c r="A793" s="29" t="e">
        <f ca="1">'05_PSA_1000'!N789</f>
        <v>#NAME?</v>
      </c>
      <c r="B793" s="27" t="e">
        <f ca="1">'05_PSA_1000'!K789</f>
        <v>#NAME?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3.9">
      <c r="A794" s="29" t="e">
        <f ca="1">'05_PSA_1000'!N790</f>
        <v>#NAME?</v>
      </c>
      <c r="B794" s="27" t="e">
        <f ca="1">'05_PSA_1000'!K790</f>
        <v>#NAME?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3.9">
      <c r="A795" s="29" t="e">
        <f ca="1">'05_PSA_1000'!N791</f>
        <v>#NAME?</v>
      </c>
      <c r="B795" s="27" t="e">
        <f ca="1">'05_PSA_1000'!K791</f>
        <v>#NAME?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3.9">
      <c r="A796" s="29" t="e">
        <f ca="1">'05_PSA_1000'!N792</f>
        <v>#NAME?</v>
      </c>
      <c r="B796" s="27" t="e">
        <f ca="1">'05_PSA_1000'!K792</f>
        <v>#NAME?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3.9">
      <c r="A797" s="29" t="e">
        <f ca="1">'05_PSA_1000'!N793</f>
        <v>#NAME?</v>
      </c>
      <c r="B797" s="27" t="e">
        <f ca="1">'05_PSA_1000'!K793</f>
        <v>#NAME?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3.9">
      <c r="A798" s="29" t="e">
        <f ca="1">'05_PSA_1000'!N794</f>
        <v>#NAME?</v>
      </c>
      <c r="B798" s="27" t="e">
        <f ca="1">'05_PSA_1000'!K794</f>
        <v>#NAME?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3.9">
      <c r="A799" s="29" t="e">
        <f ca="1">'05_PSA_1000'!N795</f>
        <v>#NAME?</v>
      </c>
      <c r="B799" s="27" t="e">
        <f ca="1">'05_PSA_1000'!K795</f>
        <v>#NAME?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3.9">
      <c r="A800" s="29" t="e">
        <f ca="1">'05_PSA_1000'!N796</f>
        <v>#NAME?</v>
      </c>
      <c r="B800" s="27" t="e">
        <f ca="1">'05_PSA_1000'!K796</f>
        <v>#NAME?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3.9">
      <c r="A801" s="29" t="e">
        <f ca="1">'05_PSA_1000'!N797</f>
        <v>#NAME?</v>
      </c>
      <c r="B801" s="27" t="e">
        <f ca="1">'05_PSA_1000'!K797</f>
        <v>#NAME?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3.9">
      <c r="A802" s="29" t="e">
        <f ca="1">'05_PSA_1000'!N798</f>
        <v>#NAME?</v>
      </c>
      <c r="B802" s="27" t="e">
        <f ca="1">'05_PSA_1000'!K798</f>
        <v>#NAME?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3.9">
      <c r="A803" s="29" t="e">
        <f ca="1">'05_PSA_1000'!N799</f>
        <v>#NAME?</v>
      </c>
      <c r="B803" s="27" t="e">
        <f ca="1">'05_PSA_1000'!K799</f>
        <v>#NAME?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3.9">
      <c r="A804" s="29" t="e">
        <f ca="1">'05_PSA_1000'!N800</f>
        <v>#NAME?</v>
      </c>
      <c r="B804" s="27" t="e">
        <f ca="1">'05_PSA_1000'!K800</f>
        <v>#NAME?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3.9">
      <c r="A805" s="29" t="e">
        <f ca="1">'05_PSA_1000'!N801</f>
        <v>#NAME?</v>
      </c>
      <c r="B805" s="27" t="e">
        <f ca="1">'05_PSA_1000'!K801</f>
        <v>#NAME?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3.9">
      <c r="A806" s="29" t="e">
        <f ca="1">'05_PSA_1000'!N802</f>
        <v>#NAME?</v>
      </c>
      <c r="B806" s="27" t="e">
        <f ca="1">'05_PSA_1000'!K802</f>
        <v>#NAME?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3.9">
      <c r="A807" s="29" t="e">
        <f ca="1">'05_PSA_1000'!N803</f>
        <v>#NAME?</v>
      </c>
      <c r="B807" s="27" t="e">
        <f ca="1">'05_PSA_1000'!K803</f>
        <v>#NAME?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3.9">
      <c r="A808" s="29" t="e">
        <f ca="1">'05_PSA_1000'!N804</f>
        <v>#NAME?</v>
      </c>
      <c r="B808" s="27" t="e">
        <f ca="1">'05_PSA_1000'!K804</f>
        <v>#NAME?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3.9">
      <c r="A809" s="29" t="e">
        <f ca="1">'05_PSA_1000'!N805</f>
        <v>#NAME?</v>
      </c>
      <c r="B809" s="27" t="e">
        <f ca="1">'05_PSA_1000'!K805</f>
        <v>#NAME?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3.9">
      <c r="A810" s="29" t="e">
        <f ca="1">'05_PSA_1000'!N806</f>
        <v>#NAME?</v>
      </c>
      <c r="B810" s="27" t="e">
        <f ca="1">'05_PSA_1000'!K806</f>
        <v>#NAME?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3.9">
      <c r="A811" s="29" t="e">
        <f ca="1">'05_PSA_1000'!N807</f>
        <v>#NAME?</v>
      </c>
      <c r="B811" s="27" t="e">
        <f ca="1">'05_PSA_1000'!K807</f>
        <v>#NAME?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3.9">
      <c r="A812" s="29" t="e">
        <f ca="1">'05_PSA_1000'!N808</f>
        <v>#NAME?</v>
      </c>
      <c r="B812" s="27" t="e">
        <f ca="1">'05_PSA_1000'!K808</f>
        <v>#NAME?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3.9">
      <c r="A813" s="29" t="e">
        <f ca="1">'05_PSA_1000'!N809</f>
        <v>#NAME?</v>
      </c>
      <c r="B813" s="27" t="e">
        <f ca="1">'05_PSA_1000'!K809</f>
        <v>#NAME?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3.9">
      <c r="A814" s="29" t="e">
        <f ca="1">'05_PSA_1000'!N810</f>
        <v>#NAME?</v>
      </c>
      <c r="B814" s="27" t="e">
        <f ca="1">'05_PSA_1000'!K810</f>
        <v>#NAME?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3.9">
      <c r="A815" s="29" t="e">
        <f ca="1">'05_PSA_1000'!N811</f>
        <v>#NAME?</v>
      </c>
      <c r="B815" s="27" t="e">
        <f ca="1">'05_PSA_1000'!K811</f>
        <v>#NAME?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3.9">
      <c r="A816" s="29" t="e">
        <f ca="1">'05_PSA_1000'!N812</f>
        <v>#NAME?</v>
      </c>
      <c r="B816" s="27" t="e">
        <f ca="1">'05_PSA_1000'!K812</f>
        <v>#NAME?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3.9">
      <c r="A817" s="29" t="e">
        <f ca="1">'05_PSA_1000'!N813</f>
        <v>#NAME?</v>
      </c>
      <c r="B817" s="27" t="e">
        <f ca="1">'05_PSA_1000'!K813</f>
        <v>#NAME?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3.9">
      <c r="A818" s="29" t="e">
        <f ca="1">'05_PSA_1000'!N814</f>
        <v>#NAME?</v>
      </c>
      <c r="B818" s="27" t="e">
        <f ca="1">'05_PSA_1000'!K814</f>
        <v>#NAME?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3.9">
      <c r="A819" s="29" t="e">
        <f ca="1">'05_PSA_1000'!N815</f>
        <v>#NAME?</v>
      </c>
      <c r="B819" s="27" t="e">
        <f ca="1">'05_PSA_1000'!K815</f>
        <v>#NAME?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3.9">
      <c r="A820" s="29" t="e">
        <f ca="1">'05_PSA_1000'!N816</f>
        <v>#NAME?</v>
      </c>
      <c r="B820" s="27" t="e">
        <f ca="1">'05_PSA_1000'!K816</f>
        <v>#NAME?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3.9">
      <c r="A821" s="29" t="e">
        <f ca="1">'05_PSA_1000'!N817</f>
        <v>#NAME?</v>
      </c>
      <c r="B821" s="27" t="e">
        <f ca="1">'05_PSA_1000'!K817</f>
        <v>#NAME?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3.9">
      <c r="A822" s="29" t="e">
        <f ca="1">'05_PSA_1000'!N818</f>
        <v>#NAME?</v>
      </c>
      <c r="B822" s="27" t="e">
        <f ca="1">'05_PSA_1000'!K818</f>
        <v>#NAME?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3.9">
      <c r="A823" s="29" t="e">
        <f ca="1">'05_PSA_1000'!N819</f>
        <v>#NAME?</v>
      </c>
      <c r="B823" s="27" t="e">
        <f ca="1">'05_PSA_1000'!K819</f>
        <v>#NAME?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3.9">
      <c r="A824" s="29" t="e">
        <f ca="1">'05_PSA_1000'!N820</f>
        <v>#NAME?</v>
      </c>
      <c r="B824" s="27" t="e">
        <f ca="1">'05_PSA_1000'!K820</f>
        <v>#NAME?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3.9">
      <c r="A825" s="29" t="e">
        <f ca="1">'05_PSA_1000'!N821</f>
        <v>#NAME?</v>
      </c>
      <c r="B825" s="27" t="e">
        <f ca="1">'05_PSA_1000'!K821</f>
        <v>#NAME?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3.9">
      <c r="A826" s="29" t="e">
        <f ca="1">'05_PSA_1000'!N822</f>
        <v>#NAME?</v>
      </c>
      <c r="B826" s="27" t="e">
        <f ca="1">'05_PSA_1000'!K822</f>
        <v>#NAME?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3.9">
      <c r="A827" s="29" t="e">
        <f ca="1">'05_PSA_1000'!N823</f>
        <v>#NAME?</v>
      </c>
      <c r="B827" s="27" t="e">
        <f ca="1">'05_PSA_1000'!K823</f>
        <v>#NAME?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3.9">
      <c r="A828" s="29" t="e">
        <f ca="1">'05_PSA_1000'!N824</f>
        <v>#NAME?</v>
      </c>
      <c r="B828" s="27" t="e">
        <f ca="1">'05_PSA_1000'!K824</f>
        <v>#NAME?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3.9">
      <c r="A829" s="29" t="e">
        <f ca="1">'05_PSA_1000'!N825</f>
        <v>#NAME?</v>
      </c>
      <c r="B829" s="27" t="e">
        <f ca="1">'05_PSA_1000'!K825</f>
        <v>#NAME?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3.9">
      <c r="A830" s="29" t="e">
        <f ca="1">'05_PSA_1000'!N826</f>
        <v>#NAME?</v>
      </c>
      <c r="B830" s="27" t="e">
        <f ca="1">'05_PSA_1000'!K826</f>
        <v>#NAME?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3.9">
      <c r="A831" s="29" t="e">
        <f ca="1">'05_PSA_1000'!N827</f>
        <v>#NAME?</v>
      </c>
      <c r="B831" s="27" t="e">
        <f ca="1">'05_PSA_1000'!K827</f>
        <v>#NAME?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3.9">
      <c r="A832" s="29" t="e">
        <f ca="1">'05_PSA_1000'!N828</f>
        <v>#NAME?</v>
      </c>
      <c r="B832" s="27" t="e">
        <f ca="1">'05_PSA_1000'!K828</f>
        <v>#NAME?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3.9">
      <c r="A833" s="29" t="e">
        <f ca="1">'05_PSA_1000'!N829</f>
        <v>#NAME?</v>
      </c>
      <c r="B833" s="27" t="e">
        <f ca="1">'05_PSA_1000'!K829</f>
        <v>#NAME?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3.9">
      <c r="A834" s="29" t="e">
        <f ca="1">'05_PSA_1000'!N830</f>
        <v>#NAME?</v>
      </c>
      <c r="B834" s="27" t="e">
        <f ca="1">'05_PSA_1000'!K830</f>
        <v>#NAME?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3.9">
      <c r="A835" s="29" t="e">
        <f ca="1">'05_PSA_1000'!N831</f>
        <v>#NAME?</v>
      </c>
      <c r="B835" s="27" t="e">
        <f ca="1">'05_PSA_1000'!K831</f>
        <v>#NAME?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3.9">
      <c r="A836" s="29" t="e">
        <f ca="1">'05_PSA_1000'!N832</f>
        <v>#NAME?</v>
      </c>
      <c r="B836" s="27" t="e">
        <f ca="1">'05_PSA_1000'!K832</f>
        <v>#NAME?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3.9">
      <c r="A837" s="29" t="e">
        <f ca="1">'05_PSA_1000'!N833</f>
        <v>#NAME?</v>
      </c>
      <c r="B837" s="27" t="e">
        <f ca="1">'05_PSA_1000'!K833</f>
        <v>#NAME?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3.9">
      <c r="A838" s="29" t="e">
        <f ca="1">'05_PSA_1000'!N834</f>
        <v>#NAME?</v>
      </c>
      <c r="B838" s="27" t="e">
        <f ca="1">'05_PSA_1000'!K834</f>
        <v>#NAME?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3.9">
      <c r="A839" s="29" t="e">
        <f ca="1">'05_PSA_1000'!N835</f>
        <v>#NAME?</v>
      </c>
      <c r="B839" s="27" t="e">
        <f ca="1">'05_PSA_1000'!K835</f>
        <v>#NAME?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3.9">
      <c r="A840" s="29" t="e">
        <f ca="1">'05_PSA_1000'!N836</f>
        <v>#NAME?</v>
      </c>
      <c r="B840" s="27" t="e">
        <f ca="1">'05_PSA_1000'!K836</f>
        <v>#NAME?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3.9">
      <c r="A841" s="29" t="e">
        <f ca="1">'05_PSA_1000'!N837</f>
        <v>#NAME?</v>
      </c>
      <c r="B841" s="27" t="e">
        <f ca="1">'05_PSA_1000'!K837</f>
        <v>#NAME?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3.9">
      <c r="A842" s="29" t="e">
        <f ca="1">'05_PSA_1000'!N838</f>
        <v>#NAME?</v>
      </c>
      <c r="B842" s="27" t="e">
        <f ca="1">'05_PSA_1000'!K838</f>
        <v>#NAME?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3.9">
      <c r="A843" s="29" t="e">
        <f ca="1">'05_PSA_1000'!N839</f>
        <v>#NAME?</v>
      </c>
      <c r="B843" s="27" t="e">
        <f ca="1">'05_PSA_1000'!K839</f>
        <v>#NAME?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3.9">
      <c r="A844" s="29" t="e">
        <f ca="1">'05_PSA_1000'!N840</f>
        <v>#NAME?</v>
      </c>
      <c r="B844" s="27" t="e">
        <f ca="1">'05_PSA_1000'!K840</f>
        <v>#NAME?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3.9">
      <c r="A845" s="29" t="e">
        <f ca="1">'05_PSA_1000'!N841</f>
        <v>#NAME?</v>
      </c>
      <c r="B845" s="27" t="e">
        <f ca="1">'05_PSA_1000'!K841</f>
        <v>#NAME?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3.9">
      <c r="A846" s="29" t="e">
        <f ca="1">'05_PSA_1000'!N842</f>
        <v>#NAME?</v>
      </c>
      <c r="B846" s="27" t="e">
        <f ca="1">'05_PSA_1000'!K842</f>
        <v>#NAME?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3.9">
      <c r="A847" s="29" t="e">
        <f ca="1">'05_PSA_1000'!N843</f>
        <v>#NAME?</v>
      </c>
      <c r="B847" s="27" t="e">
        <f ca="1">'05_PSA_1000'!K843</f>
        <v>#NAME?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3.9">
      <c r="A848" s="29" t="e">
        <f ca="1">'05_PSA_1000'!N844</f>
        <v>#NAME?</v>
      </c>
      <c r="B848" s="27" t="e">
        <f ca="1">'05_PSA_1000'!K844</f>
        <v>#NAME?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3.9">
      <c r="A849" s="29" t="e">
        <f ca="1">'05_PSA_1000'!N845</f>
        <v>#NAME?</v>
      </c>
      <c r="B849" s="27" t="e">
        <f ca="1">'05_PSA_1000'!K845</f>
        <v>#NAME?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3.9">
      <c r="A850" s="29" t="e">
        <f ca="1">'05_PSA_1000'!N846</f>
        <v>#NAME?</v>
      </c>
      <c r="B850" s="27" t="e">
        <f ca="1">'05_PSA_1000'!K846</f>
        <v>#NAME?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3.9">
      <c r="A851" s="29" t="e">
        <f ca="1">'05_PSA_1000'!N847</f>
        <v>#NAME?</v>
      </c>
      <c r="B851" s="27" t="e">
        <f ca="1">'05_PSA_1000'!K847</f>
        <v>#NAME?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3.9">
      <c r="A852" s="29" t="e">
        <f ca="1">'05_PSA_1000'!N848</f>
        <v>#NAME?</v>
      </c>
      <c r="B852" s="27" t="e">
        <f ca="1">'05_PSA_1000'!K848</f>
        <v>#NAME?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3.9">
      <c r="A853" s="29" t="e">
        <f ca="1">'05_PSA_1000'!N849</f>
        <v>#NAME?</v>
      </c>
      <c r="B853" s="27" t="e">
        <f ca="1">'05_PSA_1000'!K849</f>
        <v>#NAME?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3.9">
      <c r="A854" s="29" t="e">
        <f ca="1">'05_PSA_1000'!N850</f>
        <v>#NAME?</v>
      </c>
      <c r="B854" s="27" t="e">
        <f ca="1">'05_PSA_1000'!K850</f>
        <v>#NAME?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3.9">
      <c r="A855" s="29" t="e">
        <f ca="1">'05_PSA_1000'!N851</f>
        <v>#NAME?</v>
      </c>
      <c r="B855" s="27" t="e">
        <f ca="1">'05_PSA_1000'!K851</f>
        <v>#NAME?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3.9">
      <c r="A856" s="29" t="e">
        <f ca="1">'05_PSA_1000'!N852</f>
        <v>#NAME?</v>
      </c>
      <c r="B856" s="27" t="e">
        <f ca="1">'05_PSA_1000'!K852</f>
        <v>#NAME?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3.9">
      <c r="A857" s="29" t="e">
        <f ca="1">'05_PSA_1000'!N853</f>
        <v>#NAME?</v>
      </c>
      <c r="B857" s="27" t="e">
        <f ca="1">'05_PSA_1000'!K853</f>
        <v>#NAME?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3.9">
      <c r="A858" s="29" t="e">
        <f ca="1">'05_PSA_1000'!N854</f>
        <v>#NAME?</v>
      </c>
      <c r="B858" s="27" t="e">
        <f ca="1">'05_PSA_1000'!K854</f>
        <v>#NAME?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3.9">
      <c r="A859" s="29" t="e">
        <f ca="1">'05_PSA_1000'!N855</f>
        <v>#NAME?</v>
      </c>
      <c r="B859" s="27" t="e">
        <f ca="1">'05_PSA_1000'!K855</f>
        <v>#NAME?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3.9">
      <c r="A860" s="29" t="e">
        <f ca="1">'05_PSA_1000'!N856</f>
        <v>#NAME?</v>
      </c>
      <c r="B860" s="27" t="e">
        <f ca="1">'05_PSA_1000'!K856</f>
        <v>#NAME?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3.9">
      <c r="A861" s="29" t="e">
        <f ca="1">'05_PSA_1000'!N857</f>
        <v>#NAME?</v>
      </c>
      <c r="B861" s="27" t="e">
        <f ca="1">'05_PSA_1000'!K857</f>
        <v>#NAME?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3.9">
      <c r="A862" s="29" t="e">
        <f ca="1">'05_PSA_1000'!N858</f>
        <v>#NAME?</v>
      </c>
      <c r="B862" s="27" t="e">
        <f ca="1">'05_PSA_1000'!K858</f>
        <v>#NAME?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3.9">
      <c r="A863" s="29" t="e">
        <f ca="1">'05_PSA_1000'!N859</f>
        <v>#NAME?</v>
      </c>
      <c r="B863" s="27" t="e">
        <f ca="1">'05_PSA_1000'!K859</f>
        <v>#NAME?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3.9">
      <c r="A864" s="29" t="e">
        <f ca="1">'05_PSA_1000'!N860</f>
        <v>#NAME?</v>
      </c>
      <c r="B864" s="27" t="e">
        <f ca="1">'05_PSA_1000'!K860</f>
        <v>#NAME?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3.9">
      <c r="A865" s="29" t="e">
        <f ca="1">'05_PSA_1000'!N861</f>
        <v>#NAME?</v>
      </c>
      <c r="B865" s="27" t="e">
        <f ca="1">'05_PSA_1000'!K861</f>
        <v>#NAME?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3.9">
      <c r="A866" s="29" t="e">
        <f ca="1">'05_PSA_1000'!N862</f>
        <v>#NAME?</v>
      </c>
      <c r="B866" s="27" t="e">
        <f ca="1">'05_PSA_1000'!K862</f>
        <v>#NAME?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3.9">
      <c r="A867" s="29" t="e">
        <f ca="1">'05_PSA_1000'!N863</f>
        <v>#NAME?</v>
      </c>
      <c r="B867" s="27" t="e">
        <f ca="1">'05_PSA_1000'!K863</f>
        <v>#NAME?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3.9">
      <c r="A868" s="29" t="e">
        <f ca="1">'05_PSA_1000'!N864</f>
        <v>#NAME?</v>
      </c>
      <c r="B868" s="27" t="e">
        <f ca="1">'05_PSA_1000'!K864</f>
        <v>#NAME?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3.9">
      <c r="A869" s="29" t="e">
        <f ca="1">'05_PSA_1000'!N865</f>
        <v>#NAME?</v>
      </c>
      <c r="B869" s="27" t="e">
        <f ca="1">'05_PSA_1000'!K865</f>
        <v>#NAME?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3.9">
      <c r="A870" s="29" t="e">
        <f ca="1">'05_PSA_1000'!N866</f>
        <v>#NAME?</v>
      </c>
      <c r="B870" s="27" t="e">
        <f ca="1">'05_PSA_1000'!K866</f>
        <v>#NAME?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3.9">
      <c r="A871" s="29" t="e">
        <f ca="1">'05_PSA_1000'!N867</f>
        <v>#NAME?</v>
      </c>
      <c r="B871" s="27" t="e">
        <f ca="1">'05_PSA_1000'!K867</f>
        <v>#NAME?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3.9">
      <c r="A872" s="29" t="e">
        <f ca="1">'05_PSA_1000'!N868</f>
        <v>#NAME?</v>
      </c>
      <c r="B872" s="27" t="e">
        <f ca="1">'05_PSA_1000'!K868</f>
        <v>#NAME?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3.9">
      <c r="A873" s="29" t="e">
        <f ca="1">'05_PSA_1000'!N869</f>
        <v>#NAME?</v>
      </c>
      <c r="B873" s="27" t="e">
        <f ca="1">'05_PSA_1000'!K869</f>
        <v>#NAME?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3.9">
      <c r="A874" s="29" t="e">
        <f ca="1">'05_PSA_1000'!N870</f>
        <v>#NAME?</v>
      </c>
      <c r="B874" s="27" t="e">
        <f ca="1">'05_PSA_1000'!K870</f>
        <v>#NAME?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3.9">
      <c r="A875" s="29" t="e">
        <f ca="1">'05_PSA_1000'!N871</f>
        <v>#NAME?</v>
      </c>
      <c r="B875" s="27" t="e">
        <f ca="1">'05_PSA_1000'!K871</f>
        <v>#NAME?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3.9">
      <c r="A876" s="29" t="e">
        <f ca="1">'05_PSA_1000'!N872</f>
        <v>#NAME?</v>
      </c>
      <c r="B876" s="27" t="e">
        <f ca="1">'05_PSA_1000'!K872</f>
        <v>#NAME?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3.9">
      <c r="A877" s="29" t="e">
        <f ca="1">'05_PSA_1000'!N873</f>
        <v>#NAME?</v>
      </c>
      <c r="B877" s="27" t="e">
        <f ca="1">'05_PSA_1000'!K873</f>
        <v>#NAME?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3.9">
      <c r="A878" s="29" t="e">
        <f ca="1">'05_PSA_1000'!N874</f>
        <v>#NAME?</v>
      </c>
      <c r="B878" s="27" t="e">
        <f ca="1">'05_PSA_1000'!K874</f>
        <v>#NAME?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3.9">
      <c r="A879" s="29" t="e">
        <f ca="1">'05_PSA_1000'!N875</f>
        <v>#NAME?</v>
      </c>
      <c r="B879" s="27" t="e">
        <f ca="1">'05_PSA_1000'!K875</f>
        <v>#NAME?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3.9">
      <c r="A880" s="29" t="e">
        <f ca="1">'05_PSA_1000'!N876</f>
        <v>#NAME?</v>
      </c>
      <c r="B880" s="27" t="e">
        <f ca="1">'05_PSA_1000'!K876</f>
        <v>#NAME?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3.9">
      <c r="A881" s="29" t="e">
        <f ca="1">'05_PSA_1000'!N877</f>
        <v>#NAME?</v>
      </c>
      <c r="B881" s="27" t="e">
        <f ca="1">'05_PSA_1000'!K877</f>
        <v>#NAME?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3.9">
      <c r="A882" s="29" t="e">
        <f ca="1">'05_PSA_1000'!N878</f>
        <v>#NAME?</v>
      </c>
      <c r="B882" s="27" t="e">
        <f ca="1">'05_PSA_1000'!K878</f>
        <v>#NAME?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3.9">
      <c r="A883" s="29" t="e">
        <f ca="1">'05_PSA_1000'!N879</f>
        <v>#NAME?</v>
      </c>
      <c r="B883" s="27" t="e">
        <f ca="1">'05_PSA_1000'!K879</f>
        <v>#NAME?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3.9">
      <c r="A884" s="29" t="e">
        <f ca="1">'05_PSA_1000'!N880</f>
        <v>#NAME?</v>
      </c>
      <c r="B884" s="27" t="e">
        <f ca="1">'05_PSA_1000'!K880</f>
        <v>#NAME?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3.9">
      <c r="A885" s="29" t="e">
        <f ca="1">'05_PSA_1000'!N881</f>
        <v>#NAME?</v>
      </c>
      <c r="B885" s="27" t="e">
        <f ca="1">'05_PSA_1000'!K881</f>
        <v>#NAME?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3.9">
      <c r="A886" s="29" t="e">
        <f ca="1">'05_PSA_1000'!N882</f>
        <v>#NAME?</v>
      </c>
      <c r="B886" s="27" t="e">
        <f ca="1">'05_PSA_1000'!K882</f>
        <v>#NAME?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3.9">
      <c r="A887" s="29" t="e">
        <f ca="1">'05_PSA_1000'!N883</f>
        <v>#NAME?</v>
      </c>
      <c r="B887" s="27" t="e">
        <f ca="1">'05_PSA_1000'!K883</f>
        <v>#NAME?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3.9">
      <c r="A888" s="29" t="e">
        <f ca="1">'05_PSA_1000'!N884</f>
        <v>#NAME?</v>
      </c>
      <c r="B888" s="27" t="e">
        <f ca="1">'05_PSA_1000'!K884</f>
        <v>#NAME?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3.9">
      <c r="A889" s="29" t="e">
        <f ca="1">'05_PSA_1000'!N885</f>
        <v>#NAME?</v>
      </c>
      <c r="B889" s="27" t="e">
        <f ca="1">'05_PSA_1000'!K885</f>
        <v>#NAME?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3.9">
      <c r="A890" s="29" t="e">
        <f ca="1">'05_PSA_1000'!N886</f>
        <v>#NAME?</v>
      </c>
      <c r="B890" s="27" t="e">
        <f ca="1">'05_PSA_1000'!K886</f>
        <v>#NAME?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3.9">
      <c r="A891" s="29" t="e">
        <f ca="1">'05_PSA_1000'!N887</f>
        <v>#NAME?</v>
      </c>
      <c r="B891" s="27" t="e">
        <f ca="1">'05_PSA_1000'!K887</f>
        <v>#NAME?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3.9">
      <c r="A892" s="29" t="e">
        <f ca="1">'05_PSA_1000'!N888</f>
        <v>#NAME?</v>
      </c>
      <c r="B892" s="27" t="e">
        <f ca="1">'05_PSA_1000'!K888</f>
        <v>#NAME?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3.9">
      <c r="A893" s="29" t="e">
        <f ca="1">'05_PSA_1000'!N889</f>
        <v>#NAME?</v>
      </c>
      <c r="B893" s="27" t="e">
        <f ca="1">'05_PSA_1000'!K889</f>
        <v>#NAME?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3.9">
      <c r="A894" s="29" t="e">
        <f ca="1">'05_PSA_1000'!N890</f>
        <v>#NAME?</v>
      </c>
      <c r="B894" s="27" t="e">
        <f ca="1">'05_PSA_1000'!K890</f>
        <v>#NAME?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3.9">
      <c r="A895" s="29" t="e">
        <f ca="1">'05_PSA_1000'!N891</f>
        <v>#NAME?</v>
      </c>
      <c r="B895" s="27" t="e">
        <f ca="1">'05_PSA_1000'!K891</f>
        <v>#NAME?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3.9">
      <c r="A896" s="29" t="e">
        <f ca="1">'05_PSA_1000'!N892</f>
        <v>#NAME?</v>
      </c>
      <c r="B896" s="27" t="e">
        <f ca="1">'05_PSA_1000'!K892</f>
        <v>#NAME?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3.9">
      <c r="A897" s="29" t="e">
        <f ca="1">'05_PSA_1000'!N893</f>
        <v>#NAME?</v>
      </c>
      <c r="B897" s="27" t="e">
        <f ca="1">'05_PSA_1000'!K893</f>
        <v>#NAME?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3.9">
      <c r="A898" s="29" t="e">
        <f ca="1">'05_PSA_1000'!N894</f>
        <v>#NAME?</v>
      </c>
      <c r="B898" s="27" t="e">
        <f ca="1">'05_PSA_1000'!K894</f>
        <v>#NAME?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3.9">
      <c r="A899" s="29" t="e">
        <f ca="1">'05_PSA_1000'!N895</f>
        <v>#NAME?</v>
      </c>
      <c r="B899" s="27" t="e">
        <f ca="1">'05_PSA_1000'!K895</f>
        <v>#NAME?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3.9">
      <c r="A900" s="29" t="e">
        <f ca="1">'05_PSA_1000'!N896</f>
        <v>#NAME?</v>
      </c>
      <c r="B900" s="27" t="e">
        <f ca="1">'05_PSA_1000'!K896</f>
        <v>#NAME?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3.9">
      <c r="A901" s="29" t="e">
        <f ca="1">'05_PSA_1000'!N897</f>
        <v>#NAME?</v>
      </c>
      <c r="B901" s="27" t="e">
        <f ca="1">'05_PSA_1000'!K897</f>
        <v>#NAME?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3.9">
      <c r="A902" s="29" t="e">
        <f ca="1">'05_PSA_1000'!N898</f>
        <v>#NAME?</v>
      </c>
      <c r="B902" s="27" t="e">
        <f ca="1">'05_PSA_1000'!K898</f>
        <v>#NAME?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3.9">
      <c r="A903" s="29" t="e">
        <f ca="1">'05_PSA_1000'!N899</f>
        <v>#NAME?</v>
      </c>
      <c r="B903" s="27" t="e">
        <f ca="1">'05_PSA_1000'!K899</f>
        <v>#NAME?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3.9">
      <c r="A904" s="29" t="e">
        <f ca="1">'05_PSA_1000'!N900</f>
        <v>#NAME?</v>
      </c>
      <c r="B904" s="27" t="e">
        <f ca="1">'05_PSA_1000'!K900</f>
        <v>#NAME?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3.9">
      <c r="A905" s="29" t="e">
        <f ca="1">'05_PSA_1000'!N901</f>
        <v>#NAME?</v>
      </c>
      <c r="B905" s="27" t="e">
        <f ca="1">'05_PSA_1000'!K901</f>
        <v>#NAME?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3.9">
      <c r="A906" s="29" t="e">
        <f ca="1">'05_PSA_1000'!N902</f>
        <v>#NAME?</v>
      </c>
      <c r="B906" s="27" t="e">
        <f ca="1">'05_PSA_1000'!K902</f>
        <v>#NAME?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3.9">
      <c r="A907" s="29" t="e">
        <f ca="1">'05_PSA_1000'!N903</f>
        <v>#NAME?</v>
      </c>
      <c r="B907" s="27" t="e">
        <f ca="1">'05_PSA_1000'!K903</f>
        <v>#NAME?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3.9">
      <c r="A908" s="29" t="e">
        <f ca="1">'05_PSA_1000'!N904</f>
        <v>#NAME?</v>
      </c>
      <c r="B908" s="27" t="e">
        <f ca="1">'05_PSA_1000'!K904</f>
        <v>#NAME?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3.9">
      <c r="A909" s="29" t="e">
        <f ca="1">'05_PSA_1000'!N905</f>
        <v>#NAME?</v>
      </c>
      <c r="B909" s="27" t="e">
        <f ca="1">'05_PSA_1000'!K905</f>
        <v>#NAME?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3.9">
      <c r="A910" s="29" t="e">
        <f ca="1">'05_PSA_1000'!N906</f>
        <v>#NAME?</v>
      </c>
      <c r="B910" s="27" t="e">
        <f ca="1">'05_PSA_1000'!K906</f>
        <v>#NAME?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3.9">
      <c r="A911" s="29" t="e">
        <f ca="1">'05_PSA_1000'!N907</f>
        <v>#NAME?</v>
      </c>
      <c r="B911" s="27" t="e">
        <f ca="1">'05_PSA_1000'!K907</f>
        <v>#NAME?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3.9">
      <c r="A912" s="29" t="e">
        <f ca="1">'05_PSA_1000'!N908</f>
        <v>#NAME?</v>
      </c>
      <c r="B912" s="27" t="e">
        <f ca="1">'05_PSA_1000'!K908</f>
        <v>#NAME?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3.9">
      <c r="A913" s="29" t="e">
        <f ca="1">'05_PSA_1000'!N909</f>
        <v>#NAME?</v>
      </c>
      <c r="B913" s="27" t="e">
        <f ca="1">'05_PSA_1000'!K909</f>
        <v>#NAME?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3.9">
      <c r="A914" s="29" t="e">
        <f ca="1">'05_PSA_1000'!N910</f>
        <v>#NAME?</v>
      </c>
      <c r="B914" s="27" t="e">
        <f ca="1">'05_PSA_1000'!K910</f>
        <v>#NAME?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3.9">
      <c r="A915" s="29" t="e">
        <f ca="1">'05_PSA_1000'!N911</f>
        <v>#NAME?</v>
      </c>
      <c r="B915" s="27" t="e">
        <f ca="1">'05_PSA_1000'!K911</f>
        <v>#NAME?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3.9">
      <c r="A916" s="29" t="e">
        <f ca="1">'05_PSA_1000'!N912</f>
        <v>#NAME?</v>
      </c>
      <c r="B916" s="27" t="e">
        <f ca="1">'05_PSA_1000'!K912</f>
        <v>#NAME?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3.9">
      <c r="A917" s="29" t="e">
        <f ca="1">'05_PSA_1000'!N913</f>
        <v>#NAME?</v>
      </c>
      <c r="B917" s="27" t="e">
        <f ca="1">'05_PSA_1000'!K913</f>
        <v>#NAME?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3.9">
      <c r="A918" s="29" t="e">
        <f ca="1">'05_PSA_1000'!N914</f>
        <v>#NAME?</v>
      </c>
      <c r="B918" s="27" t="e">
        <f ca="1">'05_PSA_1000'!K914</f>
        <v>#NAME?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3.9">
      <c r="A919" s="29" t="e">
        <f ca="1">'05_PSA_1000'!N915</f>
        <v>#NAME?</v>
      </c>
      <c r="B919" s="27" t="e">
        <f ca="1">'05_PSA_1000'!K915</f>
        <v>#NAME?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3.9">
      <c r="A920" s="29" t="e">
        <f ca="1">'05_PSA_1000'!N916</f>
        <v>#NAME?</v>
      </c>
      <c r="B920" s="27" t="e">
        <f ca="1">'05_PSA_1000'!K916</f>
        <v>#NAME?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3.9">
      <c r="A921" s="29" t="e">
        <f ca="1">'05_PSA_1000'!N917</f>
        <v>#NAME?</v>
      </c>
      <c r="B921" s="27" t="e">
        <f ca="1">'05_PSA_1000'!K917</f>
        <v>#NAME?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3.9">
      <c r="A922" s="29" t="e">
        <f ca="1">'05_PSA_1000'!N918</f>
        <v>#NAME?</v>
      </c>
      <c r="B922" s="27" t="e">
        <f ca="1">'05_PSA_1000'!K918</f>
        <v>#NAME?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3.9">
      <c r="A923" s="29" t="e">
        <f ca="1">'05_PSA_1000'!N919</f>
        <v>#NAME?</v>
      </c>
      <c r="B923" s="27" t="e">
        <f ca="1">'05_PSA_1000'!K919</f>
        <v>#NAME?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3.9">
      <c r="A924" s="29" t="e">
        <f ca="1">'05_PSA_1000'!N920</f>
        <v>#NAME?</v>
      </c>
      <c r="B924" s="27" t="e">
        <f ca="1">'05_PSA_1000'!K920</f>
        <v>#NAME?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3.9">
      <c r="A925" s="29" t="e">
        <f ca="1">'05_PSA_1000'!N921</f>
        <v>#NAME?</v>
      </c>
      <c r="B925" s="27" t="e">
        <f ca="1">'05_PSA_1000'!K921</f>
        <v>#NAME?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3.9">
      <c r="A926" s="29" t="e">
        <f ca="1">'05_PSA_1000'!N922</f>
        <v>#NAME?</v>
      </c>
      <c r="B926" s="27" t="e">
        <f ca="1">'05_PSA_1000'!K922</f>
        <v>#NAME?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3.9">
      <c r="A927" s="29" t="e">
        <f ca="1">'05_PSA_1000'!N923</f>
        <v>#NAME?</v>
      </c>
      <c r="B927" s="27" t="e">
        <f ca="1">'05_PSA_1000'!K923</f>
        <v>#NAME?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3.9">
      <c r="A928" s="29" t="e">
        <f ca="1">'05_PSA_1000'!N924</f>
        <v>#NAME?</v>
      </c>
      <c r="B928" s="27" t="e">
        <f ca="1">'05_PSA_1000'!K924</f>
        <v>#NAME?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3.9">
      <c r="A929" s="29" t="e">
        <f ca="1">'05_PSA_1000'!N925</f>
        <v>#NAME?</v>
      </c>
      <c r="B929" s="27" t="e">
        <f ca="1">'05_PSA_1000'!K925</f>
        <v>#NAME?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3.9">
      <c r="A930" s="29" t="e">
        <f ca="1">'05_PSA_1000'!N926</f>
        <v>#NAME?</v>
      </c>
      <c r="B930" s="27" t="e">
        <f ca="1">'05_PSA_1000'!K926</f>
        <v>#NAME?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3.9">
      <c r="A931" s="29" t="e">
        <f ca="1">'05_PSA_1000'!N927</f>
        <v>#NAME?</v>
      </c>
      <c r="B931" s="27" t="e">
        <f ca="1">'05_PSA_1000'!K927</f>
        <v>#NAME?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3.9">
      <c r="A932" s="29" t="e">
        <f ca="1">'05_PSA_1000'!N928</f>
        <v>#NAME?</v>
      </c>
      <c r="B932" s="27" t="e">
        <f ca="1">'05_PSA_1000'!K928</f>
        <v>#NAME?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3.9">
      <c r="A933" s="29" t="e">
        <f ca="1">'05_PSA_1000'!N929</f>
        <v>#NAME?</v>
      </c>
      <c r="B933" s="27" t="e">
        <f ca="1">'05_PSA_1000'!K929</f>
        <v>#NAME?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3.9">
      <c r="A934" s="29" t="e">
        <f ca="1">'05_PSA_1000'!N930</f>
        <v>#NAME?</v>
      </c>
      <c r="B934" s="27" t="e">
        <f ca="1">'05_PSA_1000'!K930</f>
        <v>#NAME?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3.9">
      <c r="A935" s="29" t="e">
        <f ca="1">'05_PSA_1000'!N931</f>
        <v>#NAME?</v>
      </c>
      <c r="B935" s="27" t="e">
        <f ca="1">'05_PSA_1000'!K931</f>
        <v>#NAME?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3.9">
      <c r="A936" s="29" t="e">
        <f ca="1">'05_PSA_1000'!N932</f>
        <v>#NAME?</v>
      </c>
      <c r="B936" s="27" t="e">
        <f ca="1">'05_PSA_1000'!K932</f>
        <v>#NAME?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3.9">
      <c r="A937" s="29" t="e">
        <f ca="1">'05_PSA_1000'!N933</f>
        <v>#NAME?</v>
      </c>
      <c r="B937" s="27" t="e">
        <f ca="1">'05_PSA_1000'!K933</f>
        <v>#NAME?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3.9">
      <c r="A938" s="29" t="e">
        <f ca="1">'05_PSA_1000'!N934</f>
        <v>#NAME?</v>
      </c>
      <c r="B938" s="27" t="e">
        <f ca="1">'05_PSA_1000'!K934</f>
        <v>#NAME?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3.9">
      <c r="A939" s="29" t="e">
        <f ca="1">'05_PSA_1000'!N935</f>
        <v>#NAME?</v>
      </c>
      <c r="B939" s="27" t="e">
        <f ca="1">'05_PSA_1000'!K935</f>
        <v>#NAME?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3.9">
      <c r="A940" s="29" t="e">
        <f ca="1">'05_PSA_1000'!N936</f>
        <v>#NAME?</v>
      </c>
      <c r="B940" s="27" t="e">
        <f ca="1">'05_PSA_1000'!K936</f>
        <v>#NAME?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3.9">
      <c r="A941" s="29" t="e">
        <f ca="1">'05_PSA_1000'!N937</f>
        <v>#NAME?</v>
      </c>
      <c r="B941" s="27" t="e">
        <f ca="1">'05_PSA_1000'!K937</f>
        <v>#NAME?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3.9">
      <c r="A942" s="29" t="e">
        <f ca="1">'05_PSA_1000'!N938</f>
        <v>#NAME?</v>
      </c>
      <c r="B942" s="27" t="e">
        <f ca="1">'05_PSA_1000'!K938</f>
        <v>#NAME?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3.9">
      <c r="A943" s="29" t="e">
        <f ca="1">'05_PSA_1000'!N939</f>
        <v>#NAME?</v>
      </c>
      <c r="B943" s="27" t="e">
        <f ca="1">'05_PSA_1000'!K939</f>
        <v>#NAME?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3.9">
      <c r="A944" s="29" t="e">
        <f ca="1">'05_PSA_1000'!N940</f>
        <v>#NAME?</v>
      </c>
      <c r="B944" s="27" t="e">
        <f ca="1">'05_PSA_1000'!K940</f>
        <v>#NAME?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3.9">
      <c r="A945" s="29" t="e">
        <f ca="1">'05_PSA_1000'!N941</f>
        <v>#NAME?</v>
      </c>
      <c r="B945" s="27" t="e">
        <f ca="1">'05_PSA_1000'!K941</f>
        <v>#NAME?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3.9">
      <c r="A946" s="29" t="e">
        <f ca="1">'05_PSA_1000'!N942</f>
        <v>#NAME?</v>
      </c>
      <c r="B946" s="27" t="e">
        <f ca="1">'05_PSA_1000'!K942</f>
        <v>#NAME?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3.9">
      <c r="A947" s="29" t="e">
        <f ca="1">'05_PSA_1000'!N943</f>
        <v>#NAME?</v>
      </c>
      <c r="B947" s="27" t="e">
        <f ca="1">'05_PSA_1000'!K943</f>
        <v>#NAME?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3.9">
      <c r="A948" s="29" t="e">
        <f ca="1">'05_PSA_1000'!N944</f>
        <v>#NAME?</v>
      </c>
      <c r="B948" s="27" t="e">
        <f ca="1">'05_PSA_1000'!K944</f>
        <v>#NAME?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3.9">
      <c r="A949" s="29" t="e">
        <f ca="1">'05_PSA_1000'!N945</f>
        <v>#NAME?</v>
      </c>
      <c r="B949" s="27" t="e">
        <f ca="1">'05_PSA_1000'!K945</f>
        <v>#NAME?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3.9">
      <c r="A950" s="29" t="e">
        <f ca="1">'05_PSA_1000'!N946</f>
        <v>#NAME?</v>
      </c>
      <c r="B950" s="27" t="e">
        <f ca="1">'05_PSA_1000'!K946</f>
        <v>#NAME?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3.9">
      <c r="A951" s="29" t="e">
        <f ca="1">'05_PSA_1000'!N947</f>
        <v>#NAME?</v>
      </c>
      <c r="B951" s="27" t="e">
        <f ca="1">'05_PSA_1000'!K947</f>
        <v>#NAME?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3.9">
      <c r="A952" s="29" t="e">
        <f ca="1">'05_PSA_1000'!N948</f>
        <v>#NAME?</v>
      </c>
      <c r="B952" s="27" t="e">
        <f ca="1">'05_PSA_1000'!K948</f>
        <v>#NAME?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3.9">
      <c r="A953" s="29" t="e">
        <f ca="1">'05_PSA_1000'!N949</f>
        <v>#NAME?</v>
      </c>
      <c r="B953" s="27" t="e">
        <f ca="1">'05_PSA_1000'!K949</f>
        <v>#NAME?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3.9">
      <c r="A954" s="29" t="e">
        <f ca="1">'05_PSA_1000'!N950</f>
        <v>#NAME?</v>
      </c>
      <c r="B954" s="27" t="e">
        <f ca="1">'05_PSA_1000'!K950</f>
        <v>#NAME?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3.9">
      <c r="A955" s="29" t="e">
        <f ca="1">'05_PSA_1000'!N951</f>
        <v>#NAME?</v>
      </c>
      <c r="B955" s="27" t="e">
        <f ca="1">'05_PSA_1000'!K951</f>
        <v>#NAME?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3.9">
      <c r="A956" s="29" t="e">
        <f ca="1">'05_PSA_1000'!N952</f>
        <v>#NAME?</v>
      </c>
      <c r="B956" s="27" t="e">
        <f ca="1">'05_PSA_1000'!K952</f>
        <v>#NAME?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3.9">
      <c r="A957" s="29" t="e">
        <f ca="1">'05_PSA_1000'!N953</f>
        <v>#NAME?</v>
      </c>
      <c r="B957" s="27" t="e">
        <f ca="1">'05_PSA_1000'!K953</f>
        <v>#NAME?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3.9">
      <c r="A958" s="29" t="e">
        <f ca="1">'05_PSA_1000'!N954</f>
        <v>#NAME?</v>
      </c>
      <c r="B958" s="27" t="e">
        <f ca="1">'05_PSA_1000'!K954</f>
        <v>#NAME?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3.9">
      <c r="A959" s="29" t="e">
        <f ca="1">'05_PSA_1000'!N955</f>
        <v>#NAME?</v>
      </c>
      <c r="B959" s="27" t="e">
        <f ca="1">'05_PSA_1000'!K955</f>
        <v>#NAME?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3.9">
      <c r="A960" s="29" t="e">
        <f ca="1">'05_PSA_1000'!N956</f>
        <v>#NAME?</v>
      </c>
      <c r="B960" s="27" t="e">
        <f ca="1">'05_PSA_1000'!K956</f>
        <v>#NAME?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3.9">
      <c r="A961" s="29" t="e">
        <f ca="1">'05_PSA_1000'!N957</f>
        <v>#NAME?</v>
      </c>
      <c r="B961" s="27" t="e">
        <f ca="1">'05_PSA_1000'!K957</f>
        <v>#NAME?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3.9">
      <c r="A962" s="29" t="e">
        <f ca="1">'05_PSA_1000'!N958</f>
        <v>#NAME?</v>
      </c>
      <c r="B962" s="27" t="e">
        <f ca="1">'05_PSA_1000'!K958</f>
        <v>#NAME?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3.9">
      <c r="A963" s="29" t="e">
        <f ca="1">'05_PSA_1000'!N959</f>
        <v>#NAME?</v>
      </c>
      <c r="B963" s="27" t="e">
        <f ca="1">'05_PSA_1000'!K959</f>
        <v>#NAME?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3.9">
      <c r="A964" s="29" t="e">
        <f ca="1">'05_PSA_1000'!N960</f>
        <v>#NAME?</v>
      </c>
      <c r="B964" s="27" t="e">
        <f ca="1">'05_PSA_1000'!K960</f>
        <v>#NAME?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3.9">
      <c r="A965" s="29" t="e">
        <f ca="1">'05_PSA_1000'!N961</f>
        <v>#NAME?</v>
      </c>
      <c r="B965" s="27" t="e">
        <f ca="1">'05_PSA_1000'!K961</f>
        <v>#NAME?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3.9">
      <c r="A966" s="29" t="e">
        <f ca="1">'05_PSA_1000'!N962</f>
        <v>#NAME?</v>
      </c>
      <c r="B966" s="27" t="e">
        <f ca="1">'05_PSA_1000'!K962</f>
        <v>#NAME?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3.9">
      <c r="A967" s="29" t="e">
        <f ca="1">'05_PSA_1000'!N963</f>
        <v>#NAME?</v>
      </c>
      <c r="B967" s="27" t="e">
        <f ca="1">'05_PSA_1000'!K963</f>
        <v>#NAME?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3.9">
      <c r="A968" s="29" t="e">
        <f ca="1">'05_PSA_1000'!N964</f>
        <v>#NAME?</v>
      </c>
      <c r="B968" s="27" t="e">
        <f ca="1">'05_PSA_1000'!K964</f>
        <v>#NAME?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3.9">
      <c r="A969" s="29" t="e">
        <f ca="1">'05_PSA_1000'!N965</f>
        <v>#NAME?</v>
      </c>
      <c r="B969" s="27" t="e">
        <f ca="1">'05_PSA_1000'!K965</f>
        <v>#NAME?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3.9">
      <c r="A970" s="29" t="e">
        <f ca="1">'05_PSA_1000'!N966</f>
        <v>#NAME?</v>
      </c>
      <c r="B970" s="27" t="e">
        <f ca="1">'05_PSA_1000'!K966</f>
        <v>#NAME?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3.9">
      <c r="A971" s="29" t="e">
        <f ca="1">'05_PSA_1000'!N967</f>
        <v>#NAME?</v>
      </c>
      <c r="B971" s="27" t="e">
        <f ca="1">'05_PSA_1000'!K967</f>
        <v>#NAME?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3.9">
      <c r="A972" s="29" t="e">
        <f ca="1">'05_PSA_1000'!N968</f>
        <v>#NAME?</v>
      </c>
      <c r="B972" s="27" t="e">
        <f ca="1">'05_PSA_1000'!K968</f>
        <v>#NAME?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3.9">
      <c r="A973" s="29" t="e">
        <f ca="1">'05_PSA_1000'!N969</f>
        <v>#NAME?</v>
      </c>
      <c r="B973" s="27" t="e">
        <f ca="1">'05_PSA_1000'!K969</f>
        <v>#NAME?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3.9">
      <c r="A974" s="29" t="e">
        <f ca="1">'05_PSA_1000'!N970</f>
        <v>#NAME?</v>
      </c>
      <c r="B974" s="27" t="e">
        <f ca="1">'05_PSA_1000'!K970</f>
        <v>#NAME?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3.9">
      <c r="A975" s="29" t="e">
        <f ca="1">'05_PSA_1000'!N971</f>
        <v>#NAME?</v>
      </c>
      <c r="B975" s="27" t="e">
        <f ca="1">'05_PSA_1000'!K971</f>
        <v>#NAME?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3.9">
      <c r="A976" s="29" t="e">
        <f ca="1">'05_PSA_1000'!N972</f>
        <v>#NAME?</v>
      </c>
      <c r="B976" s="27" t="e">
        <f ca="1">'05_PSA_1000'!K972</f>
        <v>#NAME?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3.9">
      <c r="A977" s="29" t="e">
        <f ca="1">'05_PSA_1000'!N973</f>
        <v>#NAME?</v>
      </c>
      <c r="B977" s="27" t="e">
        <f ca="1">'05_PSA_1000'!K973</f>
        <v>#NAME?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3.9">
      <c r="A978" s="29" t="e">
        <f ca="1">'05_PSA_1000'!N974</f>
        <v>#NAME?</v>
      </c>
      <c r="B978" s="27" t="e">
        <f ca="1">'05_PSA_1000'!K974</f>
        <v>#NAME?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3.9">
      <c r="A979" s="29" t="e">
        <f ca="1">'05_PSA_1000'!N975</f>
        <v>#NAME?</v>
      </c>
      <c r="B979" s="27" t="e">
        <f ca="1">'05_PSA_1000'!K975</f>
        <v>#NAME?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3.9">
      <c r="A980" s="29" t="e">
        <f ca="1">'05_PSA_1000'!N976</f>
        <v>#NAME?</v>
      </c>
      <c r="B980" s="27" t="e">
        <f ca="1">'05_PSA_1000'!K976</f>
        <v>#NAME?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3.9">
      <c r="A981" s="29" t="e">
        <f ca="1">'05_PSA_1000'!N977</f>
        <v>#NAME?</v>
      </c>
      <c r="B981" s="27" t="e">
        <f ca="1">'05_PSA_1000'!K977</f>
        <v>#NAME?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3.9">
      <c r="A982" s="29" t="e">
        <f ca="1">'05_PSA_1000'!N978</f>
        <v>#NAME?</v>
      </c>
      <c r="B982" s="27" t="e">
        <f ca="1">'05_PSA_1000'!K978</f>
        <v>#NAME?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3.9">
      <c r="A983" s="29" t="e">
        <f ca="1">'05_PSA_1000'!N979</f>
        <v>#NAME?</v>
      </c>
      <c r="B983" s="27" t="e">
        <f ca="1">'05_PSA_1000'!K979</f>
        <v>#NAME?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3.9">
      <c r="A984" s="29" t="e">
        <f ca="1">'05_PSA_1000'!N980</f>
        <v>#NAME?</v>
      </c>
      <c r="B984" s="27" t="e">
        <f ca="1">'05_PSA_1000'!K980</f>
        <v>#NAME?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3.9">
      <c r="A985" s="29" t="e">
        <f ca="1">'05_PSA_1000'!N981</f>
        <v>#NAME?</v>
      </c>
      <c r="B985" s="27" t="e">
        <f ca="1">'05_PSA_1000'!K981</f>
        <v>#NAME?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3.9">
      <c r="A986" s="29" t="e">
        <f ca="1">'05_PSA_1000'!N982</f>
        <v>#NAME?</v>
      </c>
      <c r="B986" s="27" t="e">
        <f ca="1">'05_PSA_1000'!K982</f>
        <v>#NAME?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3.9">
      <c r="A987" s="29" t="e">
        <f ca="1">'05_PSA_1000'!N983</f>
        <v>#NAME?</v>
      </c>
      <c r="B987" s="27" t="e">
        <f ca="1">'05_PSA_1000'!K983</f>
        <v>#NAME?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3.9">
      <c r="A988" s="29" t="e">
        <f ca="1">'05_PSA_1000'!N984</f>
        <v>#NAME?</v>
      </c>
      <c r="B988" s="27" t="e">
        <f ca="1">'05_PSA_1000'!K984</f>
        <v>#NAME?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3.9">
      <c r="A989" s="29" t="e">
        <f ca="1">'05_PSA_1000'!N985</f>
        <v>#NAME?</v>
      </c>
      <c r="B989" s="27" t="e">
        <f ca="1">'05_PSA_1000'!K985</f>
        <v>#NAME?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3.9">
      <c r="A990" s="29" t="e">
        <f ca="1">'05_PSA_1000'!N986</f>
        <v>#NAME?</v>
      </c>
      <c r="B990" s="27" t="e">
        <f ca="1">'05_PSA_1000'!K986</f>
        <v>#NAME?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3.9">
      <c r="A991" s="29" t="e">
        <f ca="1">'05_PSA_1000'!N987</f>
        <v>#NAME?</v>
      </c>
      <c r="B991" s="27" t="e">
        <f ca="1">'05_PSA_1000'!K987</f>
        <v>#NAME?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3.9">
      <c r="A992" s="29" t="e">
        <f ca="1">'05_PSA_1000'!N988</f>
        <v>#NAME?</v>
      </c>
      <c r="B992" s="27" t="e">
        <f ca="1">'05_PSA_1000'!K988</f>
        <v>#NAME?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3.9">
      <c r="A993" s="29" t="e">
        <f ca="1">'05_PSA_1000'!N989</f>
        <v>#NAME?</v>
      </c>
      <c r="B993" s="27" t="e">
        <f ca="1">'05_PSA_1000'!K989</f>
        <v>#NAME?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3.9">
      <c r="A994" s="29" t="e">
        <f ca="1">'05_PSA_1000'!N990</f>
        <v>#NAME?</v>
      </c>
      <c r="B994" s="27" t="e">
        <f ca="1">'05_PSA_1000'!K990</f>
        <v>#NAME?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3.9">
      <c r="A995" s="29" t="e">
        <f ca="1">'05_PSA_1000'!N991</f>
        <v>#NAME?</v>
      </c>
      <c r="B995" s="27" t="e">
        <f ca="1">'05_PSA_1000'!K991</f>
        <v>#NAME?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3.9">
      <c r="A996" s="29" t="e">
        <f ca="1">'05_PSA_1000'!N992</f>
        <v>#NAME?</v>
      </c>
      <c r="B996" s="27" t="e">
        <f ca="1">'05_PSA_1000'!K992</f>
        <v>#NAME?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3.9">
      <c r="A997" s="29" t="e">
        <f ca="1">'05_PSA_1000'!N993</f>
        <v>#NAME?</v>
      </c>
      <c r="B997" s="27" t="e">
        <f ca="1">'05_PSA_1000'!K993</f>
        <v>#NAME?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3.9">
      <c r="A998" s="29" t="e">
        <f ca="1">'05_PSA_1000'!N994</f>
        <v>#NAME?</v>
      </c>
      <c r="B998" s="27" t="e">
        <f ca="1">'05_PSA_1000'!K994</f>
        <v>#NAME?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3.9">
      <c r="A999" s="29" t="e">
        <f ca="1">'05_PSA_1000'!N995</f>
        <v>#NAME?</v>
      </c>
      <c r="B999" s="27" t="e">
        <f ca="1">'05_PSA_1000'!K995</f>
        <v>#NAME?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3.9">
      <c r="A1000" s="29" t="e">
        <f ca="1">'05_PSA_1000'!N996</f>
        <v>#NAME?</v>
      </c>
      <c r="B1000" s="27" t="e">
        <f ca="1">'05_PSA_1000'!K996</f>
        <v>#NAME?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3.9">
      <c r="A1001" s="29" t="e">
        <f ca="1">'05_PSA_1000'!N997</f>
        <v>#NAME?</v>
      </c>
      <c r="B1001" s="27" t="e">
        <f ca="1">'05_PSA_1000'!K997</f>
        <v>#NAME?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3.9">
      <c r="A1002" s="29" t="e">
        <f ca="1">'05_PSA_1000'!N998</f>
        <v>#NAME?</v>
      </c>
      <c r="B1002" s="27" t="e">
        <f ca="1">'05_PSA_1000'!K998</f>
        <v>#NAME?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3.9">
      <c r="A1003" s="29" t="e">
        <f ca="1">'05_PSA_1000'!N999</f>
        <v>#NAME?</v>
      </c>
      <c r="B1003" s="27" t="e">
        <f ca="1">'05_PSA_1000'!K999</f>
        <v>#NAME?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ht="13.9">
      <c r="A1004" s="29" t="e">
        <f ca="1">'05_PSA_1000'!N1000</f>
        <v>#NAME?</v>
      </c>
      <c r="B1004" s="27" t="e">
        <f ca="1">'05_PSA_1000'!K1000</f>
        <v>#NAME?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ht="13.9">
      <c r="A1005" s="29" t="e">
        <f ca="1">'05_PSA_1000'!N1001</f>
        <v>#NAME?</v>
      </c>
      <c r="B1005" s="27" t="e">
        <f ca="1">'05_PSA_1000'!K1001</f>
        <v>#NAME?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</sheetData>
  <mergeCells count="8">
    <mergeCell ref="G11:J11"/>
    <mergeCell ref="G12:J12"/>
    <mergeCell ref="G13:J13"/>
    <mergeCell ref="A1:N1"/>
    <mergeCell ref="A2:N2"/>
    <mergeCell ref="A4:B4"/>
    <mergeCell ref="D4:E4"/>
    <mergeCell ref="G4:J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showGridLines="0" workbookViewId="0"/>
  </sheetViews>
  <sheetFormatPr defaultRowHeight="13.5"/>
  <cols>
    <col min="1" max="1" width="38" customWidth="1"/>
    <col min="2" max="2" width="22" customWidth="1"/>
    <col min="3" max="3" width="20" customWidth="1"/>
    <col min="4" max="4" width="42" customWidth="1"/>
  </cols>
  <sheetData>
    <row r="1" spans="1:6" ht="30" customHeight="1">
      <c r="A1" s="36" t="s">
        <v>261</v>
      </c>
      <c r="B1" s="36" t="s">
        <v>261</v>
      </c>
      <c r="C1" s="36" t="s">
        <v>261</v>
      </c>
      <c r="D1" s="36" t="s">
        <v>261</v>
      </c>
      <c r="E1" s="36" t="s">
        <v>261</v>
      </c>
      <c r="F1" s="36" t="s">
        <v>261</v>
      </c>
    </row>
    <row r="2" spans="1:6" ht="32" customHeight="1">
      <c r="A2" s="37" t="s">
        <v>262</v>
      </c>
      <c r="B2" s="37" t="s">
        <v>262</v>
      </c>
      <c r="C2" s="37" t="s">
        <v>262</v>
      </c>
      <c r="D2" s="37" t="s">
        <v>262</v>
      </c>
      <c r="E2" s="37" t="s">
        <v>262</v>
      </c>
      <c r="F2" s="37" t="s">
        <v>262</v>
      </c>
    </row>
    <row r="3" spans="1:6" ht="13.9">
      <c r="A3" s="1"/>
      <c r="B3" s="1"/>
      <c r="C3" s="1"/>
      <c r="D3" s="1"/>
      <c r="E3" s="1"/>
      <c r="F3" s="1"/>
    </row>
    <row r="4" spans="1:6" ht="13.9">
      <c r="A4" s="2" t="s">
        <v>146</v>
      </c>
      <c r="B4" s="2" t="s">
        <v>147</v>
      </c>
      <c r="C4" s="2" t="s">
        <v>46</v>
      </c>
      <c r="D4" s="2" t="s">
        <v>148</v>
      </c>
      <c r="E4" s="1"/>
      <c r="F4" s="1"/>
    </row>
    <row r="5" spans="1:6" ht="13.9">
      <c r="A5" s="1" t="s">
        <v>263</v>
      </c>
      <c r="B5" s="15" t="e">
        <f ca="1">AVERAGE('05_PSA_1000'!K2:K1001)</f>
        <v>#NAME?</v>
      </c>
      <c r="C5" s="1" t="s">
        <v>150</v>
      </c>
      <c r="D5" s="1" t="s">
        <v>264</v>
      </c>
      <c r="E5" s="1"/>
      <c r="F5" s="1"/>
    </row>
    <row r="6" spans="1:6" ht="13.9">
      <c r="A6" s="1" t="s">
        <v>265</v>
      </c>
      <c r="B6" s="18" t="e">
        <f ca="1">AVERAGE('05_PSA_1000'!N2:N1001)</f>
        <v>#NAME?</v>
      </c>
      <c r="C6" s="1" t="s">
        <v>158</v>
      </c>
      <c r="D6" s="1" t="s">
        <v>264</v>
      </c>
      <c r="E6" s="1"/>
      <c r="F6" s="1"/>
    </row>
    <row r="7" spans="1:6" ht="13.9">
      <c r="A7" s="1" t="s">
        <v>266</v>
      </c>
      <c r="B7" s="17" t="e">
        <f ca="1">B5/B6</f>
        <v>#NAME?</v>
      </c>
      <c r="C7" s="1" t="s">
        <v>67</v>
      </c>
      <c r="D7" s="1" t="s">
        <v>267</v>
      </c>
      <c r="E7" s="1"/>
      <c r="F7" s="1"/>
    </row>
    <row r="8" spans="1:6" ht="13.9">
      <c r="A8" s="1" t="s">
        <v>268</v>
      </c>
      <c r="B8" s="17" t="e">
        <f ca="1">AVERAGE('05_PSA_1000'!P2:P1001)</f>
        <v>#NAME?</v>
      </c>
      <c r="C8" s="1" t="s">
        <v>150</v>
      </c>
      <c r="D8" s="1" t="s">
        <v>269</v>
      </c>
      <c r="E8" s="1"/>
      <c r="F8" s="1"/>
    </row>
    <row r="9" spans="1:6" ht="13.9">
      <c r="A9" s="1" t="s">
        <v>246</v>
      </c>
      <c r="B9" s="32" t="e">
        <f ca="1">AVERAGE('05_PSA_1000'!Q2:Q1001)</f>
        <v>#NAME?</v>
      </c>
      <c r="C9" s="1" t="s">
        <v>270</v>
      </c>
      <c r="D9" s="1" t="s">
        <v>271</v>
      </c>
      <c r="E9" s="1"/>
      <c r="F9" s="1"/>
    </row>
    <row r="10" spans="1:6" ht="13.9">
      <c r="A10" s="1" t="s">
        <v>272</v>
      </c>
      <c r="B10" s="32">
        <f ca="1">COUNTIFS('05_PSA_1000'!K2:K1001,"&lt;0",'05_PSA_1000'!N2:N1001,"&gt;0")/1000</f>
        <v>0</v>
      </c>
      <c r="C10" s="1" t="s">
        <v>270</v>
      </c>
      <c r="D10" s="1" t="s">
        <v>273</v>
      </c>
      <c r="E10" s="1"/>
      <c r="F10" s="1"/>
    </row>
    <row r="11" spans="1:6" ht="13.9">
      <c r="A11" s="1" t="s">
        <v>274</v>
      </c>
      <c r="B11" s="32">
        <f ca="1">COUNTIFS('05_PSA_1000'!K2:K1001,"&gt;0",'05_PSA_1000'!N2:N1001,"&lt;0")/1000</f>
        <v>0</v>
      </c>
      <c r="C11" s="1" t="s">
        <v>270</v>
      </c>
      <c r="D11" s="1" t="s">
        <v>275</v>
      </c>
      <c r="E11" s="1"/>
      <c r="F11" s="1"/>
    </row>
    <row r="12" spans="1:6" ht="13.9">
      <c r="A12" s="1" t="s">
        <v>276</v>
      </c>
      <c r="B12" s="17" t="e">
        <f ca="1">_xludf.PERCENTILE.INC('05_PSA_1000'!K2:K1001,0.025)</f>
        <v>#NAME?</v>
      </c>
      <c r="C12" s="1" t="s">
        <v>150</v>
      </c>
      <c r="D12" s="1" t="s">
        <v>277</v>
      </c>
      <c r="E12" s="1"/>
      <c r="F12" s="1"/>
    </row>
    <row r="13" spans="1:6" ht="13.9">
      <c r="A13" s="1" t="s">
        <v>278</v>
      </c>
      <c r="B13" s="17" t="e">
        <f ca="1">_xludf.PERCENTILE.INC('05_PSA_1000'!K2:K1001,0.975)</f>
        <v>#NAME?</v>
      </c>
      <c r="C13" s="1" t="s">
        <v>150</v>
      </c>
      <c r="D13" s="1" t="s">
        <v>277</v>
      </c>
      <c r="E13" s="1"/>
      <c r="F13" s="1"/>
    </row>
    <row r="14" spans="1:6" ht="13.9">
      <c r="A14" s="1" t="s">
        <v>279</v>
      </c>
      <c r="B14" s="33">
        <f>'01_INPUTS'!B9</f>
        <v>85000000</v>
      </c>
      <c r="C14" s="1" t="s">
        <v>67</v>
      </c>
      <c r="D14" s="1" t="s">
        <v>280</v>
      </c>
      <c r="E14" s="1"/>
      <c r="F14" s="1"/>
    </row>
    <row r="15" spans="1:6" ht="13.9">
      <c r="A15" s="1"/>
      <c r="B15" s="1"/>
      <c r="C15" s="1"/>
      <c r="D15" s="1"/>
      <c r="E15" s="1"/>
      <c r="F15" s="1"/>
    </row>
    <row r="16" spans="1:6" ht="13.9">
      <c r="A16" s="1"/>
      <c r="B16" s="1"/>
      <c r="C16" s="1"/>
      <c r="D16" s="1"/>
      <c r="E16" s="1"/>
      <c r="F16" s="1"/>
    </row>
    <row r="17" spans="1:6">
      <c r="A17" s="38" t="s">
        <v>281</v>
      </c>
      <c r="B17" s="38" t="s">
        <v>281</v>
      </c>
      <c r="C17" s="38" t="s">
        <v>281</v>
      </c>
      <c r="D17" s="38" t="s">
        <v>281</v>
      </c>
      <c r="E17" s="38" t="s">
        <v>281</v>
      </c>
      <c r="F17" s="38" t="s">
        <v>281</v>
      </c>
    </row>
    <row r="18" spans="1:6" ht="13.9">
      <c r="A18" s="39" t="s">
        <v>282</v>
      </c>
      <c r="B18" s="39"/>
      <c r="C18" s="39"/>
      <c r="D18" s="39"/>
      <c r="E18" s="39"/>
      <c r="F18" s="39"/>
    </row>
    <row r="19" spans="1:6" ht="13.9">
      <c r="A19" s="39" t="s">
        <v>283</v>
      </c>
      <c r="B19" s="39"/>
      <c r="C19" s="39"/>
      <c r="D19" s="39"/>
      <c r="E19" s="39"/>
      <c r="F19" s="39"/>
    </row>
    <row r="20" spans="1:6" ht="13.9">
      <c r="A20" s="39" t="s">
        <v>284</v>
      </c>
      <c r="B20" s="39"/>
      <c r="C20" s="39"/>
      <c r="D20" s="39"/>
      <c r="E20" s="39"/>
      <c r="F20" s="39"/>
    </row>
  </sheetData>
  <mergeCells count="6">
    <mergeCell ref="A20:F20"/>
    <mergeCell ref="A1:F1"/>
    <mergeCell ref="A2:F2"/>
    <mergeCell ref="A17:F17"/>
    <mergeCell ref="A18:F18"/>
    <mergeCell ref="A19:F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showGridLines="0" workbookViewId="0"/>
  </sheetViews>
  <sheetFormatPr defaultRowHeight="13.5"/>
  <cols>
    <col min="1" max="1" width="28" customWidth="1"/>
    <col min="2" max="3" width="18" customWidth="1"/>
    <col min="4" max="4" width="20" customWidth="1"/>
    <col min="5" max="5" width="32" customWidth="1"/>
    <col min="6" max="6" width="15" customWidth="1"/>
    <col min="7" max="7" width="45" customWidth="1"/>
  </cols>
  <sheetData>
    <row r="1" spans="1:7" ht="30" customHeight="1">
      <c r="A1" s="40" t="s">
        <v>285</v>
      </c>
      <c r="B1" s="40" t="s">
        <v>285</v>
      </c>
      <c r="C1" s="40" t="s">
        <v>285</v>
      </c>
      <c r="D1" s="40" t="s">
        <v>285</v>
      </c>
      <c r="E1" s="40" t="s">
        <v>285</v>
      </c>
      <c r="F1" s="40" t="s">
        <v>285</v>
      </c>
      <c r="G1" s="40" t="s">
        <v>285</v>
      </c>
    </row>
    <row r="2" spans="1:7" ht="32" customHeight="1">
      <c r="A2" s="37" t="s">
        <v>286</v>
      </c>
      <c r="B2" s="37" t="s">
        <v>286</v>
      </c>
      <c r="C2" s="37" t="s">
        <v>286</v>
      </c>
      <c r="D2" s="37" t="s">
        <v>286</v>
      </c>
      <c r="E2" s="37" t="s">
        <v>286</v>
      </c>
      <c r="F2" s="37" t="s">
        <v>286</v>
      </c>
      <c r="G2" s="37" t="s">
        <v>286</v>
      </c>
    </row>
    <row r="3" spans="1:7" ht="13.9">
      <c r="A3" s="1"/>
      <c r="B3" s="1"/>
      <c r="C3" s="1"/>
      <c r="D3" s="1"/>
      <c r="E3" s="1"/>
      <c r="F3" s="1"/>
      <c r="G3" s="1"/>
    </row>
    <row r="4" spans="1:7">
      <c r="A4" s="2" t="s">
        <v>44</v>
      </c>
      <c r="B4" s="2" t="s">
        <v>287</v>
      </c>
      <c r="C4" s="2" t="s">
        <v>288</v>
      </c>
      <c r="D4" s="2" t="s">
        <v>46</v>
      </c>
      <c r="E4" s="2" t="s">
        <v>47</v>
      </c>
      <c r="F4" s="2" t="s">
        <v>289</v>
      </c>
      <c r="G4" s="2" t="s">
        <v>290</v>
      </c>
    </row>
    <row r="5" spans="1:7" ht="13.9">
      <c r="A5" s="1" t="s">
        <v>291</v>
      </c>
      <c r="B5" s="34">
        <v>0.13159999999999999</v>
      </c>
      <c r="C5" s="34">
        <v>0.21429999999999999</v>
      </c>
      <c r="D5" s="1" t="s">
        <v>153</v>
      </c>
      <c r="E5" s="1" t="s">
        <v>77</v>
      </c>
      <c r="F5" s="1" t="s">
        <v>292</v>
      </c>
      <c r="G5" s="1" t="s">
        <v>293</v>
      </c>
    </row>
    <row r="6" spans="1:7" ht="13.9">
      <c r="A6" s="1" t="s">
        <v>155</v>
      </c>
      <c r="B6" s="29">
        <v>0.61399999999999999</v>
      </c>
      <c r="C6" s="29"/>
      <c r="D6" s="1" t="s">
        <v>156</v>
      </c>
      <c r="E6" s="1" t="s">
        <v>77</v>
      </c>
      <c r="F6" s="1" t="s">
        <v>292</v>
      </c>
      <c r="G6" s="1" t="s">
        <v>294</v>
      </c>
    </row>
    <row r="7" spans="1:7" ht="13.9">
      <c r="A7" s="1" t="s">
        <v>295</v>
      </c>
      <c r="B7" s="35">
        <v>3</v>
      </c>
      <c r="C7" s="35">
        <v>5</v>
      </c>
      <c r="D7" s="1" t="s">
        <v>165</v>
      </c>
      <c r="E7" s="1" t="s">
        <v>77</v>
      </c>
      <c r="F7" s="1" t="s">
        <v>292</v>
      </c>
      <c r="G7" s="1" t="s">
        <v>296</v>
      </c>
    </row>
    <row r="8" spans="1:7" ht="13.9">
      <c r="A8" s="1" t="s">
        <v>297</v>
      </c>
      <c r="B8" s="27">
        <v>15399360</v>
      </c>
      <c r="C8" s="27"/>
      <c r="D8" s="1" t="s">
        <v>81</v>
      </c>
      <c r="E8" s="1" t="s">
        <v>298</v>
      </c>
      <c r="F8" s="1" t="s">
        <v>299</v>
      </c>
      <c r="G8" s="1" t="s">
        <v>300</v>
      </c>
    </row>
    <row r="9" spans="1:7" ht="13.9">
      <c r="A9" s="1" t="s">
        <v>206</v>
      </c>
      <c r="B9" s="27">
        <v>6889093</v>
      </c>
      <c r="C9" s="27">
        <v>6889093</v>
      </c>
      <c r="D9" s="1" t="s">
        <v>88</v>
      </c>
      <c r="E9" s="1" t="s">
        <v>301</v>
      </c>
      <c r="F9" s="1" t="s">
        <v>82</v>
      </c>
      <c r="G9" s="1" t="s">
        <v>302</v>
      </c>
    </row>
    <row r="10" spans="1:7" ht="13.9">
      <c r="A10" s="1" t="s">
        <v>208</v>
      </c>
      <c r="B10" s="1">
        <v>0.7</v>
      </c>
      <c r="C10" s="1">
        <v>0.7</v>
      </c>
      <c r="D10" s="1" t="s">
        <v>303</v>
      </c>
      <c r="E10" s="1" t="s">
        <v>62</v>
      </c>
      <c r="F10" s="1" t="s">
        <v>304</v>
      </c>
      <c r="G10" s="1" t="s">
        <v>305</v>
      </c>
    </row>
    <row r="11" spans="1:7" ht="13.9">
      <c r="A11" s="1" t="s">
        <v>211</v>
      </c>
      <c r="B11" s="1">
        <v>0.1</v>
      </c>
      <c r="C11" s="1">
        <v>0.1</v>
      </c>
      <c r="D11" s="1" t="s">
        <v>98</v>
      </c>
      <c r="E11" s="1" t="s">
        <v>62</v>
      </c>
      <c r="F11" s="1" t="s">
        <v>304</v>
      </c>
      <c r="G11" s="1" t="s">
        <v>305</v>
      </c>
    </row>
  </sheetData>
  <mergeCells count="2">
    <mergeCell ref="A1:G1"/>
    <mergeCell ref="A2:G2"/>
  </mergeCells>
  <conditionalFormatting sqref="F5:F11">
    <cfRule type="containsText" dxfId="3" priority="1" operator="containsText" text="No"/>
    <cfRule type="containsText" dxfId="2" priority="2" operator="containsText" text="Yes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showGridLines="0" workbookViewId="0"/>
  </sheetViews>
  <sheetFormatPr defaultRowHeight="13.5"/>
  <cols>
    <col min="1" max="1" width="12" customWidth="1"/>
    <col min="2" max="2" width="23" customWidth="1"/>
    <col min="3" max="4" width="20" customWidth="1"/>
    <col min="5" max="5" width="14" customWidth="1"/>
    <col min="6" max="7" width="18" customWidth="1"/>
    <col min="8" max="8" width="42" customWidth="1"/>
  </cols>
  <sheetData>
    <row r="1" spans="1:8" ht="30" customHeight="1">
      <c r="A1" s="40" t="s">
        <v>306</v>
      </c>
      <c r="B1" s="40" t="s">
        <v>306</v>
      </c>
      <c r="C1" s="40" t="s">
        <v>306</v>
      </c>
      <c r="D1" s="40" t="s">
        <v>306</v>
      </c>
      <c r="E1" s="40" t="s">
        <v>306</v>
      </c>
      <c r="F1" s="40" t="s">
        <v>306</v>
      </c>
      <c r="G1" s="40" t="s">
        <v>306</v>
      </c>
      <c r="H1" s="40" t="s">
        <v>306</v>
      </c>
    </row>
    <row r="2" spans="1:8" ht="32" customHeight="1">
      <c r="A2" s="37" t="s">
        <v>307</v>
      </c>
      <c r="B2" s="37" t="s">
        <v>307</v>
      </c>
      <c r="C2" s="37" t="s">
        <v>307</v>
      </c>
      <c r="D2" s="37" t="s">
        <v>307</v>
      </c>
      <c r="E2" s="37" t="s">
        <v>307</v>
      </c>
      <c r="F2" s="37" t="s">
        <v>307</v>
      </c>
      <c r="G2" s="37" t="s">
        <v>307</v>
      </c>
      <c r="H2" s="37" t="s">
        <v>307</v>
      </c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>
      <c r="A4" s="2" t="s">
        <v>308</v>
      </c>
      <c r="B4" s="2" t="s">
        <v>309</v>
      </c>
      <c r="C4" s="2" t="s">
        <v>310</v>
      </c>
      <c r="D4" s="2" t="s">
        <v>311</v>
      </c>
      <c r="E4" s="2" t="s">
        <v>312</v>
      </c>
      <c r="F4" s="2" t="s">
        <v>11</v>
      </c>
      <c r="G4" s="2" t="s">
        <v>313</v>
      </c>
      <c r="H4" s="2" t="s">
        <v>48</v>
      </c>
    </row>
    <row r="5" spans="1:8" ht="13.9">
      <c r="A5" s="1" t="s">
        <v>314</v>
      </c>
      <c r="B5" s="1" t="s">
        <v>315</v>
      </c>
      <c r="C5" s="1" t="s">
        <v>316</v>
      </c>
      <c r="D5" s="20">
        <f>'02_DETERMINISTIC'!B16</f>
        <v>18499451.850000001</v>
      </c>
      <c r="E5" s="28">
        <v>1</v>
      </c>
      <c r="F5" s="1"/>
      <c r="G5" s="1" t="s">
        <v>317</v>
      </c>
      <c r="H5" s="1" t="s">
        <v>318</v>
      </c>
    </row>
    <row r="6" spans="1:8" ht="13.9">
      <c r="A6" s="1" t="s">
        <v>319</v>
      </c>
      <c r="B6" s="1" t="s">
        <v>320</v>
      </c>
      <c r="C6" s="1" t="s">
        <v>321</v>
      </c>
      <c r="D6" s="20">
        <f>'02_DETERMINISTIC'!B17</f>
        <v>5199411.1161000002</v>
      </c>
      <c r="E6" s="28">
        <v>1</v>
      </c>
      <c r="F6" s="1"/>
      <c r="G6" s="1" t="s">
        <v>317</v>
      </c>
      <c r="H6" s="1" t="s">
        <v>318</v>
      </c>
    </row>
    <row r="7" spans="1:8" ht="13.9">
      <c r="A7" s="1" t="s">
        <v>322</v>
      </c>
      <c r="B7" s="1" t="s">
        <v>323</v>
      </c>
      <c r="C7" s="1" t="s">
        <v>324</v>
      </c>
      <c r="D7" s="24">
        <f>'02_DETERMINISTIC'!B18</f>
        <v>0.65499999999999992</v>
      </c>
      <c r="E7" s="28">
        <v>9.9999999999999995E-7</v>
      </c>
      <c r="F7" s="1"/>
      <c r="G7" s="1" t="s">
        <v>317</v>
      </c>
      <c r="H7" s="1" t="s">
        <v>325</v>
      </c>
    </row>
    <row r="8" spans="1:8" ht="13.9">
      <c r="A8" s="1" t="s">
        <v>326</v>
      </c>
      <c r="B8" s="1" t="s">
        <v>327</v>
      </c>
      <c r="C8" s="1" t="s">
        <v>328</v>
      </c>
      <c r="D8" s="24">
        <f>'02_DETERMINISTIC'!B19</f>
        <v>0.62922999999999996</v>
      </c>
      <c r="E8" s="28">
        <v>9.9999999999999995E-7</v>
      </c>
      <c r="F8" s="1"/>
      <c r="G8" s="1" t="s">
        <v>317</v>
      </c>
      <c r="H8" s="1" t="s">
        <v>325</v>
      </c>
    </row>
    <row r="9" spans="1:8" ht="13.9">
      <c r="A9" s="1" t="s">
        <v>329</v>
      </c>
      <c r="B9" s="1" t="s">
        <v>141</v>
      </c>
      <c r="C9" s="1" t="s">
        <v>330</v>
      </c>
      <c r="D9" s="20">
        <f>'02_DETERMINISTIC'!B20</f>
        <v>13300040.733900001</v>
      </c>
      <c r="E9" s="28">
        <v>1</v>
      </c>
      <c r="F9" s="1"/>
      <c r="G9" s="1" t="s">
        <v>317</v>
      </c>
      <c r="H9" s="1" t="s">
        <v>331</v>
      </c>
    </row>
    <row r="10" spans="1:8" ht="13.9">
      <c r="A10" s="1" t="s">
        <v>332</v>
      </c>
      <c r="B10" s="1" t="s">
        <v>166</v>
      </c>
      <c r="C10" s="1" t="s">
        <v>333</v>
      </c>
      <c r="D10" s="20">
        <f>'02_DETERMINISTIC'!B21</f>
        <v>2.576999999999996E-2</v>
      </c>
      <c r="E10" s="28">
        <v>9.9999999999999995E-7</v>
      </c>
      <c r="F10" s="1"/>
      <c r="G10" s="1" t="s">
        <v>317</v>
      </c>
      <c r="H10" s="1" t="s">
        <v>331</v>
      </c>
    </row>
    <row r="11" spans="1:8" ht="13.9">
      <c r="A11" s="1" t="s">
        <v>334</v>
      </c>
      <c r="B11" s="1" t="s">
        <v>30</v>
      </c>
      <c r="C11" s="1" t="s">
        <v>335</v>
      </c>
      <c r="D11" s="20">
        <f>'02_DETERMINISTIC'!B22</f>
        <v>516105577.56693918</v>
      </c>
      <c r="E11" s="28">
        <v>10</v>
      </c>
      <c r="F11" s="1"/>
      <c r="G11" s="1" t="s">
        <v>317</v>
      </c>
      <c r="H11" s="1" t="s">
        <v>336</v>
      </c>
    </row>
    <row r="12" spans="1:8" ht="13.9">
      <c r="A12" s="1" t="s">
        <v>337</v>
      </c>
      <c r="B12" s="1" t="s">
        <v>32</v>
      </c>
      <c r="C12" s="1" t="s">
        <v>338</v>
      </c>
      <c r="D12" s="31">
        <f>'02_DETERMINISTIC'!B23</f>
        <v>-11109590.733900005</v>
      </c>
      <c r="E12" s="28">
        <v>10</v>
      </c>
      <c r="F12" s="1"/>
      <c r="G12" s="1" t="s">
        <v>317</v>
      </c>
      <c r="H12" s="1" t="s">
        <v>339</v>
      </c>
    </row>
    <row r="13" spans="1:8" ht="13.9">
      <c r="A13" s="1" t="s">
        <v>340</v>
      </c>
      <c r="B13" s="1" t="s">
        <v>341</v>
      </c>
      <c r="C13" s="1" t="s">
        <v>342</v>
      </c>
      <c r="D13" s="11">
        <f>'03_BIA'!G5</f>
        <v>133000407.339</v>
      </c>
      <c r="E13" s="28">
        <v>1</v>
      </c>
      <c r="F13" s="1"/>
      <c r="G13" s="1" t="s">
        <v>343</v>
      </c>
      <c r="H13" s="1" t="s">
        <v>344</v>
      </c>
    </row>
    <row r="14" spans="1:8" ht="13.9">
      <c r="A14" s="1" t="s">
        <v>345</v>
      </c>
      <c r="B14" s="1" t="s">
        <v>346</v>
      </c>
      <c r="C14" s="1" t="s">
        <v>347</v>
      </c>
      <c r="D14" s="11">
        <f>'03_BIA'!G6</f>
        <v>399001222.01700002</v>
      </c>
      <c r="E14" s="28">
        <v>1</v>
      </c>
      <c r="F14" s="1"/>
      <c r="G14" s="1" t="s">
        <v>343</v>
      </c>
      <c r="H14" s="1" t="s">
        <v>344</v>
      </c>
    </row>
    <row r="15" spans="1:8" ht="13.9">
      <c r="A15" s="1" t="s">
        <v>348</v>
      </c>
      <c r="B15" s="1" t="s">
        <v>349</v>
      </c>
      <c r="C15" s="1" t="s">
        <v>350</v>
      </c>
      <c r="D15" s="11">
        <f>'03_BIA'!G7</f>
        <v>665002036.69500005</v>
      </c>
      <c r="E15" s="28">
        <v>1</v>
      </c>
      <c r="F15" s="1"/>
      <c r="G15" s="1" t="s">
        <v>343</v>
      </c>
      <c r="H15" s="1" t="s">
        <v>344</v>
      </c>
    </row>
    <row r="16" spans="1:8" ht="13.9">
      <c r="A16" s="1" t="s">
        <v>351</v>
      </c>
      <c r="B16" s="1" t="s">
        <v>352</v>
      </c>
      <c r="C16" s="1" t="s">
        <v>353</v>
      </c>
      <c r="D16" s="11" t="e">
        <f ca="1">'07_PSA_SUMMARY'!B9</f>
        <v>#NAME?</v>
      </c>
      <c r="E16" s="28">
        <v>1E-3</v>
      </c>
      <c r="F16" s="1"/>
      <c r="G16" s="1" t="s">
        <v>343</v>
      </c>
      <c r="H16" s="1" t="s">
        <v>354</v>
      </c>
    </row>
    <row r="17" spans="1:8" ht="13.9">
      <c r="A17" s="1"/>
      <c r="B17" s="1"/>
      <c r="C17" s="1"/>
      <c r="D17" s="1"/>
      <c r="E17" s="1"/>
      <c r="F17" s="1"/>
      <c r="G17" s="1"/>
      <c r="H17" s="1"/>
    </row>
    <row r="18" spans="1:8" ht="13.9">
      <c r="A18" s="1"/>
      <c r="B18" s="1"/>
      <c r="C18" s="1"/>
      <c r="D18" s="1"/>
      <c r="E18" s="1"/>
      <c r="F18" s="1"/>
      <c r="G18" s="1"/>
      <c r="H18" s="1"/>
    </row>
    <row r="19" spans="1:8">
      <c r="A19" s="38" t="s">
        <v>355</v>
      </c>
      <c r="B19" s="38" t="s">
        <v>355</v>
      </c>
      <c r="C19" s="38" t="s">
        <v>355</v>
      </c>
      <c r="D19" s="38" t="s">
        <v>355</v>
      </c>
      <c r="E19" s="38" t="s">
        <v>355</v>
      </c>
      <c r="F19" s="38" t="s">
        <v>355</v>
      </c>
      <c r="G19" s="38" t="s">
        <v>355</v>
      </c>
      <c r="H19" s="38" t="s">
        <v>355</v>
      </c>
    </row>
    <row r="20" spans="1:8">
      <c r="A20" s="2" t="s">
        <v>308</v>
      </c>
      <c r="B20" s="2" t="s">
        <v>356</v>
      </c>
      <c r="C20" s="2" t="s">
        <v>357</v>
      </c>
      <c r="D20" s="2" t="s">
        <v>358</v>
      </c>
      <c r="E20" s="2" t="s">
        <v>359</v>
      </c>
      <c r="F20" s="2" t="s">
        <v>360</v>
      </c>
      <c r="G20" s="2" t="s">
        <v>361</v>
      </c>
      <c r="H20" s="2" t="s">
        <v>362</v>
      </c>
    </row>
    <row r="21" spans="1:8" ht="13.9">
      <c r="A21" s="1" t="s">
        <v>314</v>
      </c>
      <c r="B21" s="5"/>
      <c r="C21" s="1" t="str">
        <f t="shared" ref="C21:C32" si="0">IF(B21="","",ABS(B21-D5))</f>
        <v/>
      </c>
      <c r="D21" s="1" t="str">
        <f t="shared" ref="D21:D32" si="1">IF(B21="","Not tested",IF(C21&lt;=E5,"PASS","FAIL"))</f>
        <v>Not tested</v>
      </c>
      <c r="E21" s="1"/>
      <c r="F21" s="1"/>
      <c r="G21" s="1"/>
      <c r="H21" s="1"/>
    </row>
    <row r="22" spans="1:8" ht="13.9">
      <c r="A22" s="1" t="s">
        <v>319</v>
      </c>
      <c r="B22" s="6"/>
      <c r="C22" s="1" t="str">
        <f t="shared" si="0"/>
        <v/>
      </c>
      <c r="D22" s="1" t="str">
        <f t="shared" si="1"/>
        <v>Not tested</v>
      </c>
      <c r="E22" s="1"/>
      <c r="F22" s="1"/>
      <c r="G22" s="1"/>
      <c r="H22" s="1"/>
    </row>
    <row r="23" spans="1:8" ht="13.9">
      <c r="A23" s="1" t="s">
        <v>322</v>
      </c>
      <c r="B23" s="6"/>
      <c r="C23" s="1" t="str">
        <f t="shared" si="0"/>
        <v/>
      </c>
      <c r="D23" s="1" t="str">
        <f t="shared" si="1"/>
        <v>Not tested</v>
      </c>
      <c r="E23" s="1"/>
      <c r="F23" s="1"/>
      <c r="G23" s="1"/>
      <c r="H23" s="1"/>
    </row>
    <row r="24" spans="1:8" ht="13.9">
      <c r="A24" s="1" t="s">
        <v>326</v>
      </c>
      <c r="B24" s="6"/>
      <c r="C24" s="1" t="str">
        <f t="shared" si="0"/>
        <v/>
      </c>
      <c r="D24" s="1" t="str">
        <f t="shared" si="1"/>
        <v>Not tested</v>
      </c>
      <c r="E24" s="1"/>
      <c r="F24" s="1"/>
      <c r="G24" s="1"/>
      <c r="H24" s="1"/>
    </row>
    <row r="25" spans="1:8" ht="13.9">
      <c r="A25" s="1" t="s">
        <v>329</v>
      </c>
      <c r="B25" s="6"/>
      <c r="C25" s="1" t="str">
        <f t="shared" si="0"/>
        <v/>
      </c>
      <c r="D25" s="1" t="str">
        <f t="shared" si="1"/>
        <v>Not tested</v>
      </c>
      <c r="E25" s="1"/>
      <c r="F25" s="1"/>
      <c r="G25" s="1"/>
      <c r="H25" s="1"/>
    </row>
    <row r="26" spans="1:8" ht="13.9">
      <c r="A26" s="1" t="s">
        <v>332</v>
      </c>
      <c r="B26" s="6"/>
      <c r="C26" s="1" t="str">
        <f t="shared" si="0"/>
        <v/>
      </c>
      <c r="D26" s="1" t="str">
        <f t="shared" si="1"/>
        <v>Not tested</v>
      </c>
      <c r="E26" s="1"/>
      <c r="F26" s="1"/>
      <c r="G26" s="1"/>
      <c r="H26" s="1"/>
    </row>
    <row r="27" spans="1:8" ht="13.9">
      <c r="A27" s="1" t="s">
        <v>334</v>
      </c>
      <c r="B27" s="6"/>
      <c r="C27" s="1" t="str">
        <f t="shared" si="0"/>
        <v/>
      </c>
      <c r="D27" s="1" t="str">
        <f t="shared" si="1"/>
        <v>Not tested</v>
      </c>
      <c r="E27" s="1"/>
      <c r="F27" s="1"/>
      <c r="G27" s="1"/>
      <c r="H27" s="1"/>
    </row>
    <row r="28" spans="1:8" ht="13.9">
      <c r="A28" s="1" t="s">
        <v>337</v>
      </c>
      <c r="B28" s="6"/>
      <c r="C28" s="1" t="str">
        <f t="shared" si="0"/>
        <v/>
      </c>
      <c r="D28" s="1" t="str">
        <f t="shared" si="1"/>
        <v>Not tested</v>
      </c>
      <c r="E28" s="1"/>
      <c r="F28" s="1"/>
      <c r="G28" s="1"/>
      <c r="H28" s="1"/>
    </row>
    <row r="29" spans="1:8" ht="13.9">
      <c r="A29" s="1" t="s">
        <v>340</v>
      </c>
      <c r="B29" s="6"/>
      <c r="C29" s="1" t="str">
        <f t="shared" si="0"/>
        <v/>
      </c>
      <c r="D29" s="1" t="str">
        <f t="shared" si="1"/>
        <v>Not tested</v>
      </c>
      <c r="E29" s="1"/>
      <c r="F29" s="1"/>
      <c r="G29" s="1"/>
      <c r="H29" s="1"/>
    </row>
    <row r="30" spans="1:8" ht="13.9">
      <c r="A30" s="1" t="s">
        <v>345</v>
      </c>
      <c r="B30" s="6"/>
      <c r="C30" s="1" t="str">
        <f t="shared" si="0"/>
        <v/>
      </c>
      <c r="D30" s="1" t="str">
        <f t="shared" si="1"/>
        <v>Not tested</v>
      </c>
      <c r="E30" s="1"/>
      <c r="F30" s="1"/>
      <c r="G30" s="1"/>
      <c r="H30" s="1"/>
    </row>
    <row r="31" spans="1:8" ht="13.9">
      <c r="A31" s="1" t="s">
        <v>348</v>
      </c>
      <c r="B31" s="6"/>
      <c r="C31" s="1" t="str">
        <f t="shared" si="0"/>
        <v/>
      </c>
      <c r="D31" s="1" t="str">
        <f t="shared" si="1"/>
        <v>Not tested</v>
      </c>
      <c r="E31" s="1"/>
      <c r="F31" s="1"/>
      <c r="G31" s="1"/>
      <c r="H31" s="1"/>
    </row>
    <row r="32" spans="1:8" ht="13.9">
      <c r="A32" s="1" t="s">
        <v>351</v>
      </c>
      <c r="B32" s="10"/>
      <c r="C32" s="1" t="str">
        <f t="shared" si="0"/>
        <v/>
      </c>
      <c r="D32" s="1" t="str">
        <f t="shared" si="1"/>
        <v>Not tested</v>
      </c>
      <c r="E32" s="1"/>
      <c r="F32" s="1"/>
      <c r="G32" s="1"/>
      <c r="H32" s="1"/>
    </row>
  </sheetData>
  <mergeCells count="3">
    <mergeCell ref="A1:H1"/>
    <mergeCell ref="A2:H2"/>
    <mergeCell ref="A19:H19"/>
  </mergeCells>
  <conditionalFormatting sqref="D21:D32">
    <cfRule type="containsText" dxfId="1" priority="1" operator="containsText" text="PASS"/>
    <cfRule type="containsText" dxfId="0" priority="2" operator="containsText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00_README</vt:lpstr>
      <vt:lpstr>01_INPUTS</vt:lpstr>
      <vt:lpstr>02_DETERMINISTIC</vt:lpstr>
      <vt:lpstr>03_BIA</vt:lpstr>
      <vt:lpstr>04_PSA_INPUTS</vt:lpstr>
      <vt:lpstr>05_PSA_1000</vt:lpstr>
      <vt:lpstr>06_CE_PLANE_CEAC</vt:lpstr>
      <vt:lpstr>07_PSA_SUMMARY</vt:lpstr>
      <vt:lpstr>08_ARB_EXTENSION</vt:lpstr>
      <vt:lpstr>09_DATA_MAP_QC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Rini Noviyani</dc:creator>
  <cp:lastModifiedBy>Rini Noviyani</cp:lastModifiedBy>
  <dcterms:created xsi:type="dcterms:W3CDTF">2026-07-24T02:25:06Z</dcterms:created>
  <dcterms:modified xsi:type="dcterms:W3CDTF">2026-07-24T02:25:09Z</dcterms:modified>
</cp:coreProperties>
</file>